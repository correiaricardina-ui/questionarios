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<sst xmlns="http://schemas.openxmlformats.org/spreadsheetml/2006/main" count="1674" uniqueCount="1249">
  <si>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</si>
  <si>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</si>
  <si>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</si>
  <si>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</si>
  <si>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</si>
  <si>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</si>
  <si>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</si>
  <si>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</si>
  <si>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</si>
  <si>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</si>
  <si>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</si>
  <si>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</si>
  <si>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</si>
  <si>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</si>
  <si>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</si>
  <si>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</si>
  <si>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</si>
  <si>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</si>
  <si>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</si>
  <si>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</si>
  <si>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</si>
  <si>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</si>
  <si>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</si>
  <si>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</si>
  <si>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</si>
  <si>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</si>
  <si>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</si>
  <si>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</si>
  <si>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</si>
  <si>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</si>
  <si>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</si>
  <si>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</si>
  <si>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</si>
  <si>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</si>
  <si>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</si>
  <si>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</si>
  <si>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</si>
  <si>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</si>
  <si>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</si>
  <si>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</si>
  <si>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</si>
  <si>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</si>
  <si>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</si>
  <si>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</si>
  <si>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</si>
  <si>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</si>
  <si>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</si>
  <si>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</si>
  <si>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</si>
  <si>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</si>
  <si>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</si>
  <si>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</si>
  <si>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</si>
  <si>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</si>
  <si>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</si>
  <si>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</si>
  <si>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</si>
  <si>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</si>
  <si>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</si>
  <si>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</si>
  <si>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</si>
  <si>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</si>
  <si>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</si>
  <si>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</si>
  <si>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</si>
  <si>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</si>
  <si>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</si>
  <si>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</si>
  <si>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</si>
  <si>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</si>
  <si>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</si>
  <si>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</si>
  <si>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</si>
  <si>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</si>
  <si>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</si>
  <si>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</si>
  <si>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</si>
  <si>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</si>
  <si>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</si>
  <si>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</si>
  <si>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</si>
  <si>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</si>
  <si>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</si>
  <si>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</si>
  <si>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</si>
  <si>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</si>
  <si>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</si>
  <si>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</si>
  <si>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</si>
  <si>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</si>
  <si>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</si>
  <si>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</si>
  <si>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</si>
  <si>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</si>
  <si>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</si>
  <si>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</si>
  <si>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</si>
  <si>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</si>
  <si>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</si>
  <si>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</si>
  <si>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</si>
  <si>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</si>
  <si>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</si>
  <si>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</si>
  <si>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</si>
  <si>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</si>
  <si>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</si>
  <si>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</si>
  <si>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</si>
  <si>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</si>
  <si>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</si>
  <si>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</si>
  <si>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</si>
  <si>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</si>
  <si>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</si>
  <si>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</si>
  <si>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</si>
  <si>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</si>
  <si>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</si>
  <si>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</si>
  <si>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</si>
  <si>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</si>
  <si>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</si>
  <si>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</si>
  <si>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</si>
  <si>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</si>
  <si>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</si>
  <si>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</si>
  <si>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</si>
  <si>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</si>
  <si>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</si>
  <si>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</si>
  <si>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</si>
  <si>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</si>
  <si>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</si>
  <si>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</si>
  <si>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</si>
  <si>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</si>
  <si>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</si>
  <si>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</si>
  <si>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</si>
  <si>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</si>
  <si>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</si>
  <si>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</si>
  <si>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</si>
  <si>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</si>
  <si>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</si>
  <si>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</si>
  <si>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</si>
  <si>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</si>
  <si>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</si>
  <si>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</si>
  <si>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</si>
  <si>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</si>
  <si>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</si>
  <si>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</si>
  <si>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</si>
  <si>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</si>
  <si>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</si>
  <si>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</si>
  <si>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</si>
  <si>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</si>
  <si>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</si>
  <si>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</si>
  <si>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</si>
  <si>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</si>
  <si>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</si>
  <si>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</si>
  <si>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</si>
  <si>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</si>
  <si>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</si>
  <si>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</si>
  <si>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</si>
  <si>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</si>
  <si>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</si>
  <si>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</si>
  <si>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</si>
  <si>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</si>
  <si>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</si>
  <si>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</si>
  <si>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</si>
  <si>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</si>
  <si>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</si>
  <si>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</si>
  <si>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</si>
  <si>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</si>
  <si>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</si>
  <si>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</si>
  <si>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</si>
  <si>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</si>
  <si>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</si>
  <si>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</si>
  <si>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</si>
  <si>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</si>
  <si>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</si>
  <si>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</si>
  <si>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</si>
  <si>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</si>
  <si>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</si>
  <si>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</si>
  <si>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</si>
  <si>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</si>
  <si>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</si>
  <si>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</si>
  <si>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</si>
  <si>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</si>
  <si>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</si>
  <si>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</si>
  <si>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</si>
  <si>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</si>
  <si>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</si>
  <si>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</si>
  <si>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</si>
  <si>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</si>
  <si>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</si>
  <si>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</si>
  <si>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</si>
  <si>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</si>
  <si>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</si>
  <si>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</si>
  <si>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</si>
  <si>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</si>
  <si>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</si>
  <si>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</si>
  <si>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</si>
  <si>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</si>
  <si>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</si>
  <si>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</si>
  <si>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</si>
  <si>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</si>
  <si>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</si>
  <si>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</si>
  <si>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</si>
  <si>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</si>
  <si>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</si>
  <si>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</si>
  <si>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</si>
  <si>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</si>
  <si>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</si>
  <si>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</si>
  <si>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</si>
  <si>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</si>
  <si>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</si>
  <si>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</si>
  <si>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</si>
  <si>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</si>
  <si>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</si>
  <si>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</si>
  <si>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</si>
  <si>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</si>
  <si>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</si>
  <si>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</si>
  <si>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</si>
  <si>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</si>
  <si>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</si>
  <si>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</si>
  <si>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</si>
  <si>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</si>
  <si>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</si>
  <si>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</si>
  <si>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</si>
  <si>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</si>
  <si>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</si>
  <si>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</si>
  <si>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</si>
  <si>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</si>
  <si>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</si>
  <si>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</si>
  <si>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</si>
  <si>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</si>
  <si>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</si>
  <si>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</si>
  <si>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</si>
  <si>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</si>
  <si>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</si>
  <si>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</si>
  <si>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</si>
  <si>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</si>
  <si>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</si>
  <si>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</si>
  <si>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</si>
  <si>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</si>
  <si>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</si>
  <si>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</si>
  <si>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</si>
  <si>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</si>
  <si>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</si>
  <si>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</si>
  <si>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</si>
  <si>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</si>
  <si>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</si>
  <si>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</si>
  <si>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</si>
  <si>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</si>
  <si>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</si>
  <si>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</si>
  <si>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</si>
  <si>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</si>
  <si>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</si>
  <si>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</si>
  <si>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</si>
  <si>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</si>
  <si>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</si>
  <si>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</si>
  <si>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</si>
  <si>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</si>
  <si>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</si>
  <si>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</si>
  <si>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</si>
  <si>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</si>
  <si>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</si>
  <si>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</si>
  <si>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</si>
  <si>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</si>
  <si>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</si>
  <si>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</si>
  <si>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</si>
  <si>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</si>
  <si>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</si>
  <si>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</si>
  <si>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</si>
  <si>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</si>
  <si>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</si>
  <si>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</si>
  <si>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</si>
  <si>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</si>
  <si>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</si>
  <si>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</si>
  <si>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</si>
  <si>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</si>
  <si>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</si>
  <si>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</si>
  <si>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</si>
  <si>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</si>
  <si>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</si>
  <si>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</si>
  <si>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</si>
  <si>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</si>
  <si>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</si>
  <si>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</si>
  <si>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</si>
  <si>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</si>
  <si>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</si>
  <si>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</si>
  <si>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</si>
  <si>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</si>
  <si>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</si>
  <si>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</si>
  <si>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</si>
  <si>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</si>
  <si>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</si>
  <si>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</si>
  <si>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</si>
  <si>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</si>
  <si>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</si>
  <si>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</si>
  <si>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</si>
  <si>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</si>
  <si>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</si>
  <si>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</si>
  <si>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</si>
  <si>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</si>
  <si>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</si>
  <si>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</si>
  <si>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</si>
  <si>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</si>
  <si>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</si>
  <si>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</si>
  <si>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</si>
  <si>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</si>
  <si>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</si>
  <si>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</si>
  <si>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</si>
  <si>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</si>
  <si>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</si>
  <si>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</si>
  <si>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</si>
  <si>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</si>
  <si>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</si>
  <si>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</si>
  <si>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</si>
  <si>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</si>
  <si>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</si>
  <si>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</si>
  <si>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</si>
  <si>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</si>
  <si>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</si>
  <si>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</si>
  <si>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</si>
  <si>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</si>
  <si>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</si>
  <si>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</si>
  <si>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</si>
  <si>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</si>
  <si>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</si>
  <si>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</si>
  <si>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</si>
  <si>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</si>
  <si>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</si>
  <si>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</si>
  <si>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</si>
  <si>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</si>
  <si>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</si>
  <si>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</si>
  <si>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</si>
  <si>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</si>
  <si>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</si>
  <si>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</si>
  <si>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</si>
  <si>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</si>
  <si>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</si>
  <si>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</si>
  <si>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</si>
  <si>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</si>
  <si>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</si>
  <si>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</si>
  <si>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</si>
  <si>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</si>
  <si>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</si>
  <si>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</si>
  <si>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</si>
  <si>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</si>
  <si>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</si>
  <si>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</si>
  <si>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</si>
  <si>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</si>
  <si>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</si>
  <si>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</si>
  <si>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</si>
  <si>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</si>
  <si>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</si>
  <si>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</si>
  <si>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</si>
  <si>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</si>
  <si>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</si>
  <si>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</si>
  <si>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</si>
  <si>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</si>
  <si>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</si>
  <si>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</si>
  <si>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</si>
  <si>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</si>
  <si>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</si>
  <si>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</si>
  <si>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</si>
  <si>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</si>
  <si>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</si>
  <si>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</si>
  <si>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</si>
  <si>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</si>
  <si>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</si>
  <si>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</si>
  <si>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</si>
  <si>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</si>
  <si>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</si>
  <si>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</si>
  <si>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</si>
  <si>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</si>
  <si>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</si>
  <si>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</si>
  <si>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</si>
  <si>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</si>
  <si>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</si>
  <si>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</si>
  <si>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</si>
  <si>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</si>
  <si>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</si>
  <si>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</si>
  <si>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</si>
  <si>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</si>
  <si>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</si>
  <si>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</si>
  <si>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</si>
  <si>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</si>
  <si>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</si>
  <si>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</si>
  <si>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</si>
  <si>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</si>
  <si>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</si>
  <si>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</si>
  <si>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</si>
  <si>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</si>
  <si>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</si>
  <si>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</si>
  <si>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</si>
  <si>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</si>
  <si>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</si>
  <si>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</si>
  <si>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</si>
  <si>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</si>
  <si>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</si>
  <si>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</si>
  <si>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</si>
  <si>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</si>
  <si>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</si>
  <si>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</si>
  <si>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</si>
  <si>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</si>
  <si>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</si>
  <si>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</si>
  <si>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</si>
  <si>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</si>
  <si>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</si>
  <si>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</si>
  <si>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</si>
  <si>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</si>
  <si>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</si>
  <si>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</si>
  <si>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</si>
  <si>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</si>
  <si>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</si>
  <si>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</si>
  <si>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</si>
  <si>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</si>
  <si>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</si>
  <si>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</si>
  <si>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</si>
  <si>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</si>
  <si>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</si>
  <si>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</si>
  <si>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</si>
  <si>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</si>
  <si>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</si>
  <si>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</si>
  <si>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</si>
  <si>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</si>
  <si>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</si>
  <si>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</si>
  <si>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</si>
  <si>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</si>
  <si>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</si>
  <si>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</si>
  <si>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</si>
  <si>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</si>
  <si>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</si>
  <si>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</si>
  <si>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</si>
  <si>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</si>
  <si>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</si>
  <si>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</si>
  <si>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</si>
  <si>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</si>
  <si>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</si>
  <si>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</si>
  <si>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</si>
  <si>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</si>
  <si>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</si>
  <si>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</si>
  <si>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</si>
  <si>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</si>
  <si>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</si>
  <si>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</si>
  <si>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</si>
  <si>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</si>
  <si>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</si>
  <si>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</si>
  <si>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</si>
  <si>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</si>
  <si>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</si>
  <si>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</si>
  <si>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</si>
  <si>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</si>
  <si>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</si>
  <si>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</si>
  <si>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</si>
  <si>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</si>
  <si>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</si>
  <si>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</si>
  <si>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</si>
  <si>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</si>
  <si>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</si>
  <si>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</si>
  <si>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</si>
  <si>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</si>
  <si>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</si>
  <si>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</si>
  <si>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</si>
  <si>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</si>
  <si>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</si>
  <si>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</si>
  <si>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</si>
  <si>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</si>
  <si>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</si>
  <si>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</si>
  <si>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</si>
  <si>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</si>
  <si>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</si>
  <si>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</si>
  <si>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</si>
  <si>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</si>
  <si>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</si>
  <si>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</si>
  <si>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</si>
  <si>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</si>
  <si>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</si>
  <si>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</si>
  <si>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</si>
  <si>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</si>
  <si>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</si>
  <si>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</si>
  <si>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</si>
  <si>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</si>
  <si>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</si>
  <si>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</si>
  <si>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</si>
  <si>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</si>
  <si>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</si>
  <si>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</si>
  <si>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</si>
  <si>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</si>
  <si>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</si>
  <si>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</si>
  <si>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</si>
  <si>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</si>
  <si>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</si>
  <si>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</si>
  <si>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</si>
  <si>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</si>
  <si>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</si>
  <si>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</si>
  <si>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</si>
  <si>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</si>
  <si>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</si>
  <si>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</si>
  <si>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</si>
  <si>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</si>
  <si>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</si>
  <si>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</si>
  <si>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</si>
  <si>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</si>
  <si>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</si>
  <si>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</si>
  <si>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</si>
  <si>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</si>
  <si>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</si>
  <si>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</si>
  <si>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</si>
  <si>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</si>
  <si>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</si>
  <si>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</si>
  <si>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</si>
  <si>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</si>
  <si>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</si>
  <si>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</si>
  <si>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</si>
  <si>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</si>
  <si>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</si>
  <si>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</si>
  <si>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</si>
  <si>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</si>
  <si>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</si>
  <si>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</si>
  <si>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</si>
  <si>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</si>
  <si>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</si>
  <si>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</si>
  <si>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</si>
  <si>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</si>
  <si>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</si>
  <si>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</si>
  <si>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</si>
  <si>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</si>
  <si>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</si>
  <si>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</si>
  <si>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</si>
  <si>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</si>
  <si>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</si>
  <si>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</si>
  <si>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</si>
  <si>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</si>
  <si>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</si>
  <si>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</si>
  <si>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</si>
  <si>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</si>
  <si>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</si>
  <si>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</si>
  <si>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</si>
  <si>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</si>
  <si>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</si>
  <si>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</si>
  <si>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</si>
  <si>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</si>
  <si>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</si>
  <si>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</si>
  <si>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</si>
  <si>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</si>
  <si>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</si>
  <si>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</si>
  <si>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</si>
  <si>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</si>
  <si>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</si>
  <si>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</si>
  <si>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</si>
  <si>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</si>
  <si>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</si>
  <si>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</si>
  <si>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</si>
  <si>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</si>
  <si>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</si>
  <si>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</si>
  <si>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</si>
  <si>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</si>
  <si>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</si>
  <si>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</si>
  <si>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</si>
  <si>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</si>
  <si>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</si>
  <si>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</si>
  <si>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</si>
  <si>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</si>
  <si>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</si>
  <si>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</si>
  <si>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</si>
  <si>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</si>
  <si>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</si>
  <si>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</si>
  <si>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</si>
  <si>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</si>
  <si>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</si>
  <si>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</si>
  <si>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</si>
  <si>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</si>
  <si>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</si>
  <si>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</si>
  <si>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</si>
  <si>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</si>
  <si>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</si>
  <si>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</si>
  <si>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</si>
  <si>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</si>
  <si>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</si>
  <si>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</si>
  <si>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</si>
  <si>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</si>
  <si>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</si>
  <si>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</si>
  <si>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</si>
  <si>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</si>
  <si>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</si>
  <si>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</si>
  <si>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</si>
  <si>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</si>
  <si>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</si>
  <si>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</si>
  <si>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</si>
  <si>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</si>
  <si>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</si>
  <si>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</si>
  <si>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</si>
  <si>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</si>
  <si>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</si>
  <si>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</si>
  <si>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</si>
  <si>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</si>
  <si>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</si>
  <si>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</si>
  <si>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</si>
  <si>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</si>
  <si>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</si>
  <si>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</si>
  <si>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</si>
  <si>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</si>
  <si>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</si>
  <si>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</si>
  <si>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</si>
  <si>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</si>
  <si>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</si>
  <si>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</si>
  <si>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</si>
  <si>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</si>
  <si>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</si>
  <si>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</si>
  <si>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</si>
  <si>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</si>
  <si>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</si>
  <si>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</si>
  <si>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</si>
  <si>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</si>
  <si>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</si>
  <si>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</si>
  <si>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</si>
  <si>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</si>
  <si>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</si>
  <si>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</si>
  <si>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</si>
  <si>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</si>
  <si>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</si>
  <si>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</si>
  <si>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</si>
  <si>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</si>
  <si>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</si>
  <si>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</si>
  <si>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</si>
  <si>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</si>
  <si>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</si>
  <si>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</si>
  <si>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</si>
  <si>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</si>
  <si>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</si>
  <si>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</si>
  <si>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</si>
  <si>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</si>
  <si>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</si>
  <si>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</si>
  <si>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</si>
  <si>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</si>
  <si>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</si>
  <si>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</si>
  <si>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</si>
  <si>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</si>
  <si>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</si>
  <si>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</si>
  <si>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</si>
  <si>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</si>
  <si>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</si>
  <si>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</si>
  <si>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</si>
  <si>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</si>
  <si>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</si>
  <si>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</si>
  <si>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</si>
  <si>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</si>
  <si>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</si>
  <si>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</si>
  <si>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</si>
  <si>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</si>
  <si>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</si>
  <si>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</si>
  <si>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</si>
  <si>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</si>
  <si>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</si>
  <si>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</si>
  <si>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</si>
  <si>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</si>
  <si>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</si>
  <si>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</si>
  <si>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</si>
  <si>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</si>
  <si>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</si>
  <si>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</si>
  <si>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</si>
  <si>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</si>
  <si>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</si>
  <si>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</si>
  <si>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</si>
  <si>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</si>
  <si>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</si>
  <si>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</si>
  <si>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</si>
  <si>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</si>
  <si>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</si>
  <si>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</si>
  <si>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</si>
  <si>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</si>
  <si>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</si>
  <si>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</si>
  <si>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</si>
  <si>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</si>
  <si>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</si>
  <si>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</si>
  <si>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</si>
  <si>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</si>
  <si>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</si>
  <si>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</si>
  <si>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</si>
  <si>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</si>
  <si>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</si>
  <si>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</si>
  <si>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</si>
  <si>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</si>
  <si>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</si>
  <si>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</si>
  <si>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</si>
  <si>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</si>
  <si>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</si>
  <si>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</si>
  <si>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</si>
  <si>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</si>
  <si>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</si>
  <si>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</si>
  <si>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</si>
  <si>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</si>
  <si>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</si>
  <si>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</si>
  <si>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</si>
  <si>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</si>
  <si>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</si>
  <si>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</si>
  <si>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</si>
  <si>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</si>
  <si>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</si>
  <si>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</si>
  <si>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</si>
  <si>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</si>
  <si>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</si>
  <si>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</si>
  <si>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</si>
  <si>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</si>
  <si>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</si>
  <si>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</si>
  <si>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</si>
  <si>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</si>
  <si>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</si>
  <si>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</si>
  <si>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</si>
  <si>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</si>
  <si>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</si>
  <si>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</si>
  <si>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</si>
  <si>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</si>
  <si>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</si>
  <si>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</si>
  <si>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</si>
  <si>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</si>
  <si>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</si>
  <si>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</si>
  <si>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</si>
  <si>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</si>
  <si>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</si>
  <si>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</si>
  <si>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</si>
  <si>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</si>
  <si>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</si>
  <si>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</si>
  <si>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</si>
  <si>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</si>
  <si>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</si>
  <si>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</si>
  <si>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</si>
  <si>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</si>
  <si>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</si>
  <si>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</si>
  <si>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</si>
  <si>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</si>
  <si>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</si>
  <si>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</si>
  <si>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</si>
  <si>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</si>
  <si>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</si>
  <si>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</si>
  <si>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</si>
  <si>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</si>
  <si>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</si>
  <si>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</si>
  <si>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</si>
  <si>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</si>
  <si>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</si>
  <si>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</si>
  <si>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</si>
  <si>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</si>
  <si>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</si>
  <si>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</si>
  <si>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</si>
  <si>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</si>
  <si>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</si>
  <si>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</si>
  <si>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</si>
  <si>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</si>
  <si>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</si>
  <si>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</si>
  <si>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</si>
  <si>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</si>
  <si>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</si>
  <si>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</si>
  <si>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</si>
  <si>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</si>
  <si>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</si>
  <si>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</si>
  <si>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</si>
  <si>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</si>
  <si>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</si>
  <si>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</si>
  <si>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</si>
  <si>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</si>
  <si>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</si>
  <si>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</si>
  <si>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</si>
  <si>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</si>
  <si>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</si>
  <si>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</si>
  <si>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</si>
  <si>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</si>
  <si>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</si>
  <si>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</si>
  <si>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</si>
  <si>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</si>
  <si>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</si>
  <si>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</si>
  <si>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</si>
  <si>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</si>
  <si>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</si>
  <si>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</si>
  <si>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</si>
  <si>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</si>
  <si>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</si>
  <si>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</si>
  <si>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</si>
  <si>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</si>
  <si>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</si>
  <si>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</si>
  <si>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</si>
  <si>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</si>
  <si>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</si>
  <si>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</si>
  <si>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</si>
  <si>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</si>
  <si>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</si>
  <si>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</si>
  <si>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</si>
  <si>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</si>
  <si>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</si>
  <si>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</si>
  <si>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</si>
  <si>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</si>
  <si>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</si>
  <si>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</si>
  <si>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</si>
  <si>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</si>
  <si>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</si>
  <si>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</si>
  <si>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</si>
  <si>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</si>
  <si>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</si>
  <si>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</si>
  <si>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</si>
  <si>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</si>
  <si>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</si>
  <si>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</si>
  <si>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</si>
  <si>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</si>
  <si>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</si>
  <si>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</si>
  <si>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</si>
  <si>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</si>
  <si>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</si>
  <si>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</si>
  <si>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</si>
  <si>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</si>
  <si>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</si>
  <si>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</si>
  <si>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</si>
  <si>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</si>
  <si>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</si>
  <si>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</si>
  <si>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</si>
  <si>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</si>
  <si>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</si>
  <si>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</si>
  <si>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</si>
  <si>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</si>
  <si>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</si>
  <si>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</si>
  <si>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</si>
  <si>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</si>
  <si>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</si>
  <si>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</si>
  <si>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</si>
  <si>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</si>
  <si>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</si>
  <si>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</si>
  <si>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</si>
  <si>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</si>
  <si>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</si>
  <si>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</si>
  <si>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</si>
  <si>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</si>
  <si>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</si>
  <si>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</si>
  <si>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</si>
  <si>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</si>
  <si>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</si>
  <si>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</si>
  <si>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</si>
  <si>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</si>
  <si>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</si>
  <si>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</si>
  <si>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</si>
  <si>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</si>
  <si>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</si>
  <si>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</si>
  <si>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</si>
  <si>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</si>
  <si>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</si>
  <si>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</si>
  <si>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</si>
  <si>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</si>
  <si>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</si>
  <si>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</si>
  <si>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</si>
  <si>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</si>
  <si>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</si>
  <si>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</si>
  <si>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</si>
  <si>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</si>
  <si>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</si>
  <si>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</si>
  <si>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</si>
  <si>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</si>
  <si>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</si>
  <si>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</si>
  <si>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</si>
  <si>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</si>
  <si>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</si>
  <si>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</si>
  <si>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</si>
  <si>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</si>
  <si>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</si>
  <si>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</si>
  <si>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</si>
  <si>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</si>
  <si>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</si>
  <si>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</si>
  <si>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</si>
  <si>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</si>
  <si>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</si>
  <si>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</si>
  <si>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</si>
  <si>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</si>
  <si>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</si>
  <si>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</si>
  <si>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</si>
  <si>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</si>
  <si>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</si>
  <si>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</si>
  <si>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</si>
  <si>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</si>
  <si>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</si>
  <si>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</si>
  <si>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</si>
  <si>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</si>
  <si>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</si>
  <si>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</si>
  <si>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</si>
  <si>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</si>
  <si>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</si>
  <si>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</si>
  <si>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</si>
  <si>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</si>
  <si>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</si>
  <si>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</si>
  <si>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</si>
  <si>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</si>
  <si>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</si>
  <si>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</si>
  <si>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</si>
  <si>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</si>
  <si>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</si>
  <si>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</si>
  <si>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</si>
  <si>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</si>
  <si>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</si>
  <si>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</si>
  <si>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</si>
  <si>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</si>
  <si>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</si>
  <si>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</si>
  <si>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</si>
  <si>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</si>
  <si>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</si>
  <si>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</si>
  <si>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</si>
  <si>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</si>
  <si>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</si>
  <si>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</si>
  <si>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</si>
  <si>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</si>
  <si>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</si>
  <si>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</si>
  <si>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</si>
  <si>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</si>
  <si>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</si>
  <si>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</si>
  <si>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</si>
  <si>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CAPS-22 — Escala de Perfecionismo de Crianças e Adolescentes (Autorrelato)</t>
  </si>
  <si>
    <t xml:space="preserve">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t>
  </si>
  <si>
    <t xml:space="preserve">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t>
  </si>
  <si>
    <t xml:space="preserve">caps22</t>
  </si>
  <si>
    <t xml:space="preserve">q_caps22</t>
  </si>
  <si>
    <t xml:space="preserve">https://correiaricardina-ui.github.io/questionarios/CAPS22_Crianca_v1.html</t>
  </si>
  <si>
    <t xml:space="preserve">CAPS-PR — Perfecionismo da Criança (Heterorrelato Parental)</t>
  </si>
  <si>
    <t xml:space="preserve">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t>
  </si>
  <si>
    <t xml:space="preserve">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t>
  </si>
  <si>
    <t xml:space="preserve">caps_pr</t>
  </si>
  <si>
    <t xml:space="preserve">q_caps_pr</t>
  </si>
  <si>
    <t xml:space="preserve">https://correiaricardina-ui.github.io/questionarios/CAPS_PR_Pais_v1.html</t>
  </si>
  <si>
    <t xml:space="preserve">PDRA-9/C — Perfil Diferencial da Restrição Alimentar (Criança)</t>
  </si>
  <si>
    <t xml:space="preserve">8–14 anos</t>
  </si>
  <si>
    <t xml:space="preserve">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</si>
  <si>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t>
  </si>
  <si>
    <t xml:space="preserve">pdra9_c</t>
  </si>
  <si>
    <t xml:space="preserve">q_pdra9_c</t>
  </si>
  <si>
    <t xml:space="preserve">https://correiaricardina-ui.github.io/questionarios/PDRA9_C_v1.html</t>
  </si>
  <si>
    <t xml:space="preserve">PDRA-9/P — Perfil Diferencial da Restrição Alimentar (Parental)</t>
  </si>
  <si>
    <t xml:space="preserve">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</si>
  <si>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t>
  </si>
  <si>
    <t xml:space="preserve">pdra9_p</t>
  </si>
  <si>
    <t xml:space="preserve">q_pdra9_p</t>
  </si>
  <si>
    <t xml:space="preserve">https://correiaricardina-ui.github.io/questionarios/PDRA9_P_v1.html</t>
  </si>
  <si>
    <t xml:space="preserve">GCSA — Grelha de Caracterização da Seletividade Alimentar</t>
  </si>
  <si>
    <t xml:space="preserve">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t>
  </si>
  <si>
    <t xml:space="preserve">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t>
  </si>
  <si>
    <t xml:space="preserve">gcsa</t>
  </si>
  <si>
    <t xml:space="preserve">q_gcsa</t>
  </si>
  <si>
    <t xml:space="preserve">https://correiaricardina-ui.github.io/questionarios/GCSA_v1.html</t>
  </si>
  <si>
    <t xml:space="preserve">GCSA — Diário de Alimentação de Sete Dias</t>
  </si>
  <si>
    <t xml:space="preserve">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t>
  </si>
  <si>
    <t xml:space="preserve">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t>
  </si>
  <si>
    <t xml:space="preserve">gcsa_diario</t>
  </si>
  <si>
    <t xml:space="preserve">q_gcsa_diario</t>
  </si>
  <si>
    <t xml:space="preserve">https://correiaricardina-ui.github.io/questionarios/GCSA_Diario_v1.html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</si>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</sst>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80" headerRowCount="1" totalsRowCount="0" totalsRowShown="0">
  <autoFilter ref="A3:M180"/>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row r="159" customFormat="false" ht="84.75" hidden="false" customHeight="true" outlineLevel="0" collapsed="false">
      <c r="A159" s="5" t="n">
        <v>156</v>
      </c>
      <c r="B159" s="6" t="s">
        <v>1069</v>
      </c>
      <c r="C159" s="6" t="s">
        <v>1041</v>
      </c>
      <c r="D159" s="6" t="s">
        <v>17</v>
      </c>
      <c r="E159" s="6" t="s">
        <v>108</v>
      </c>
      <c r="F159" s="5" t="n">
        <v>11</v>
      </c>
      <c r="G159" s="5" t="n">
        <v>18</v>
      </c>
      <c r="H159" s="5" t="n">
        <v>6</v>
      </c>
      <c r="I159" s="6" t="s">
        <v>1070</v>
      </c>
      <c r="J159" s="6" t="s">
        <v>1071</v>
      </c>
      <c r="K159" s="6" t="s">
        <v>1072</v>
      </c>
      <c r="L159" s="6" t="s">
        <v>1073</v>
      </c>
      <c r="M159" s="7" t="s">
        <v>1074</v>
      </c>
    </row>
    <row r="160" customFormat="false" ht="84.75" hidden="false" customHeight="true" outlineLevel="0" collapsed="false">
      <c r="A160" s="5" t="n">
        <f aca="false">ROW()-3</f>
        <v>157</v>
      </c>
      <c r="B160" s="6" t="s">
        <v>1075</v>
      </c>
      <c r="C160" s="6" t="s">
        <v>1041</v>
      </c>
      <c r="D160" s="6" t="s">
        <v>17</v>
      </c>
      <c r="E160" s="6" t="s">
        <v>345</v>
      </c>
      <c r="F160" s="5" t="n">
        <v>12</v>
      </c>
      <c r="G160" s="5" t="n">
        <v>18</v>
      </c>
      <c r="H160" s="5" t="n">
        <v>6</v>
      </c>
      <c r="I160" s="6" t="s">
        <v>1076</v>
      </c>
      <c r="J160" s="6" t="s">
        <v>1077</v>
      </c>
      <c r="K160" s="6" t="s">
        <v>1078</v>
      </c>
      <c r="L160" s="6" t="s">
        <v>1079</v>
      </c>
      <c r="M160" s="7" t="s">
        <v>1080</v>
      </c>
    </row>
    <row r="161" customFormat="false" ht="95.25" hidden="false" customHeight="true" outlineLevel="0" collapsed="false">
      <c r="A161" s="5" t="n">
        <f aca="false">ROW()-3</f>
        <v>158</v>
      </c>
      <c r="B161" s="6" t="s">
        <v>1081</v>
      </c>
      <c r="C161" s="6" t="s">
        <v>1041</v>
      </c>
      <c r="D161" s="6" t="s">
        <v>33</v>
      </c>
      <c r="E161" s="6" t="s">
        <v>52</v>
      </c>
      <c r="F161" s="5" t="n">
        <v>0</v>
      </c>
      <c r="G161" s="5" t="n">
        <v>18</v>
      </c>
      <c r="H161" s="5" t="n">
        <v>6</v>
      </c>
      <c r="I161" s="6" t="s">
        <v>1082</v>
      </c>
      <c r="J161" s="6" t="s">
        <v>1083</v>
      </c>
      <c r="K161" s="6" t="s">
        <v>1084</v>
      </c>
      <c r="L161" s="6" t="s">
        <v>1085</v>
      </c>
      <c r="M161" s="7" t="s">
        <v>1086</v>
      </c>
    </row>
    <row r="162" customFormat="false" ht="95.25" hidden="false" customHeight="true" outlineLevel="0" collapsed="false">
      <c r="A162" s="5" t="n">
        <f aca="false">ROW()-3</f>
        <v>159</v>
      </c>
      <c r="B162" s="6" t="s">
        <v>1087</v>
      </c>
      <c r="C162" s="6" t="s">
        <v>162</v>
      </c>
      <c r="D162" s="6" t="s">
        <v>1088</v>
      </c>
      <c r="E162" s="6" t="s">
        <v>1089</v>
      </c>
      <c r="F162" s="5" t="n">
        <v>11</v>
      </c>
      <c r="G162" s="5" t="n">
        <v>99</v>
      </c>
      <c r="H162" s="5" t="n">
        <v>11</v>
      </c>
      <c r="I162" s="6" t="s">
        <v>1090</v>
      </c>
      <c r="J162" s="6" t="s">
        <v>1091</v>
      </c>
      <c r="K162" s="6" t="s">
        <v>1092</v>
      </c>
      <c r="L162" s="6" t="s">
        <v>1093</v>
      </c>
      <c r="M162" s="7" t="s">
        <v>1094</v>
      </c>
    </row>
    <row r="163" customFormat="false" ht="95.25" hidden="false" customHeight="true" outlineLevel="0" collapsed="false">
      <c r="A163" s="5" t="n">
        <f aca="false">ROW()-3</f>
        <v>160</v>
      </c>
      <c r="B163" s="6" t="s">
        <v>1095</v>
      </c>
      <c r="C163" s="6" t="s">
        <v>1041</v>
      </c>
      <c r="D163" s="6" t="s">
        <v>1088</v>
      </c>
      <c r="E163" s="6" t="s">
        <v>1096</v>
      </c>
      <c r="F163" s="5" t="n">
        <v>6</v>
      </c>
      <c r="G163" s="5" t="n">
        <v>11</v>
      </c>
      <c r="H163" s="5" t="n">
        <v>4</v>
      </c>
      <c r="I163" s="6" t="s">
        <v>1097</v>
      </c>
      <c r="J163" s="6" t="s">
        <v>1098</v>
      </c>
      <c r="K163" s="6" t="s">
        <v>1099</v>
      </c>
      <c r="L163" s="6" t="s">
        <v>1100</v>
      </c>
      <c r="M163" s="7" t="s">
        <v>1101</v>
      </c>
    </row>
    <row r="164" customFormat="false" ht="42.75" hidden="false" customHeight="true" outlineLevel="0" collapsed="false">
      <c r="A164" s="5" t="n">
        <f aca="false">ROW()-3</f>
        <v>161</v>
      </c>
      <c r="B164" s="6" t="s">
        <v>1102</v>
      </c>
      <c r="C164" s="6" t="s">
        <v>219</v>
      </c>
      <c r="D164" s="6" t="s">
        <v>17</v>
      </c>
      <c r="E164" s="6" t="s">
        <v>1103</v>
      </c>
      <c r="F164" s="5" t="n">
        <v>8</v>
      </c>
      <c r="G164" s="5" t="n">
        <v>11</v>
      </c>
      <c r="H164" s="5" t="n">
        <v>5</v>
      </c>
      <c r="I164" s="6" t="s">
        <v>1104</v>
      </c>
      <c r="J164" s="6" t="s">
        <v>1105</v>
      </c>
      <c r="K164" s="6" t="s">
        <v>1106</v>
      </c>
      <c r="L164" s="6" t="s">
        <v>1107</v>
      </c>
      <c r="M164" s="7" t="s">
        <v>1108</v>
      </c>
    </row>
    <row r="165" customFormat="false" ht="32.25" hidden="false" customHeight="true" outlineLevel="0" collapsed="false">
      <c r="A165" s="5" t="n">
        <f aca="false">ROW()-3</f>
        <v>162</v>
      </c>
      <c r="B165" s="6" t="s">
        <v>1109</v>
      </c>
      <c r="C165" s="6" t="s">
        <v>219</v>
      </c>
      <c r="D165" s="6" t="s">
        <v>33</v>
      </c>
      <c r="E165" s="6" t="s">
        <v>1103</v>
      </c>
      <c r="F165" s="5" t="n">
        <v>8</v>
      </c>
      <c r="G165" s="5" t="n">
        <v>11</v>
      </c>
      <c r="H165" s="5" t="n">
        <v>5</v>
      </c>
      <c r="I165" s="6" t="s">
        <v>1110</v>
      </c>
      <c r="J165" s="6" t="s">
        <v>1111</v>
      </c>
      <c r="K165" s="6" t="s">
        <v>1112</v>
      </c>
      <c r="L165" s="6" t="s">
        <v>1113</v>
      </c>
      <c r="M165" s="7" t="s">
        <v>1114</v>
      </c>
    </row>
    <row r="166" customFormat="false" ht="32.25" hidden="false" customHeight="true" outlineLevel="0" collapsed="false">
      <c r="A166" s="5" t="n">
        <f aca="false">ROW()-3</f>
        <v>163</v>
      </c>
      <c r="B166" s="6" t="s">
        <v>1115</v>
      </c>
      <c r="C166" s="6" t="s">
        <v>16</v>
      </c>
      <c r="D166" s="6" t="s">
        <v>1116</v>
      </c>
      <c r="E166" s="6" t="s">
        <v>450</v>
      </c>
      <c r="F166" s="5" t="n">
        <v>3</v>
      </c>
      <c r="G166" s="5" t="n">
        <v>18</v>
      </c>
      <c r="H166" s="5" t="n">
        <v>7</v>
      </c>
      <c r="I166" s="6" t="s">
        <v>1117</v>
      </c>
      <c r="J166" s="6" t="s">
        <v>1118</v>
      </c>
      <c r="K166" s="6" t="s">
        <v>1119</v>
      </c>
      <c r="L166" s="6" t="s">
        <v>1120</v>
      </c>
      <c r="M166" s="7" t="s">
        <v>1121</v>
      </c>
    </row>
    <row r="167" customFormat="false" ht="32.25" hidden="false" customHeight="true" outlineLevel="0" collapsed="false">
      <c r="A167" s="5" t="n">
        <f aca="false">ROW()-3</f>
        <v>164</v>
      </c>
      <c r="B167" s="6" t="s">
        <v>1122</v>
      </c>
      <c r="C167" s="6" t="s">
        <v>1049</v>
      </c>
      <c r="D167" s="6" t="s">
        <v>17</v>
      </c>
      <c r="E167" s="6" t="s">
        <v>233</v>
      </c>
      <c r="F167" s="5" t="n">
        <v>12</v>
      </c>
      <c r="G167" s="5" t="n">
        <v>99</v>
      </c>
      <c r="H167" s="5" t="n">
        <v>5</v>
      </c>
      <c r="I167" s="6" t="s">
        <v>1123</v>
      </c>
      <c r="J167" s="6" t="s">
        <v>1124</v>
      </c>
      <c r="K167" s="6" t="s">
        <v>1125</v>
      </c>
      <c r="L167" s="6" t="s">
        <v>1126</v>
      </c>
      <c r="M167" s="7" t="s">
        <v>1127</v>
      </c>
    </row>
    <row r="168" customFormat="false" ht="32.25" hidden="false" customHeight="true" outlineLevel="0" collapsed="false">
      <c r="A168" s="5" t="n">
        <f aca="false">ROW()-3</f>
        <v>165</v>
      </c>
      <c r="B168" s="6" t="s">
        <v>1128</v>
      </c>
      <c r="C168" s="6" t="s">
        <v>219</v>
      </c>
      <c r="D168" s="6" t="s">
        <v>17</v>
      </c>
      <c r="E168" s="6" t="s">
        <v>233</v>
      </c>
      <c r="F168" s="5" t="n">
        <v>12</v>
      </c>
      <c r="G168" s="5" t="n">
        <v>99</v>
      </c>
      <c r="H168" s="5" t="n">
        <v>4</v>
      </c>
      <c r="I168" s="6" t="s">
        <v>1129</v>
      </c>
      <c r="J168" s="6" t="s">
        <v>1130</v>
      </c>
      <c r="K168" s="6" t="s">
        <v>1131</v>
      </c>
      <c r="L168" s="6" t="s">
        <v>1132</v>
      </c>
      <c r="M168" s="7" t="s">
        <v>1133</v>
      </c>
    </row>
    <row r="169" customFormat="false" ht="32.25" hidden="false" customHeight="true" outlineLevel="0" collapsed="false">
      <c r="A169" s="5" t="n">
        <f aca="false">ROW()-3</f>
        <v>166</v>
      </c>
      <c r="B169" s="6" t="s">
        <v>1134</v>
      </c>
      <c r="C169" s="6" t="s">
        <v>219</v>
      </c>
      <c r="D169" s="6" t="s">
        <v>33</v>
      </c>
      <c r="E169" s="6" t="s">
        <v>692</v>
      </c>
      <c r="F169" s="5" t="n">
        <v>3</v>
      </c>
      <c r="G169" s="5" t="n">
        <v>17</v>
      </c>
      <c r="H169" s="5" t="n">
        <v>10</v>
      </c>
      <c r="I169" s="6" t="s">
        <v>1135</v>
      </c>
      <c r="J169" s="6" t="s">
        <v>1136</v>
      </c>
      <c r="K169" s="6" t="s">
        <v>1137</v>
      </c>
      <c r="L169" s="6" t="s">
        <v>1138</v>
      </c>
      <c r="M169" s="7" t="s">
        <v>1139</v>
      </c>
    </row>
    <row r="170" customFormat="false" ht="32.25" hidden="false" customHeight="true" outlineLevel="0" collapsed="false">
      <c r="A170" s="5" t="n">
        <f aca="false">ROW()-3</f>
        <v>167</v>
      </c>
      <c r="B170" s="6" t="s">
        <v>1140</v>
      </c>
      <c r="C170" s="6" t="s">
        <v>219</v>
      </c>
      <c r="D170" s="6" t="s">
        <v>156</v>
      </c>
      <c r="E170" s="6" t="s">
        <v>692</v>
      </c>
      <c r="F170" s="5" t="n">
        <v>3</v>
      </c>
      <c r="G170" s="5" t="n">
        <v>17</v>
      </c>
      <c r="H170" s="5" t="n">
        <v>5</v>
      </c>
      <c r="I170" s="6" t="s">
        <v>1141</v>
      </c>
      <c r="J170" s="6" t="s">
        <v>1142</v>
      </c>
      <c r="K170" s="6" t="s">
        <v>1143</v>
      </c>
      <c r="L170" s="6" t="s">
        <v>1144</v>
      </c>
      <c r="M170" s="7" t="s">
        <v>1145</v>
      </c>
    </row>
    <row r="171" customFormat="false" ht="32.25" hidden="false" customHeight="true" outlineLevel="0" collapsed="false">
      <c r="A171" s="5" t="n">
        <f aca="false">ROW()-3</f>
        <v>168</v>
      </c>
      <c r="B171" s="6" t="s">
        <v>1146</v>
      </c>
      <c r="C171" s="6" t="s">
        <v>219</v>
      </c>
      <c r="D171" s="6" t="s">
        <v>1147</v>
      </c>
      <c r="E171" s="6" t="s">
        <v>450</v>
      </c>
      <c r="F171" s="5" t="n">
        <v>3</v>
      </c>
      <c r="G171" s="5" t="n">
        <v>18</v>
      </c>
      <c r="H171" s="5" t="n">
        <v>7</v>
      </c>
      <c r="I171" s="6" t="s">
        <v>1148</v>
      </c>
      <c r="J171" s="6" t="s">
        <v>1149</v>
      </c>
      <c r="K171" s="6" t="s">
        <v>1150</v>
      </c>
      <c r="L171" s="6" t="s">
        <v>1151</v>
      </c>
      <c r="M171" s="7" t="s">
        <v>1152</v>
      </c>
    </row>
    <row r="172" customFormat="false" ht="32.25" hidden="false" customHeight="true" outlineLevel="0" collapsed="false">
      <c r="A172" s="5" t="n">
        <f aca="false">ROW()-3</f>
        <v>169</v>
      </c>
      <c r="B172" s="6" t="s">
        <v>1153</v>
      </c>
      <c r="C172" s="6" t="s">
        <v>210</v>
      </c>
      <c r="D172" s="6" t="s">
        <v>33</v>
      </c>
      <c r="E172" s="6" t="s">
        <v>1154</v>
      </c>
      <c r="F172" s="5" t="n">
        <v>3</v>
      </c>
      <c r="G172" s="5" t="n">
        <v>7</v>
      </c>
      <c r="H172" s="5" t="n">
        <v>18</v>
      </c>
      <c r="I172" s="6" t="s">
        <v>1155</v>
      </c>
      <c r="J172" s="6" t="s">
        <v>1156</v>
      </c>
      <c r="K172" s="6" t="s">
        <v>1157</v>
      </c>
      <c r="L172" s="6" t="s">
        <v>1158</v>
      </c>
      <c r="M172" s="7" t="s">
        <v>1159</v>
      </c>
    </row>
    <row r="173" customFormat="false" ht="32.25" hidden="false" customHeight="true" outlineLevel="0" collapsed="false">
      <c r="A173" s="5" t="n">
        <f aca="false">ROW()-3</f>
        <v>170</v>
      </c>
      <c r="B173" s="6" t="s">
        <v>1160</v>
      </c>
      <c r="C173" s="6" t="s">
        <v>280</v>
      </c>
      <c r="D173" s="6" t="s">
        <v>17</v>
      </c>
      <c r="E173" s="6" t="s">
        <v>1161</v>
      </c>
      <c r="F173" s="5" t="n">
        <v>8</v>
      </c>
      <c r="G173" s="5" t="n">
        <v>16</v>
      </c>
      <c r="H173" s="5" t="n">
        <v>13</v>
      </c>
      <c r="I173" s="6" t="s">
        <v>1162</v>
      </c>
      <c r="J173" s="6" t="s">
        <v>1163</v>
      </c>
      <c r="K173" s="6" t="s">
        <v>1164</v>
      </c>
      <c r="L173" s="6" t="s">
        <v>1165</v>
      </c>
      <c r="M173" s="7" t="s">
        <v>1166</v>
      </c>
    </row>
    <row r="174" customFormat="false" ht="32.25" hidden="false" customHeight="true" outlineLevel="0" collapsed="false">
      <c r="A174" s="5" t="n">
        <f aca="false">ROW()-3</f>
        <v>171</v>
      </c>
      <c r="B174" s="6" t="s">
        <v>1167</v>
      </c>
      <c r="C174" s="6" t="s">
        <v>280</v>
      </c>
      <c r="D174" s="6" t="s">
        <v>33</v>
      </c>
      <c r="E174" s="6" t="s">
        <v>52</v>
      </c>
      <c r="F174" s="5" t="n">
        <v>0</v>
      </c>
      <c r="G174" s="5" t="n">
        <v>18</v>
      </c>
      <c r="H174" s="5" t="n">
        <v>15</v>
      </c>
      <c r="I174" s="6" t="s">
        <v>1168</v>
      </c>
      <c r="J174" s="6" t="s">
        <v>1169</v>
      </c>
      <c r="K174" s="6" t="s">
        <v>1170</v>
      </c>
      <c r="L174" s="6" t="s">
        <v>1171</v>
      </c>
      <c r="M174" s="7" t="s">
        <v>1172</v>
      </c>
    </row>
    <row r="175" customFormat="false" ht="32.25" hidden="false" customHeight="true" outlineLevel="0" collapsed="false">
      <c r="A175" s="5" t="n">
        <f aca="false">ROW()-3</f>
        <v>172</v>
      </c>
      <c r="B175" s="6" t="s">
        <v>1173</v>
      </c>
      <c r="C175" s="6" t="s">
        <v>427</v>
      </c>
      <c r="D175" s="6" t="s">
        <v>17</v>
      </c>
      <c r="E175" s="6" t="s">
        <v>95</v>
      </c>
      <c r="F175" s="5" t="n">
        <v>6</v>
      </c>
      <c r="G175" s="5" t="n">
        <v>18</v>
      </c>
      <c r="H175" s="5" t="n">
        <v>11</v>
      </c>
      <c r="I175" s="6" t="s">
        <v>1174</v>
      </c>
      <c r="J175" s="6" t="s">
        <v>1175</v>
      </c>
      <c r="K175" s="6" t="s">
        <v>1176</v>
      </c>
      <c r="L175" s="6" t="s">
        <v>1177</v>
      </c>
      <c r="M175" s="7" t="s">
        <v>1178</v>
      </c>
    </row>
    <row r="176" customFormat="false" ht="32.25" hidden="false" customHeight="true" outlineLevel="0" collapsed="false">
      <c r="A176" s="5" t="n">
        <f aca="false">ROW()-3</f>
        <v>173</v>
      </c>
      <c r="B176" s="6" t="s">
        <v>1179</v>
      </c>
      <c r="C176" s="6" t="s">
        <v>427</v>
      </c>
      <c r="D176" s="6" t="s">
        <v>33</v>
      </c>
      <c r="E176" s="6" t="s">
        <v>180</v>
      </c>
      <c r="F176" s="5" t="n">
        <v>4</v>
      </c>
      <c r="G176" s="5" t="n">
        <v>18</v>
      </c>
      <c r="H176" s="5" t="n">
        <v>5</v>
      </c>
      <c r="I176" s="6" t="s">
        <v>1180</v>
      </c>
      <c r="J176" s="6" t="s">
        <v>1181</v>
      </c>
      <c r="K176" s="6" t="s">
        <v>1182</v>
      </c>
      <c r="L176" s="6" t="s">
        <v>1183</v>
      </c>
      <c r="M176" s="7" t="s">
        <v>1184</v>
      </c>
    </row>
    <row r="177" customFormat="false" ht="32.25" hidden="false" customHeight="true" outlineLevel="0" collapsed="false">
      <c r="A177" s="5" t="n">
        <f aca="false">ROW()-3</f>
        <v>174</v>
      </c>
      <c r="B177" s="6" t="s">
        <v>1185</v>
      </c>
      <c r="C177" s="6" t="s">
        <v>122</v>
      </c>
      <c r="D177" s="6" t="s">
        <v>17</v>
      </c>
      <c r="E177" s="6" t="s">
        <v>1186</v>
      </c>
      <c r="F177" s="5" t="n">
        <v>8</v>
      </c>
      <c r="G177" s="5" t="n">
        <v>14</v>
      </c>
      <c r="H177" s="5" t="n">
        <v>9</v>
      </c>
      <c r="I177" s="6" t="s">
        <v>1187</v>
      </c>
      <c r="J177" s="6" t="s">
        <v>1188</v>
      </c>
      <c r="K177" s="6" t="s">
        <v>1189</v>
      </c>
      <c r="L177" s="6" t="s">
        <v>1190</v>
      </c>
      <c r="M177" s="7" t="s">
        <v>1191</v>
      </c>
    </row>
    <row r="178" customFormat="false" ht="32.25" hidden="false" customHeight="true" outlineLevel="0" collapsed="false">
      <c r="A178" s="5" t="n">
        <f aca="false">ROW()-3</f>
        <v>175</v>
      </c>
      <c r="B178" s="6" t="s">
        <v>1192</v>
      </c>
      <c r="C178" s="6" t="s">
        <v>122</v>
      </c>
      <c r="D178" s="6" t="s">
        <v>33</v>
      </c>
      <c r="E178" s="6" t="s">
        <v>603</v>
      </c>
      <c r="F178" s="5" t="n">
        <v>6</v>
      </c>
      <c r="G178" s="5" t="n">
        <v>14</v>
      </c>
      <c r="H178" s="5" t="n">
        <v>10</v>
      </c>
      <c r="I178" s="6" t="s">
        <v>1193</v>
      </c>
      <c r="J178" s="6" t="s">
        <v>1194</v>
      </c>
      <c r="K178" s="6" t="s">
        <v>1195</v>
      </c>
      <c r="L178" s="6" t="s">
        <v>1196</v>
      </c>
      <c r="M178" s="7" t="s">
        <v>1197</v>
      </c>
    </row>
    <row r="179" customFormat="false" ht="32.25" hidden="false" customHeight="true" outlineLevel="0" collapsed="false">
      <c r="A179" s="5" t="n">
        <f aca="false">ROW()-3</f>
        <v>176</v>
      </c>
      <c r="B179" s="6" t="s">
        <v>1198</v>
      </c>
      <c r="C179" s="6" t="s">
        <v>122</v>
      </c>
      <c r="D179" s="6" t="s">
        <v>33</v>
      </c>
      <c r="E179" s="6" t="s">
        <v>692</v>
      </c>
      <c r="F179" s="5" t="n">
        <v>3</v>
      </c>
      <c r="G179" s="5" t="n">
        <v>17</v>
      </c>
      <c r="H179" s="5" t="n">
        <v>22</v>
      </c>
      <c r="I179" s="6" t="s">
        <v>1199</v>
      </c>
      <c r="J179" s="6" t="s">
        <v>1200</v>
      </c>
      <c r="K179" s="6" t="s">
        <v>1201</v>
      </c>
      <c r="L179" s="6" t="s">
        <v>1202</v>
      </c>
      <c r="M179" s="7" t="s">
        <v>1203</v>
      </c>
    </row>
    <row r="180" customFormat="false" ht="32.25" hidden="false" customHeight="true" outlineLevel="0" collapsed="false">
      <c r="A180" s="5" t="n">
        <f aca="false">ROW()-3</f>
        <v>177</v>
      </c>
      <c r="B180" s="6" t="s">
        <v>1204</v>
      </c>
      <c r="C180" s="6" t="s">
        <v>122</v>
      </c>
      <c r="D180" s="6" t="s">
        <v>33</v>
      </c>
      <c r="E180" s="6" t="s">
        <v>692</v>
      </c>
      <c r="F180" s="5" t="n">
        <v>3</v>
      </c>
      <c r="G180" s="5" t="n">
        <v>17</v>
      </c>
      <c r="H180" s="5" t="n">
        <v>9</v>
      </c>
      <c r="I180" s="6" t="s">
        <v>1205</v>
      </c>
      <c r="J180" s="6" t="s">
        <v>1206</v>
      </c>
      <c r="K180" s="6" t="s">
        <v>1207</v>
      </c>
      <c r="L180" s="6" t="s">
        <v>1208</v>
      </c>
      <c r="M180" s="7" t="s">
        <v>1209</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1210</v>
      </c>
      <c r="B1" s="8"/>
      <c r="C1" s="8"/>
    </row>
    <row r="2" customFormat="false" ht="15" hidden="false" customHeight="true" outlineLevel="0" collapsed="false">
      <c r="A2" s="4" t="s">
        <v>4</v>
      </c>
      <c r="B2" s="4" t="s">
        <v>1211</v>
      </c>
      <c r="C2" s="4" t="s">
        <v>1212</v>
      </c>
    </row>
    <row r="3" customFormat="false" ht="15" hidden="false" customHeight="true" outlineLevel="0" collapsed="false">
      <c r="A3" s="9" t="s">
        <v>122</v>
      </c>
      <c r="B3" s="9" t="n">
        <f aca="false">COUNTIF(Catálogo!$C$4:$C$1000,A3)</f>
        <v>10</v>
      </c>
      <c r="C3" s="10" t="n">
        <f aca="false">IF($B$29=0,0,B3/$B$29)</f>
        <v>0.0564971751412429</v>
      </c>
    </row>
    <row r="4" customFormat="false" ht="15" hidden="false" customHeight="true" outlineLevel="0" collapsed="false">
      <c r="A4" s="9" t="s">
        <v>51</v>
      </c>
      <c r="B4" s="9" t="n">
        <f aca="false">COUNTIF(Catálogo!$C$4:$C$1000,A4)</f>
        <v>3</v>
      </c>
      <c r="C4" s="10" t="n">
        <f aca="false">IF($B$29=0,0,B4/$B$29)</f>
        <v>0.0169491525423729</v>
      </c>
    </row>
    <row r="5" customFormat="false" ht="15" hidden="false" customHeight="true" outlineLevel="0" collapsed="false">
      <c r="A5" s="9" t="s">
        <v>219</v>
      </c>
      <c r="B5" s="9" t="n">
        <f aca="false">COUNTIF(Catálogo!$C$4:$C$1000,A5)</f>
        <v>22</v>
      </c>
      <c r="C5" s="10" t="n">
        <f aca="false">IF($B$29=0,0,B5/$B$29)</f>
        <v>0.124293785310734</v>
      </c>
    </row>
    <row r="6" customFormat="false" ht="15" hidden="false" customHeight="true" outlineLevel="0" collapsed="false">
      <c r="A6" s="9" t="s">
        <v>131</v>
      </c>
      <c r="B6" s="9" t="n">
        <f aca="false">COUNTIF(Catálogo!$C$4:$C$1000,A6)</f>
        <v>14</v>
      </c>
      <c r="C6" s="10" t="n">
        <f aca="false">IF($B$29=0,0,B6/$B$29)</f>
        <v>0.0790960451977401</v>
      </c>
    </row>
    <row r="7" customFormat="false" ht="15" hidden="false" customHeight="true" outlineLevel="0" collapsed="false">
      <c r="A7" s="9" t="s">
        <v>441</v>
      </c>
      <c r="B7" s="9" t="n">
        <f aca="false">COUNTIF(Catálogo!$C$4:$C$1000,A7)</f>
        <v>6</v>
      </c>
      <c r="C7" s="10" t="n">
        <f aca="false">IF($B$29=0,0,B7/$B$29)</f>
        <v>0.0338983050847458</v>
      </c>
    </row>
    <row r="8" customFormat="false" ht="15" hidden="false" customHeight="true" outlineLevel="0" collapsed="false">
      <c r="A8" s="9" t="s">
        <v>115</v>
      </c>
      <c r="B8" s="9" t="n">
        <f aca="false">COUNTIF(Catálogo!$C$4:$C$1000,A8)</f>
        <v>4</v>
      </c>
      <c r="C8" s="10" t="n">
        <f aca="false">IF($B$29=0,0,B8/$B$29)</f>
        <v>0.0225988700564972</v>
      </c>
    </row>
    <row r="9" customFormat="false" ht="15" hidden="false" customHeight="true" outlineLevel="0" collapsed="false">
      <c r="A9" s="9" t="s">
        <v>171</v>
      </c>
      <c r="B9" s="9" t="n">
        <f aca="false">COUNTIF(Catálogo!$C$4:$C$1000,A9)</f>
        <v>2</v>
      </c>
      <c r="C9" s="10" t="n">
        <f aca="false">IF($B$29=0,0,B9/$B$29)</f>
        <v>0.0112994350282486</v>
      </c>
    </row>
    <row r="10" customFormat="false" ht="15" hidden="false" customHeight="true" outlineLevel="0" collapsed="false">
      <c r="A10" s="9" t="s">
        <v>587</v>
      </c>
      <c r="B10" s="9" t="n">
        <f aca="false">COUNTIF(Catálogo!$C$4:$C$1000,A10)</f>
        <v>1</v>
      </c>
      <c r="C10" s="10" t="n">
        <f aca="false">IF($B$29=0,0,B10/$B$29)</f>
        <v>0.00564971751412429</v>
      </c>
    </row>
    <row r="11" customFormat="false" ht="15" hidden="false" customHeight="true" outlineLevel="0" collapsed="false">
      <c r="A11" s="9" t="s">
        <v>186</v>
      </c>
      <c r="B11" s="9" t="n">
        <f aca="false">COUNTIF(Catálogo!$C$4:$C$1000,A11)</f>
        <v>4</v>
      </c>
      <c r="C11" s="10" t="n">
        <f aca="false">IF($B$29=0,0,B11/$B$29)</f>
        <v>0.0225988700564972</v>
      </c>
    </row>
    <row r="12" customFormat="false" ht="15" hidden="false" customHeight="true" outlineLevel="0" collapsed="false">
      <c r="A12" s="9" t="s">
        <v>400</v>
      </c>
      <c r="B12" s="9" t="n">
        <f aca="false">COUNTIF(Catálogo!$C$4:$C$1000,A12)</f>
        <v>12</v>
      </c>
      <c r="C12" s="10" t="n">
        <f aca="false">IF($B$29=0,0,B12/$B$29)</f>
        <v>0.0677966101694915</v>
      </c>
    </row>
    <row r="13" customFormat="false" ht="15" hidden="false" customHeight="true" outlineLevel="0" collapsed="false">
      <c r="A13" s="9" t="s">
        <v>72</v>
      </c>
      <c r="B13" s="9" t="n">
        <f aca="false">COUNTIF(Catálogo!$C$4:$C$1000,A13)</f>
        <v>9</v>
      </c>
      <c r="C13" s="10" t="n">
        <f aca="false">IF($B$29=0,0,B13/$B$29)</f>
        <v>0.0508474576271187</v>
      </c>
    </row>
    <row r="14" customFormat="false" ht="15" hidden="false" customHeight="true" outlineLevel="0" collapsed="false">
      <c r="A14" s="9" t="s">
        <v>280</v>
      </c>
      <c r="B14" s="9" t="n">
        <f aca="false">COUNTIF(Catálogo!$C$4:$C$1000,A14)</f>
        <v>18</v>
      </c>
      <c r="C14" s="10" t="n">
        <f aca="false">IF($B$29=0,0,B14/$B$29)</f>
        <v>0.101694915254237</v>
      </c>
    </row>
    <row r="15" customFormat="false" ht="15" hidden="false" customHeight="true" outlineLevel="0" collapsed="false">
      <c r="A15" s="9" t="s">
        <v>520</v>
      </c>
      <c r="B15" s="9" t="n">
        <f aca="false">COUNTIF(Catálogo!$C$4:$C$1000,A15)</f>
        <v>1</v>
      </c>
      <c r="C15" s="10" t="n">
        <f aca="false">IF($B$29=0,0,B15/$B$29)</f>
        <v>0.00564971751412429</v>
      </c>
    </row>
    <row r="16" customFormat="false" ht="15" hidden="false" customHeight="true" outlineLevel="0" collapsed="false">
      <c r="A16" s="9" t="s">
        <v>527</v>
      </c>
      <c r="B16" s="9" t="n">
        <f aca="false">COUNTIF(Catálogo!$C$4:$C$1000,A16)</f>
        <v>2</v>
      </c>
      <c r="C16" s="10" t="n">
        <f aca="false">IF($B$29=0,0,B16/$B$29)</f>
        <v>0.0112994350282486</v>
      </c>
    </row>
    <row r="17" customFormat="false" ht="15" hidden="false" customHeight="true" outlineLevel="0" collapsed="false">
      <c r="A17" s="9" t="s">
        <v>499</v>
      </c>
      <c r="B17" s="9" t="n">
        <f aca="false">COUNTIF(Catálogo!$C$4:$C$1000,A17)</f>
        <v>3</v>
      </c>
      <c r="C17" s="10" t="n">
        <f aca="false">IF($B$29=0,0,B17/$B$29)</f>
        <v>0.0169491525423729</v>
      </c>
    </row>
    <row r="18" customFormat="false" ht="15" hidden="false" customHeight="true" outlineLevel="0" collapsed="false">
      <c r="A18" s="9" t="s">
        <v>476</v>
      </c>
      <c r="B18" s="9" t="n">
        <f aca="false">COUNTIF(Catálogo!$C$4:$C$1000,A18)</f>
        <v>1</v>
      </c>
      <c r="C18" s="10" t="n">
        <f aca="false">IF($B$29=0,0,B18/$B$29)</f>
        <v>0.00564971751412429</v>
      </c>
    </row>
    <row r="19" customFormat="false" ht="15" hidden="false" customHeight="true" outlineLevel="0" collapsed="false">
      <c r="A19" s="9" t="s">
        <v>379</v>
      </c>
      <c r="B19" s="9" t="n">
        <f aca="false">COUNTIF(Catálogo!$C$4:$C$1000,A19)</f>
        <v>1</v>
      </c>
      <c r="C19" s="10" t="n">
        <f aca="false">IF($B$29=0,0,B19/$B$29)</f>
        <v>0.00564971751412429</v>
      </c>
    </row>
    <row r="20" customFormat="false" ht="15" hidden="false" customHeight="true" outlineLevel="0" collapsed="false">
      <c r="A20" s="9" t="s">
        <v>16</v>
      </c>
      <c r="B20" s="9" t="n">
        <f aca="false">COUNTIF(Catálogo!$C$4:$C$1000,A20)</f>
        <v>16</v>
      </c>
      <c r="C20" s="10" t="n">
        <f aca="false">IF($B$29=0,0,B20/$B$29)</f>
        <v>0.0903954802259887</v>
      </c>
    </row>
    <row r="21" customFormat="false" ht="15" hidden="false" customHeight="true" outlineLevel="0" collapsed="false">
      <c r="A21" s="9" t="s">
        <v>553</v>
      </c>
      <c r="B21" s="9" t="n">
        <f aca="false">COUNTIF(Catálogo!$C$4:$C$1000,A21)</f>
        <v>7</v>
      </c>
      <c r="C21" s="10" t="n">
        <f aca="false">IF($B$29=0,0,B21/$B$29)</f>
        <v>0.0395480225988701</v>
      </c>
    </row>
    <row r="22" customFormat="false" ht="15" hidden="false" customHeight="true" outlineLevel="0" collapsed="false">
      <c r="A22" s="9" t="s">
        <v>813</v>
      </c>
      <c r="B22" s="9" t="n">
        <f aca="false">COUNTIF(Catálogo!$C$4:$C$1000,A22)</f>
        <v>1</v>
      </c>
      <c r="C22" s="10" t="n">
        <f aca="false">IF($B$29=0,0,B22/$B$29)</f>
        <v>0.00564971751412429</v>
      </c>
    </row>
    <row r="23" customFormat="false" ht="15" hidden="false" customHeight="true" outlineLevel="0" collapsed="false">
      <c r="A23" s="9" t="s">
        <v>427</v>
      </c>
      <c r="B23" s="9" t="n">
        <f aca="false">COUNTIF(Catálogo!$C$4:$C$1000,A23)</f>
        <v>9</v>
      </c>
      <c r="C23" s="10" t="n">
        <f aca="false">IF($B$29=0,0,B23/$B$29)</f>
        <v>0.0508474576271187</v>
      </c>
    </row>
    <row r="24" customFormat="false" ht="15" hidden="false" customHeight="true" outlineLevel="0" collapsed="false">
      <c r="A24" s="9" t="s">
        <v>210</v>
      </c>
      <c r="B24" s="9" t="n">
        <f aca="false">COUNTIF(Catálogo!$C$4:$C$1000,A24)</f>
        <v>14</v>
      </c>
      <c r="C24" s="10" t="n">
        <f aca="false">IF($B$29=0,0,B24/$B$29)</f>
        <v>0.0790960451977401</v>
      </c>
    </row>
    <row r="25" customFormat="false" ht="15" hidden="false" customHeight="true" outlineLevel="0" collapsed="false">
      <c r="A25" s="9" t="s">
        <v>162</v>
      </c>
      <c r="B25" s="9" t="n">
        <f aca="false">COUNTIF(Catálogo!$C$4:$C$1000,A25)</f>
        <v>6</v>
      </c>
      <c r="C25" s="10" t="n">
        <f aca="false">IF($B$29=0,0,B25/$B$29)</f>
        <v>0.0338983050847458</v>
      </c>
    </row>
    <row r="26" customFormat="false" ht="15" hidden="false" customHeight="true" outlineLevel="0" collapsed="false">
      <c r="A26" s="9" t="s">
        <v>344</v>
      </c>
      <c r="B26" s="9" t="n">
        <f aca="false">COUNTIF(Catálogo!$C$4:$C$1000,A26)</f>
        <v>3</v>
      </c>
      <c r="C26" s="10" t="n">
        <f aca="false">IF($B$29=0,0,B26/$B$29)</f>
        <v>0.0169491525423729</v>
      </c>
    </row>
    <row r="27" customFormat="false" ht="15" hidden="false" customHeight="true" outlineLevel="0" collapsed="false">
      <c r="A27" s="9" t="s">
        <v>1049</v>
      </c>
      <c r="B27" s="9" t="n">
        <f aca="false">COUNTIF(Catálogo!$C$4:$C$1000,A27)</f>
        <v>3</v>
      </c>
      <c r="C27" s="10" t="n">
        <f aca="false">IF($B$29=0,0,B27/$B$29)</f>
        <v>0.0169491525423729</v>
      </c>
    </row>
    <row r="28" customFormat="false" ht="15" hidden="false" customHeight="true" outlineLevel="0" collapsed="false">
      <c r="A28" s="9" t="s">
        <v>1041</v>
      </c>
      <c r="B28" s="9" t="n">
        <f aca="false">COUNTIF(Catálogo!$C$4:$C$1000,A28)</f>
        <v>5</v>
      </c>
      <c r="C28" s="10" t="n">
        <f aca="false">IF($B$29=0,0,B28/$B$29)</f>
        <v>0.0282485875706215</v>
      </c>
    </row>
    <row r="29" customFormat="false" ht="15" hidden="false" customHeight="true" outlineLevel="0" collapsed="false">
      <c r="A29" s="11" t="s">
        <v>1213</v>
      </c>
      <c r="B29" s="11" t="n">
        <f aca="false">COUNTA(Catálogo!$B$4:$B$1000)</f>
        <v>177</v>
      </c>
      <c r="C29" s="12" t="n">
        <f aca="false">IF(B29=0,0,B29/B29)</f>
        <v>1</v>
      </c>
    </row>
    <row r="30" customFormat="false" ht="15" hidden="false" customHeight="true" outlineLevel="0" collapsed="false"/>
    <row r="31" customFormat="false" ht="15" hidden="false" customHeight="true" outlineLevel="0" collapsed="false">
      <c r="A31" s="13" t="s">
        <v>1214</v>
      </c>
    </row>
    <row r="32" customFormat="false" ht="14.25" hidden="false" customHeight="true" outlineLevel="0" collapsed="false">
      <c r="A32" s="14" t="s">
        <v>1215</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1216</v>
      </c>
      <c r="B1" s="8"/>
      <c r="C1" s="8"/>
    </row>
    <row r="2" customFormat="false" ht="15" hidden="false" customHeight="true" outlineLevel="0" collapsed="false">
      <c r="A2" s="4" t="s">
        <v>1217</v>
      </c>
      <c r="B2" s="4" t="s">
        <v>1218</v>
      </c>
      <c r="C2" s="4" t="s">
        <v>1219</v>
      </c>
    </row>
    <row r="3" customFormat="false" ht="57.75" hidden="false" customHeight="true" outlineLevel="0" collapsed="false">
      <c r="A3" s="16" t="s">
        <v>1220</v>
      </c>
      <c r="B3" s="17" t="s">
        <v>1221</v>
      </c>
      <c r="C3" s="6" t="s">
        <v>1222</v>
      </c>
    </row>
    <row r="4" customFormat="false" ht="57.75" hidden="false" customHeight="true" outlineLevel="0" collapsed="false">
      <c r="A4" s="16" t="s">
        <v>1223</v>
      </c>
      <c r="B4" s="17" t="s">
        <v>1224</v>
      </c>
      <c r="C4" s="6" t="s">
        <v>1225</v>
      </c>
    </row>
    <row r="5" customFormat="false" ht="57.75" hidden="false" customHeight="true" outlineLevel="0" collapsed="false">
      <c r="A5" s="16" t="s">
        <v>1226</v>
      </c>
      <c r="B5" s="17" t="s">
        <v>1227</v>
      </c>
      <c r="C5" s="6" t="s">
        <v>1228</v>
      </c>
    </row>
    <row r="6" customFormat="false" ht="57.75" hidden="false" customHeight="true" outlineLevel="0" collapsed="false">
      <c r="A6" s="16" t="s">
        <v>1229</v>
      </c>
      <c r="B6" s="17" t="s">
        <v>1230</v>
      </c>
      <c r="C6" s="6" t="s">
        <v>1231</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1232</v>
      </c>
      <c r="B1" s="8"/>
    </row>
    <row r="2" customFormat="false" ht="42" hidden="false" customHeight="true" outlineLevel="0" collapsed="false">
      <c r="A2" s="18" t="s">
        <v>1233</v>
      </c>
      <c r="B2" s="19" t="s">
        <v>1234</v>
      </c>
    </row>
    <row r="3" customFormat="false" ht="42" hidden="false" customHeight="true" outlineLevel="0" collapsed="false">
      <c r="A3" s="18" t="s">
        <v>1235</v>
      </c>
      <c r="B3" s="19" t="s">
        <v>1236</v>
      </c>
    </row>
    <row r="4" customFormat="false" ht="42" hidden="false" customHeight="true" outlineLevel="0" collapsed="false">
      <c r="A4" s="18" t="s">
        <v>1237</v>
      </c>
      <c r="B4" s="19" t="s">
        <v>1238</v>
      </c>
    </row>
    <row r="5" customFormat="false" ht="42" hidden="false" customHeight="true" outlineLevel="0" collapsed="false">
      <c r="A5" s="18" t="s">
        <v>1239</v>
      </c>
      <c r="B5" s="19" t="s">
        <v>1240</v>
      </c>
    </row>
    <row r="6" customFormat="false" ht="42" hidden="false" customHeight="true" outlineLevel="0" collapsed="false">
      <c r="A6" s="18" t="s">
        <v>1241</v>
      </c>
      <c r="B6" s="19" t="s">
        <v>1242</v>
      </c>
    </row>
    <row r="7" customFormat="false" ht="42" hidden="false" customHeight="true" outlineLevel="0" collapsed="false">
      <c r="A7" s="18" t="s">
        <v>1243</v>
      </c>
      <c r="B7" s="19" t="s">
        <v>1244</v>
      </c>
    </row>
    <row r="8" customFormat="false" ht="9.75" hidden="false" customHeight="true" outlineLevel="0" collapsed="false">
      <c r="A8" s="18"/>
      <c r="B8" s="19"/>
    </row>
    <row r="9" customFormat="false" ht="42" hidden="false" customHeight="true" outlineLevel="0" collapsed="false">
      <c r="A9" s="18" t="s">
        <v>1245</v>
      </c>
      <c r="B9" s="19" t="s">
        <v>1246</v>
      </c>
    </row>
    <row r="10" customFormat="false" ht="42" hidden="false" customHeight="true" outlineLevel="0" collapsed="false">
      <c r="A10" s="18" t="s">
        <v>1247</v>
      </c>
      <c r="B10" s="19" t="s">
        <v>1248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2026-08-24T07:53:24Z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