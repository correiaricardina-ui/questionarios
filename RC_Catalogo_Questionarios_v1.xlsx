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<sst xmlns="http://schemas.openxmlformats.org/spreadsheetml/2006/main" count="1838" uniqueCount="1365">
  <si>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</si>
  <si>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</si>
  <si>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</si>
  <si>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</si>
  <si>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</si>
  <si>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</si>
  <si>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</si>
  <si>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</si>
  <si>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</si>
  <si>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</si>
  <si>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</si>
  <si>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</si>
  <si>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</si>
  <si>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</si>
  <si>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</si>
  <si>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</si>
  <si>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</si>
  <si>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</si>
  <si>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</si>
  <si>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</si>
  <si>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</si>
  <si>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</si>
  <si>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</si>
  <si>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</si>
  <si>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</si>
  <si>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</si>
  <si>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</si>
  <si>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</si>
  <si>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</si>
  <si>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</si>
  <si>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</si>
  <si>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</si>
  <si>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</si>
  <si>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</si>
  <si>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</si>
  <si>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</si>
  <si>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</si>
  <si>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</si>
  <si>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</si>
  <si>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</si>
  <si>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</si>
  <si>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</si>
  <si>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</si>
  <si>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</si>
  <si>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</si>
  <si>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</si>
  <si>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</si>
  <si>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</si>
  <si>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</si>
  <si>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</si>
  <si>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</si>
  <si>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</si>
  <si>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</si>
  <si>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</si>
  <si>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</si>
  <si>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</si>
  <si>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</si>
  <si>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</si>
  <si>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</si>
  <si>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</si>
  <si>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</si>
  <si>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</si>
  <si>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</si>
  <si>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</si>
  <si>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</si>
  <si>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</si>
  <si>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</si>
  <si>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</si>
  <si>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</si>
  <si>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</si>
  <si>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</si>
  <si>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</si>
  <si>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</si>
  <si>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</si>
  <si>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</si>
  <si>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</si>
  <si>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</si>
  <si>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</si>
  <si>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</si>
  <si>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</si>
  <si>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</si>
  <si>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</si>
  <si>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</si>
  <si>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</si>
  <si>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</si>
  <si>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</si>
  <si>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</si>
  <si>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</si>
  <si>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</si>
  <si>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</si>
  <si>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</si>
  <si>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</si>
  <si>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</si>
  <si>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</si>
  <si>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</si>
  <si>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</si>
  <si>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</si>
  <si>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</si>
  <si>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</si>
  <si>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</si>
  <si>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</si>
  <si>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</si>
  <si>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</si>
  <si>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</si>
  <si>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</si>
  <si>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</si>
  <si>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</si>
  <si>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</si>
  <si>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</si>
  <si>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</si>
  <si>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</si>
  <si>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</si>
  <si>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</si>
  <si>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</si>
  <si>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</si>
  <si>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</si>
  <si>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</si>
  <si>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</si>
  <si>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</si>
  <si>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</si>
  <si>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</si>
  <si>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</si>
  <si>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</si>
  <si>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</si>
  <si>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</si>
  <si>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</si>
  <si>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</si>
  <si>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</si>
  <si>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</si>
  <si>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</si>
  <si>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</si>
  <si>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</si>
  <si>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</si>
  <si>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</si>
  <si>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</si>
  <si>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</si>
  <si>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</si>
  <si>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</si>
  <si>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</si>
  <si>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</si>
  <si>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</si>
  <si>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</si>
  <si>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</si>
  <si>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</si>
  <si>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</si>
  <si>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</si>
  <si>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</si>
  <si>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</si>
  <si>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</si>
  <si>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</si>
  <si>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</si>
  <si>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</si>
  <si>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</si>
  <si>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</si>
  <si>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</si>
  <si>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</si>
  <si>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</si>
  <si>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</si>
  <si>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</si>
  <si>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</si>
  <si>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</si>
  <si>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</si>
  <si>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</si>
  <si>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</si>
  <si>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</si>
  <si>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</si>
  <si>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</si>
  <si>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</si>
  <si>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</si>
  <si>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</si>
  <si>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</si>
  <si>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</si>
  <si>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</si>
  <si>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</si>
  <si>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</si>
  <si>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</si>
  <si>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</si>
  <si>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</si>
  <si>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</si>
  <si>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</si>
  <si>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</si>
  <si>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</si>
  <si>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</si>
  <si>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</si>
  <si>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</si>
  <si>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</si>
  <si>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</si>
  <si>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</si>
  <si>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</si>
  <si>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</si>
  <si>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</si>
  <si>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</si>
  <si>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</si>
  <si>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</si>
  <si>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</si>
  <si>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</si>
  <si>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</si>
  <si>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</si>
  <si>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</si>
  <si>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</si>
  <si>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</si>
  <si>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</si>
  <si>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</si>
  <si>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</si>
  <si>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</si>
  <si>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</si>
  <si>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</si>
  <si>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</si>
  <si>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</si>
  <si>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</si>
  <si>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</si>
  <si>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</si>
  <si>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</si>
  <si>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</si>
  <si>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</si>
  <si>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</si>
  <si>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</si>
  <si>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</si>
  <si>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</si>
  <si>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</si>
  <si>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</si>
  <si>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</si>
  <si>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</si>
  <si>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</si>
  <si>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</si>
  <si>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</si>
  <si>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</si>
  <si>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</si>
  <si>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</si>
  <si>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</si>
  <si>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</si>
  <si>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</si>
  <si>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</si>
  <si>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</si>
  <si>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</si>
  <si>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</si>
  <si>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</si>
  <si>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</si>
  <si>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</si>
  <si>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</si>
  <si>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</si>
  <si>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</si>
  <si>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</si>
  <si>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</si>
  <si>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</si>
  <si>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</si>
  <si>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</si>
  <si>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</si>
  <si>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</si>
  <si>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</si>
  <si>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</si>
  <si>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</si>
  <si>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</si>
  <si>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</si>
  <si>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</si>
  <si>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</si>
  <si>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</si>
  <si>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</si>
  <si>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</si>
  <si>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</si>
  <si>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</si>
  <si>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</si>
  <si>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</si>
  <si>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</si>
  <si>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</si>
  <si>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</si>
  <si>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</si>
  <si>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</si>
  <si>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</si>
  <si>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</si>
  <si>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</si>
  <si>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</si>
  <si>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</si>
  <si>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</si>
  <si>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</si>
  <si>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</si>
  <si>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</si>
  <si>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</si>
  <si>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</si>
  <si>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</si>
  <si>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</si>
  <si>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</si>
  <si>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</si>
  <si>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</si>
  <si>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</si>
  <si>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</si>
  <si>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</si>
  <si>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</si>
  <si>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</si>
  <si>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</si>
  <si>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</si>
  <si>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</si>
  <si>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</si>
  <si>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</si>
  <si>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</si>
  <si>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</si>
  <si>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</si>
  <si>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</si>
  <si>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</si>
  <si>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</si>
  <si>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</si>
  <si>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</si>
  <si>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</si>
  <si>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</si>
  <si>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</si>
  <si>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</si>
  <si>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</si>
  <si>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</si>
  <si>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</si>
  <si>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</si>
  <si>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</si>
  <si>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</si>
  <si>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</si>
  <si>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</si>
  <si>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</si>
  <si>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</si>
  <si>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</si>
  <si>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</si>
  <si>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</si>
  <si>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</si>
  <si>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</si>
  <si>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</si>
  <si>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</si>
  <si>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</si>
  <si>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</si>
  <si>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</si>
  <si>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</si>
  <si>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</si>
  <si>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</si>
  <si>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</si>
  <si>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</si>
  <si>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</si>
  <si>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</si>
  <si>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</si>
  <si>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</si>
  <si>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</si>
  <si>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</si>
  <si>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</si>
  <si>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</si>
  <si>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</si>
  <si>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</si>
  <si>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</si>
  <si>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</si>
  <si>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</si>
  <si>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</si>
  <si>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</si>
  <si>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</si>
  <si>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</si>
  <si>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</si>
  <si>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</si>
  <si>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</si>
  <si>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</si>
  <si>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</si>
  <si>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</si>
  <si>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</si>
  <si>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</si>
  <si>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</si>
  <si>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</si>
  <si>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</si>
  <si>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</si>
  <si>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</si>
  <si>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</si>
  <si>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</si>
  <si>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</si>
  <si>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</si>
  <si>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</si>
  <si>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</si>
  <si>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</si>
  <si>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</si>
  <si>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</si>
  <si>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</si>
  <si>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</si>
  <si>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</si>
  <si>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</si>
  <si>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</si>
  <si>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</si>
  <si>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</si>
  <si>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</si>
  <si>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</si>
  <si>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</si>
  <si>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</si>
  <si>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</si>
  <si>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</si>
  <si>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</si>
  <si>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</si>
  <si>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</si>
  <si>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</si>
  <si>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</si>
  <si>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</si>
  <si>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</si>
  <si>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</si>
  <si>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</si>
  <si>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</si>
  <si>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Paciente, Cônjuge/Parceiro(a), Mãe, Pai, Enc. Educação, Clínico</t>
  </si>
  <si>
    <t xml:space="preserve">5 anos+</t>
  </si>
  <si>
    <t xml:space="preserve">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t>
  </si>
  <si>
    <t xml:space="preserve">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</si>
  <si>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</si>
  <si>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</si>
  <si>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</si>
  <si>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</si>
  <si>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</si>
  <si>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</si>
  <si>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</si>
  <si>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</si>
  <si>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</si>
  <si>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</si>
  <si>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</si>
  <si>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</si>
  <si>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</si>
  <si>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</si>
  <si>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</si>
  <si>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</si>
  <si>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</si>
  <si>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</si>
  <si>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</si>
  <si>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</si>
  <si>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</si>
  <si>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</si>
  <si>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</si>
  <si>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</si>
  <si>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</si>
  <si>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</si>
  <si>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</si>
  <si>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</si>
  <si>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</si>
  <si>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</si>
  <si>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</si>
  <si>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</si>
  <si>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</si>
  <si>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</si>
  <si>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</si>
  <si>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</si>
  <si>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</si>
  <si>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</si>
  <si>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</si>
  <si>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</si>
  <si>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</si>
  <si>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</si>
  <si>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</si>
  <si>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</si>
  <si>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</si>
  <si>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</si>
  <si>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</si>
  <si>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</si>
  <si>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</si>
  <si>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</si>
  <si>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</si>
  <si>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</si>
  <si>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</si>
  <si>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</si>
  <si>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</si>
  <si>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</si>
  <si>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</si>
  <si>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</si>
  <si>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</si>
  <si>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</si>
  <si>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</si>
  <si>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</si>
  <si>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</si>
  <si>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</si>
  <si>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</si>
  <si>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</si>
  <si>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</si>
  <si>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</si>
  <si>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</si>
  <si>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</si>
  <si>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</si>
  <si>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</si>
  <si>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</si>
  <si>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</si>
  <si>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</si>
  <si>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</si>
  <si>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</si>
  <si>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</si>
  <si>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</si>
  <si>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</si>
  <si>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</si>
  <si>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</si>
  <si>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</si>
  <si>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</si>
  <si>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</si>
  <si>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</si>
  <si>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</si>
  <si>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</si>
  <si>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</si>
  <si>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</si>
  <si>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</si>
  <si>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</si>
  <si>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</si>
  <si>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</si>
  <si>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</si>
  <si>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</si>
  <si>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</si>
  <si>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</si>
  <si>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</si>
  <si>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</si>
  <si>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</si>
  <si>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</si>
  <si>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</si>
  <si>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</si>
  <si>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</si>
  <si>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</si>
  <si>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</si>
  <si>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</si>
  <si>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</si>
  <si>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</si>
  <si>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</si>
  <si>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</si>
  <si>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</si>
  <si>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</si>
  <si>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</si>
  <si>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</si>
  <si>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</si>
  <si>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</si>
  <si>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</si>
  <si>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</si>
  <si>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</si>
  <si>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</si>
  <si>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</si>
  <si>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</si>
  <si>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</si>
  <si>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</si>
  <si>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</si>
  <si>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</si>
  <si>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</si>
  <si>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</si>
  <si>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</si>
  <si>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</si>
  <si>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</si>
  <si>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</si>
  <si>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</si>
  <si>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</si>
  <si>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</si>
  <si>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</si>
  <si>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</si>
  <si>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</si>
  <si>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</si>
  <si>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</si>
  <si>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</si>
  <si>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</si>
  <si>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</si>
  <si>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</si>
  <si>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</si>
  <si>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</si>
  <si>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</si>
  <si>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</si>
  <si>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</si>
  <si>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</si>
  <si>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</si>
  <si>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</si>
  <si>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</si>
  <si>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</si>
  <si>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</si>
  <si>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</si>
  <si>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</si>
  <si>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</si>
  <si>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</si>
  <si>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</si>
  <si>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</si>
  <si>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</si>
  <si>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</si>
  <si>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</si>
  <si>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</si>
  <si>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</si>
  <si>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</si>
  <si>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</si>
  <si>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</si>
  <si>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</si>
  <si>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</si>
  <si>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</si>
  <si>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</si>
  <si>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</si>
  <si>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</si>
  <si>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</si>
  <si>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</si>
  <si>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</si>
  <si>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</si>
  <si>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</si>
  <si>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</si>
  <si>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</si>
  <si>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</si>
  <si>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</si>
  <si>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</si>
  <si>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</si>
  <si>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</si>
  <si>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</si>
  <si>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</si>
  <si>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</si>
  <si>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</si>
  <si>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</si>
  <si>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</si>
  <si>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</si>
  <si>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</si>
  <si>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</si>
  <si>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</si>
  <si>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</si>
  <si>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</si>
  <si>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</si>
  <si>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</si>
  <si>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</si>
  <si>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</si>
  <si>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</si>
  <si>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</si>
  <si>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</si>
  <si>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</si>
  <si>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</si>
  <si>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</si>
  <si>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</si>
  <si>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</si>
  <si>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</si>
  <si>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</si>
  <si>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</si>
  <si>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</si>
  <si>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</si>
  <si>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</si>
  <si>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</si>
  <si>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</si>
  <si>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</si>
  <si>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</si>
  <si>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</si>
  <si>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</si>
  <si>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</si>
  <si>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</si>
  <si>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</si>
  <si>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</si>
  <si>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</si>
  <si>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</si>
  <si>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</si>
  <si>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</si>
  <si>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</si>
  <si>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</si>
  <si>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</si>
  <si>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</si>
  <si>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</si>
  <si>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</si>
  <si>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</si>
  <si>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</si>
  <si>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</si>
  <si>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</si>
  <si>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</si>
  <si>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</si>
  <si>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</si>
  <si>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</si>
  <si>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</si>
  <si>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</si>
  <si>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</si>
  <si>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</si>
  <si>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</si>
  <si>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</si>
  <si>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</si>
  <si>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</si>
  <si>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</si>
  <si>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</si>
  <si>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</si>
  <si>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</si>
  <si>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</si>
  <si>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</si>
  <si>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</si>
  <si>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</si>
  <si>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</si>
  <si>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</si>
  <si>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</si>
  <si>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</si>
  <si>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</si>
  <si>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</si>
  <si>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</si>
  <si>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</si>
  <si>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</si>
  <si>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</si>
  <si>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</si>
  <si>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</si>
  <si>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</si>
  <si>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</si>
  <si>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</si>
  <si>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</si>
  <si>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</si>
  <si>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</si>
  <si>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</si>
  <si>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</si>
  <si>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</si>
  <si>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</si>
  <si>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</si>
  <si>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</si>
  <si>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</si>
  <si>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</si>
  <si>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</si>
  <si>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</si>
  <si>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</si>
  <si>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</si>
  <si>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</si>
  <si>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</si>
  <si>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</si>
  <si>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</si>
  <si>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</si>
  <si>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</si>
  <si>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</si>
  <si>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</si>
  <si>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</si>
  <si>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</si>
  <si>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</si>
  <si>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</si>
  <si>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</si>
  <si>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</si>
  <si>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</si>
  <si>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</si>
  <si>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</si>
  <si>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</si>
  <si>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</si>
  <si>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</si>
  <si>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</si>
  <si>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</si>
  <si>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</si>
  <si>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</si>
  <si>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</si>
  <si>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</si>
  <si>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</si>
  <si>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</si>
  <si>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</si>
  <si>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</si>
  <si>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</si>
  <si>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</si>
  <si>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</si>
  <si>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</si>
  <si>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</si>
  <si>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</si>
  <si>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</si>
  <si>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</si>
  <si>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</si>
  <si>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</si>
  <si>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</si>
  <si>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</si>
  <si>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</si>
  <si>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</si>
  <si>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</si>
  <si>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</si>
  <si>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</si>
  <si>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</si>
  <si>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</si>
  <si>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</si>
  <si>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</si>
  <si>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</si>
  <si>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</si>
  <si>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</si>
  <si>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</si>
  <si>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</si>
  <si>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</si>
  <si>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</si>
  <si>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</si>
  <si>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</si>
  <si>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</si>
  <si>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</si>
  <si>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</si>
  <si>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</si>
  <si>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</si>
  <si>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</si>
  <si>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</si>
  <si>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</si>
  <si>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</si>
  <si>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</si>
  <si>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</si>
  <si>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</si>
  <si>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</si>
  <si>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</si>
  <si>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</si>
  <si>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</si>
  <si>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</si>
  <si>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</si>
  <si>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</si>
  <si>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</si>
  <si>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</si>
  <si>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</si>
  <si>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</si>
  <si>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</si>
  <si>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</si>
  <si>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</si>
  <si>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</si>
  <si>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</si>
  <si>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</si>
  <si>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</si>
  <si>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</si>
  <si>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</si>
  <si>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</si>
  <si>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</si>
  <si>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</si>
  <si>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</si>
  <si>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</si>
  <si>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</si>
  <si>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</si>
  <si>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</si>
  <si>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</si>
  <si>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</si>
  <si>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</si>
  <si>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</si>
  <si>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</si>
  <si>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</si>
  <si>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</si>
  <si>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</si>
  <si>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</si>
  <si>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</si>
  <si>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</si>
  <si>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</si>
  <si>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</si>
  <si>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</si>
  <si>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</si>
  <si>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</si>
  <si>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</si>
  <si>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</si>
  <si>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</si>
  <si>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</si>
  <si>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</si>
  <si>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</si>
  <si>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</si>
  <si>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</si>
  <si>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</si>
  <si>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</si>
  <si>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</si>
  <si>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</si>
  <si>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</si>
  <si>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</si>
  <si>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</si>
  <si>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</si>
  <si>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</si>
  <si>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</si>
  <si>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</si>
  <si>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</si>
  <si>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</si>
  <si>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</si>
  <si>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</si>
  <si>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</si>
  <si>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</si>
  <si>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</si>
  <si>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</si>
  <si>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</si>
  <si>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</si>
  <si>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</si>
  <si>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</si>
  <si>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</si>
  <si>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</si>
  <si>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</si>
  <si>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</si>
  <si>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</si>
  <si>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</si>
  <si>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</si>
  <si>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</si>
  <si>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</si>
  <si>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</si>
  <si>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</si>
  <si>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</si>
  <si>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</si>
  <si>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</si>
  <si>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</si>
  <si>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</si>
  <si>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</si>
  <si>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</si>
  <si>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</si>
  <si>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</si>
  <si>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</si>
  <si>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</si>
  <si>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</si>
  <si>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</si>
  <si>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</si>
  <si>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</si>
  <si>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</si>
  <si>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</si>
  <si>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</si>
  <si>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</si>
  <si>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</si>
  <si>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</si>
  <si>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</si>
  <si>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</si>
  <si>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</si>
  <si>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</si>
  <si>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</si>
  <si>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</si>
  <si>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</si>
  <si>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</si>
  <si>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</si>
  <si>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</si>
  <si>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</si>
  <si>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</si>
  <si>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</si>
  <si>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</si>
  <si>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</si>
  <si>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</si>
  <si>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</si>
  <si>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</si>
  <si>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</si>
  <si>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</si>
  <si>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</si>
  <si>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</si>
  <si>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</si>
  <si>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</si>
  <si>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</si>
  <si>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</si>
  <si>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</si>
  <si>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</si>
  <si>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</si>
  <si>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</si>
  <si>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</si>
  <si>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</si>
  <si>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</si>
  <si>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</si>
  <si>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</si>
  <si>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</si>
  <si>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</si>
  <si>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</si>
  <si>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</si>
  <si>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</si>
  <si>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</si>
  <si>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</si>
  <si>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</si>
  <si>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</si>
  <si>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</si>
  <si>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</si>
  <si>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</si>
  <si>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</si>
  <si>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</si>
  <si>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</si>
  <si>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</si>
  <si>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</si>
  <si>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</si>
  <si>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</si>
  <si>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</si>
  <si>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</si>
  <si>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</si>
  <si>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</si>
  <si>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</si>
  <si>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</si>
  <si>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</si>
  <si>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</si>
  <si>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</si>
  <si>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</si>
  <si>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</si>
  <si>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</si>
  <si>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</si>
  <si>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</si>
  <si>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</si>
  <si>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</si>
  <si>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</si>
  <si>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</si>
  <si>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</si>
  <si>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</si>
  <si>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</si>
  <si>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</si>
  <si>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</si>
  <si>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</si>
  <si>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</si>
  <si>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</si>
  <si>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</si>
  <si>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</si>
  <si>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</si>
  <si>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</si>
  <si>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</si>
  <si>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</si>
  <si>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</si>
  <si>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</si>
  <si>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</si>
  <si>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</si>
  <si>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</si>
  <si>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</si>
  <si>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</si>
  <si>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</si>
  <si>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</si>
  <si>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</si>
  <si>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</si>
  <si>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</si>
  <si>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</si>
  <si>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</si>
  <si>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</si>
  <si>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</si>
  <si>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</si>
  <si>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</si>
  <si>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</si>
  <si>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</si>
  <si>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</si>
  <si>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</si>
  <si>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</si>
  <si>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</si>
  <si>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</si>
  <si>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</si>
  <si>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</si>
  <si>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</si>
  <si>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</si>
  <si>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</si>
  <si>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</si>
  <si>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</si>
  <si>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</si>
  <si>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</si>
  <si>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</si>
  <si>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</si>
  <si>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</si>
  <si>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</si>
  <si>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</si>
  <si>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</si>
  <si>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</si>
  <si>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</si>
  <si>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</si>
  <si>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</si>
  <si>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</si>
  <si>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</si>
  <si>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</si>
  <si>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</si>
  <si>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</si>
  <si>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</si>
  <si>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</si>
  <si>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</si>
  <si>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</si>
  <si>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</si>
  <si>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</si>
  <si>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</si>
  <si>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</si>
  <si>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</si>
  <si>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</si>
  <si>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</si>
  <si>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</si>
  <si>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</si>
  <si>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</si>
  <si>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</si>
  <si>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</si>
  <si>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</si>
  <si>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</si>
  <si>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</si>
  <si>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</si>
  <si>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</si>
  <si>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</si>
  <si>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</si>
  <si>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</si>
  <si>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</si>
  <si>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</si>
  <si>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</si>
  <si>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</si>
  <si>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</si>
  <si>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</si>
  <si>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</si>
  <si>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</si>
  <si>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</si>
  <si>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</si>
  <si>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</si>
  <si>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</si>
  <si>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</si>
  <si>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</si>
  <si>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</si>
  <si>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</si>
  <si>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</si>
  <si>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</si>
  <si>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</si>
  <si>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</si>
  <si>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</si>
  <si>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</si>
  <si>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</si>
  <si>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</si>
  <si>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</si>
  <si>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</si>
  <si>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</si>
  <si>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</si>
  <si>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</si>
  <si>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</si>
  <si>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</si>
  <si>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</si>
  <si>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</si>
  <si>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</si>
  <si>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</si>
  <si>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</si>
  <si>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</si>
  <si>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</si>
  <si>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</si>
  <si>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</si>
  <si>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</si>
  <si>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</si>
  <si>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</si>
  <si>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</si>
  <si>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</si>
  <si>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</si>
  <si>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</si>
  <si>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</si>
  <si>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</si>
  <si>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</si>
  <si>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</si>
  <si>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</si>
  <si>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</si>
  <si>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</si>
  <si>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</si>
  <si>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</si>
  <si>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</si>
  <si>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</si>
  <si>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</si>
  <si>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</si>
  <si>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</si>
  <si>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</si>
  <si>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</si>
  <si>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</si>
  <si>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</si>
  <si>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</si>
  <si>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</si>
  <si>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</si>
  <si>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</si>
  <si>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</si>
  <si>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</si>
  <si>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</si>
  <si>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</si>
  <si>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</si>
  <si>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</si>
  <si>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</si>
  <si>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</si>
  <si>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</si>
  <si>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</si>
  <si>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</si>
  <si>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</si>
  <si>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</si>
  <si>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</si>
  <si>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</si>
  <si>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</si>
  <si>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</si>
  <si>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</si>
  <si>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</si>
  <si>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</si>
  <si>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</si>
  <si>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</si>
  <si>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</si>
  <si>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</si>
  <si>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</si>
  <si>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</si>
  <si>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</si>
  <si>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</si>
  <si>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</si>
  <si>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</si>
  <si>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</si>
  <si>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</si>
  <si>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</si>
  <si>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</si>
  <si>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</si>
  <si>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</si>
  <si>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</si>
  <si>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</si>
  <si>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</si>
  <si>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</si>
  <si>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</si>
  <si>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</si>
  <si>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</si>
  <si>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</si>
  <si>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</si>
  <si>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</si>
  <si>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</si>
  <si>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</si>
  <si>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</si>
  <si>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</si>
  <si>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</si>
  <si>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</si>
  <si>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</si>
  <si>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</si>
  <si>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</si>
  <si>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</si>
  <si>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</si>
  <si>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</si>
  <si>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</si>
  <si>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</si>
  <si>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</si>
  <si>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</si>
  <si>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</si>
  <si>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</si>
  <si>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</si>
  <si>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</si>
  <si>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</si>
  <si>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</si>
  <si>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</si>
  <si>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</si>
  <si>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</si>
  <si>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</si>
  <si>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</si>
  <si>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</si>
  <si>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</si>
  <si>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</si>
  <si>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</si>
  <si>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</si>
  <si>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</si>
  <si>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</si>
  <si>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</si>
  <si>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</si>
  <si>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</si>
  <si>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</si>
  <si>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</si>
  <si>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</si>
  <si>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</si>
  <si>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</si>
  <si>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</si>
  <si>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</si>
  <si>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</si>
  <si>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</si>
  <si>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</si>
  <si>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</si>
  <si>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</si>
  <si>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</si>
  <si>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</si>
  <si>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</si>
  <si>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</si>
  <si>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</si>
  <si>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</si>
  <si>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</si>
  <si>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</si>
  <si>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</si>
  <si>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</si>
  <si>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</si>
  <si>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</si>
  <si>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</si>
  <si>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</si>
  <si>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</si>
  <si>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</si>
  <si>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</si>
  <si>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</si>
  <si>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</si>
  <si>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SIAS · SPS — Escalas de Ansiedade Social</t>
  </si>
  <si>
    <t xml:space="preserve">Próprio</t>
  </si>
  <si>
    <t xml:space="preserve">14–99 anos</t>
  </si>
  <si>
    <t xml:space="preserve">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t>
  </si>
  <si>
    <t xml:space="preserve">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t>
  </si>
  <si>
    <t xml:space="preserve">sias_sps</t>
  </si>
  <si>
    <t xml:space="preserve">q_sias_sps</t>
  </si>
  <si>
    <t xml:space="preserve">https://correiaricardina-ui.github.io/questionarios/SIAS_SPS_v1.html</t>
  </si>
  <si>
    <t xml:space="preserve">BAI — Inventário de Ansiedade de Beck</t>
  </si>
  <si>
    <t xml:space="preserve">Próprio, Mãe, Pai</t>
  </si>
  <si>
    <t xml:space="preserve">13–99 anos</t>
  </si>
  <si>
    <t xml:space="preserve">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t>
  </si>
  <si>
    <t xml:space="preserve">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t>
  </si>
  <si>
    <t xml:space="preserve">bai</t>
  </si>
  <si>
    <t xml:space="preserve">q_bai</t>
  </si>
  <si>
    <t xml:space="preserve">https://correiaricardina-ui.github.io/questionarios/BAI_v1.html</t>
  </si>
  <si>
    <t xml:space="preserve">BDI-II — Inventário de Depressão de Beck II</t>
  </si>
  <si>
    <t xml:space="preserve">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t>
  </si>
  <si>
    <t xml:space="preserve">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t>
  </si>
  <si>
    <t xml:space="preserve">bdi2</t>
  </si>
  <si>
    <t xml:space="preserve">q_bdi2</t>
  </si>
  <si>
    <t xml:space="preserve">https://correiaricardina-ui.github.io/questionarios/BDI2_v1.html</t>
  </si>
  <si>
    <t xml:space="preserve">PSWQ — Questionário de Preocupação do Estado da Pensilvânia</t>
  </si>
  <si>
    <t xml:space="preserve">18–99 anos</t>
  </si>
  <si>
    <t xml:space="preserve">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t>
  </si>
  <si>
    <t xml:space="preserve">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t>
  </si>
  <si>
    <t xml:space="preserve">pswq</t>
  </si>
  <si>
    <t xml:space="preserve">q_pswq</t>
  </si>
  <si>
    <t xml:space="preserve">https://correiaricardina-ui.github.io/questionarios/PSWQ_v1.html</t>
  </si>
  <si>
    <t xml:space="preserve">BRIEF-A — Autorrelato</t>
  </si>
  <si>
    <t xml:space="preserve">18–90 anos</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</si>
  <si>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t>
  </si>
  <si>
    <t xml:space="preserve">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t>
  </si>
  <si>
    <t xml:space="preserve">brief_a_auto</t>
  </si>
  <si>
    <t xml:space="preserve">q_brief_a_auto</t>
  </si>
  <si>
    <t xml:space="preserve">https://correiaricardina-ui.github.io/questionarios/BRIEF_A_Autorrelato_v1.html</t>
  </si>
  <si>
    <t xml:space="preserve">BRIEF-A — Informante</t>
  </si>
  <si>
    <t xml:space="preserve">Mãe, Pai, Outro</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</si>
  <si>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t>
  </si>
  <si>
    <t xml:space="preserve">brief_a_inf</t>
  </si>
  <si>
    <t xml:space="preserve">q_brief_a_inf</t>
  </si>
  <si>
    <t xml:space="preserve">https://correiaricardina-ui.github.io/questionarios/BRIEF_A_Informante_v1.html</t>
  </si>
  <si>
    <t xml:space="preserve">ESS — Escala de Sonolência de Epworth</t>
  </si>
  <si>
    <t xml:space="preserve">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t>
  </si>
  <si>
    <t xml:space="preserve">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t>
  </si>
  <si>
    <t xml:space="preserve">ess</t>
  </si>
  <si>
    <t xml:space="preserve">q_ess</t>
  </si>
  <si>
    <t xml:space="preserve">https://correiaricardina-ui.github.io/questionarios/ESS_Epworth_v1.html</t>
  </si>
  <si>
    <t xml:space="preserve">STOP-BANG — Rastreio de Risco de Apneia Obstrutiva do Sono</t>
  </si>
  <si>
    <t xml:space="preserve">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t>
  </si>
  <si>
    <t xml:space="preserve">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t>
  </si>
  <si>
    <t xml:space="preserve">stopbang</t>
  </si>
  <si>
    <t xml:space="preserve">q_stopbang</t>
  </si>
  <si>
    <t xml:space="preserve">https://correiaricardina-ui.github.io/questionarios/STOPBANG_v1.html</t>
  </si>
  <si>
    <t xml:space="preserve">EII-27 · Forma A — Escala de Intolerância à Incerteza (versão longa, adultos)</t>
  </si>
  <si>
    <t xml:space="preserve">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t>
  </si>
  <si>
    <t xml:space="preserve">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t>
  </si>
  <si>
    <t xml:space="preserve">eii27_a</t>
  </si>
  <si>
    <t xml:space="preserve">q_eii27_a</t>
  </si>
  <si>
    <t xml:space="preserve">https://correiaricardina-ui.github.io/questionarios/EII27_A_v1.html</t>
  </si>
  <si>
    <t xml:space="preserve">EII-27 · Forma J — Escala de Intolerância à Incerteza (versão longa, adolescentes)</t>
  </si>
  <si>
    <t xml:space="preserve">12–17 anos</t>
  </si>
  <si>
    <t xml:space="preserve">eii27_j</t>
  </si>
  <si>
    <t xml:space="preserve">q_eii27_j</t>
  </si>
  <si>
    <t xml:space="preserve">https://correiaricardina-ui.github.io/questionarios/EII27_J_v1.html</t>
  </si>
  <si>
    <t xml:space="preserve">EII-12 · Forma A — Escala de Intolerância à Incerteza (versão curta, adultos)</t>
  </si>
  <si>
    <t xml:space="preserve">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t>
  </si>
  <si>
    <t xml:space="preserve">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t>
  </si>
  <si>
    <t xml:space="preserve">eii12_a</t>
  </si>
  <si>
    <t xml:space="preserve">q_eii12_a</t>
  </si>
  <si>
    <t xml:space="preserve">https://correiaricardina-ui.github.io/questionarios/EII12_A_v1.html</t>
  </si>
  <si>
    <t xml:space="preserve">EII-12 · Forma J — Escala de Intolerância à Incerteza (versão curta, adolescentes)</t>
  </si>
  <si>
    <t xml:space="preserve">eii12_j</t>
  </si>
  <si>
    <t xml:space="preserve">q_eii12_j</t>
  </si>
  <si>
    <t xml:space="preserve">https://correiaricardina-ui.github.io/questionarios/EII12_J_v1.html</t>
  </si>
  <si>
    <t xml:space="preserve">CAARS–S:L — Conners’ Adult ADHD Rating Scales (forma longa, auto-relato)</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</si>
  <si>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t>
  </si>
  <si>
    <t xml:space="preserve">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t>
  </si>
  <si>
    <t xml:space="preserve">caars_sl</t>
  </si>
  <si>
    <t xml:space="preserve">q_caars_sl</t>
  </si>
  <si>
    <t xml:space="preserve">https://correiaricardina-ui.github.io/questionarios/CAARS_SL_v1.html</t>
  </si>
  <si>
    <t xml:space="preserve">CAARS–O:L — Conners’ Adult ADHD Rating Scales (forma longa, heterorrelato)</t>
  </si>
  <si>
    <t xml:space="preserve">Cônjuge/Parceiro(a), Familiar, Mãe, Pai, Outro familiar</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</si>
  <si>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t>
  </si>
  <si>
    <t xml:space="preserve">caars_ol</t>
  </si>
  <si>
    <t xml:space="preserve">q_caars_ol</t>
  </si>
  <si>
    <t xml:space="preserve">https://correiaricardina-ui.github.io/questionarios/CAARS_OL_v1.html</t>
  </si>
  <si>
    <t xml:space="preserve">EIFP — Escala de Interferência Funcional Pediátrica (Formas C e P)</t>
  </si>
  <si>
    <t xml:space="preserve">Funcionamento &amp; Interferência Funcional</t>
  </si>
  <si>
    <t xml:space="preserve">Criança/Jovem,Mãe,Pai,Enc. Educação</t>
  </si>
  <si>
    <t xml:space="preserve">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t>
  </si>
  <si>
    <t xml:space="preserve">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t>
  </si>
  <si>
    <t xml:space="preserve">eifp</t>
  </si>
  <si>
    <t xml:space="preserve">q_eifp</t>
  </si>
  <si>
    <t xml:space="preserve">https://correiaricardina-ui.github.io/questionarios/EIFP_v1.html</t>
  </si>
  <si>
    <t xml:space="preserve">EIFA — Escala de Interferência Funcional em Adultos (Formas A e S)</t>
  </si>
  <si>
    <t xml:space="preserve">Próprio,Companheiro(a),Familiar</t>
  </si>
  <si>
    <t xml:space="preserve">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t>
  </si>
  <si>
    <t xml:space="preserve">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t>
  </si>
  <si>
    <t xml:space="preserve">eifa</t>
  </si>
  <si>
    <t xml:space="preserve">q_eifa</t>
  </si>
  <si>
    <t xml:space="preserve">https://correiaricardina-ui.github.io/questionarios/EIFA_v1.html</t>
  </si>
  <si>
    <t xml:space="preserve">EIFJ — Escala de Interferência Funcional em Comportamentos de Jogo (Formas J e S)</t>
  </si>
  <si>
    <t xml:space="preserve">12–99 anos</t>
  </si>
  <si>
    <t xml:space="preserve">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t>
  </si>
  <si>
    <t xml:space="preserve">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t>
  </si>
  <si>
    <t xml:space="preserve">eifj</t>
  </si>
  <si>
    <t xml:space="preserve">q_eifj</t>
  </si>
  <si>
    <t xml:space="preserve">https://correiaricardina-ui.github.io/questionarios/EIFJ_v1.html</t>
  </si>
  <si>
    <t xml:space="preserve">GRET-RC — Grelha de Resposta ao Erro e à Tarefa</t>
  </si>
  <si>
    <t xml:space="preserve">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t>
  </si>
  <si>
    <t xml:space="preserve">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t>
  </si>
  <si>
    <t xml:space="preserve">gret_rc</t>
  </si>
  <si>
    <t xml:space="preserve">q_gret_rc</t>
  </si>
  <si>
    <t xml:space="preserve">https://correiaricardina-ui.github.io/questionarios/GRET_RC_v1.html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</si>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</sst>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98" headerRowCount="1" totalsRowCount="0" totalsRowShown="0">
  <autoFilter ref="A3:M198"/>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393</v>
      </c>
      <c r="E58" s="6" t="s">
        <v>394</v>
      </c>
      <c r="F58" s="5" t="n">
        <v>5</v>
      </c>
      <c r="G58" s="5" t="n">
        <v>99</v>
      </c>
      <c r="H58" s="5" t="n">
        <v>11</v>
      </c>
      <c r="I58" s="6" t="s">
        <v>395</v>
      </c>
      <c r="J58" s="6" t="s">
        <v>396</v>
      </c>
      <c r="K58" s="6" t="s">
        <v>397</v>
      </c>
      <c r="L58" s="6" t="s">
        <v>398</v>
      </c>
      <c r="M58" s="7" t="s">
        <v>399</v>
      </c>
    </row>
    <row r="59" customFormat="false" ht="42" hidden="false" customHeight="true" outlineLevel="0" collapsed="false">
      <c r="A59" s="5" t="n">
        <f aca="false">ROW()-3</f>
        <v>56</v>
      </c>
      <c r="B59" s="6" t="s">
        <v>400</v>
      </c>
      <c r="C59" s="6" t="s">
        <v>401</v>
      </c>
      <c r="D59" s="6" t="s">
        <v>17</v>
      </c>
      <c r="E59" s="6" t="s">
        <v>173</v>
      </c>
      <c r="F59" s="5" t="n">
        <v>8</v>
      </c>
      <c r="G59" s="5" t="n">
        <v>17.9</v>
      </c>
      <c r="H59" s="5" t="n">
        <v>5</v>
      </c>
      <c r="I59" s="6" t="s">
        <v>402</v>
      </c>
      <c r="J59" s="6" t="s">
        <v>403</v>
      </c>
      <c r="K59" s="6" t="s">
        <v>404</v>
      </c>
      <c r="L59" s="6" t="s">
        <v>405</v>
      </c>
      <c r="M59" s="7" t="s">
        <v>406</v>
      </c>
    </row>
    <row r="60" customFormat="false" ht="42" hidden="false" customHeight="true" outlineLevel="0" collapsed="false">
      <c r="A60" s="5" t="n">
        <f aca="false">ROW()-3</f>
        <v>57</v>
      </c>
      <c r="B60" s="6" t="s">
        <v>407</v>
      </c>
      <c r="C60" s="6" t="s">
        <v>122</v>
      </c>
      <c r="D60" s="6" t="s">
        <v>17</v>
      </c>
      <c r="E60" s="6" t="s">
        <v>408</v>
      </c>
      <c r="F60" s="5" t="n">
        <v>11</v>
      </c>
      <c r="G60" s="5" t="n">
        <v>99</v>
      </c>
      <c r="H60" s="5" t="n">
        <v>4</v>
      </c>
      <c r="I60" s="6" t="s">
        <v>409</v>
      </c>
      <c r="J60" s="6" t="s">
        <v>410</v>
      </c>
      <c r="K60" s="6" t="s">
        <v>411</v>
      </c>
      <c r="L60" s="6" t="s">
        <v>412</v>
      </c>
      <c r="M60" s="7" t="s">
        <v>413</v>
      </c>
    </row>
    <row r="61" customFormat="false" ht="42" hidden="false" customHeight="true" outlineLevel="0" collapsed="false">
      <c r="A61" s="5" t="n">
        <f aca="false">ROW()-3</f>
        <v>58</v>
      </c>
      <c r="B61" s="6" t="s">
        <v>414</v>
      </c>
      <c r="C61" s="6" t="s">
        <v>122</v>
      </c>
      <c r="D61" s="6" t="s">
        <v>17</v>
      </c>
      <c r="E61" s="6" t="s">
        <v>415</v>
      </c>
      <c r="F61" s="5" t="n">
        <v>10</v>
      </c>
      <c r="G61" s="5" t="n">
        <v>99</v>
      </c>
      <c r="H61" s="5" t="n">
        <v>6</v>
      </c>
      <c r="I61" s="6" t="s">
        <v>416</v>
      </c>
      <c r="J61" s="6" t="s">
        <v>417</v>
      </c>
      <c r="K61" s="6" t="s">
        <v>418</v>
      </c>
      <c r="L61" s="6" t="s">
        <v>419</v>
      </c>
      <c r="M61" s="7" t="s">
        <v>420</v>
      </c>
    </row>
    <row r="62" customFormat="false" ht="42" hidden="false" customHeight="true" outlineLevel="0" collapsed="false">
      <c r="A62" s="5" t="n">
        <f aca="false">ROW()-3</f>
        <v>59</v>
      </c>
      <c r="B62" s="6" t="s">
        <v>421</v>
      </c>
      <c r="C62" s="6" t="s">
        <v>122</v>
      </c>
      <c r="D62" s="6" t="s">
        <v>17</v>
      </c>
      <c r="E62" s="6" t="s">
        <v>408</v>
      </c>
      <c r="F62" s="5" t="n">
        <v>11</v>
      </c>
      <c r="G62" s="5" t="n">
        <v>99</v>
      </c>
      <c r="H62" s="5" t="n">
        <v>5</v>
      </c>
      <c r="I62" s="6" t="s">
        <v>422</v>
      </c>
      <c r="J62" s="6" t="s">
        <v>423</v>
      </c>
      <c r="K62" s="6" t="s">
        <v>424</v>
      </c>
      <c r="L62" s="6" t="s">
        <v>425</v>
      </c>
      <c r="M62" s="7" t="s">
        <v>426</v>
      </c>
    </row>
    <row r="63" customFormat="false" ht="42" hidden="false" customHeight="true" outlineLevel="0" collapsed="false">
      <c r="A63" s="5" t="n">
        <f aca="false">ROW()-3</f>
        <v>60</v>
      </c>
      <c r="B63" s="6" t="s">
        <v>427</v>
      </c>
      <c r="C63" s="6" t="s">
        <v>428</v>
      </c>
      <c r="D63" s="6" t="s">
        <v>272</v>
      </c>
      <c r="E63" s="6" t="s">
        <v>429</v>
      </c>
      <c r="F63" s="5" t="n">
        <v>12</v>
      </c>
      <c r="G63" s="5" t="n">
        <v>99</v>
      </c>
      <c r="H63" s="5" t="n">
        <v>6</v>
      </c>
      <c r="I63" s="6" t="s">
        <v>430</v>
      </c>
      <c r="J63" s="6" t="s">
        <v>431</v>
      </c>
      <c r="K63" s="6" t="s">
        <v>432</v>
      </c>
      <c r="L63" s="6" t="s">
        <v>433</v>
      </c>
      <c r="M63" s="7" t="s">
        <v>434</v>
      </c>
    </row>
    <row r="64" customFormat="false" ht="42" hidden="false" customHeight="true" outlineLevel="0" collapsed="false">
      <c r="A64" s="5" t="n">
        <f aca="false">ROW()-3</f>
        <v>61</v>
      </c>
      <c r="B64" s="6" t="s">
        <v>435</v>
      </c>
      <c r="C64" s="6" t="s">
        <v>428</v>
      </c>
      <c r="D64" s="6" t="s">
        <v>272</v>
      </c>
      <c r="E64" s="6" t="s">
        <v>429</v>
      </c>
      <c r="F64" s="5" t="n">
        <v>12</v>
      </c>
      <c r="G64" s="5" t="n">
        <v>99</v>
      </c>
      <c r="H64" s="5" t="n">
        <v>4</v>
      </c>
      <c r="I64" s="6" t="s">
        <v>436</v>
      </c>
      <c r="J64" s="6" t="s">
        <v>437</v>
      </c>
      <c r="K64" s="6" t="s">
        <v>438</v>
      </c>
      <c r="L64" s="6" t="s">
        <v>439</v>
      </c>
      <c r="M64" s="7" t="s">
        <v>440</v>
      </c>
    </row>
    <row r="65" customFormat="false" ht="42" hidden="false" customHeight="true" outlineLevel="0" collapsed="false">
      <c r="A65" s="5" t="n">
        <f aca="false">ROW()-3</f>
        <v>62</v>
      </c>
      <c r="B65" s="6" t="s">
        <v>441</v>
      </c>
      <c r="C65" s="6" t="s">
        <v>442</v>
      </c>
      <c r="D65" s="6" t="s">
        <v>443</v>
      </c>
      <c r="E65" s="6" t="s">
        <v>444</v>
      </c>
      <c r="F65" s="5" t="n">
        <v>0.3</v>
      </c>
      <c r="G65" s="5" t="n">
        <v>0.6</v>
      </c>
      <c r="H65" s="5" t="n">
        <v>7</v>
      </c>
      <c r="I65" s="6" t="s">
        <v>445</v>
      </c>
      <c r="J65" s="6" t="s">
        <v>446</v>
      </c>
      <c r="K65" s="6" t="s">
        <v>447</v>
      </c>
      <c r="L65" s="6" t="s">
        <v>448</v>
      </c>
      <c r="M65" s="7" t="s">
        <v>449</v>
      </c>
    </row>
    <row r="66" customFormat="false" ht="42" hidden="false" customHeight="true" outlineLevel="0" collapsed="false">
      <c r="A66" s="5" t="n">
        <f aca="false">ROW()-3</f>
        <v>63</v>
      </c>
      <c r="B66" s="6" t="s">
        <v>450</v>
      </c>
      <c r="C66" s="6" t="s">
        <v>210</v>
      </c>
      <c r="D66" s="6" t="s">
        <v>33</v>
      </c>
      <c r="E66" s="6" t="s">
        <v>451</v>
      </c>
      <c r="F66" s="5" t="n">
        <v>3</v>
      </c>
      <c r="G66" s="5" t="n">
        <v>17.9</v>
      </c>
      <c r="H66" s="5" t="n">
        <v>3</v>
      </c>
      <c r="I66" s="6" t="s">
        <v>452</v>
      </c>
      <c r="J66" s="6" t="s">
        <v>453</v>
      </c>
      <c r="K66" s="6" t="s">
        <v>454</v>
      </c>
      <c r="L66" s="6" t="s">
        <v>455</v>
      </c>
      <c r="M66" s="7" t="s">
        <v>456</v>
      </c>
    </row>
    <row r="67" customFormat="false" ht="42" hidden="false" customHeight="true" outlineLevel="0" collapsed="false">
      <c r="A67" s="5" t="n">
        <f aca="false">ROW()-3</f>
        <v>64</v>
      </c>
      <c r="B67" s="6" t="s">
        <v>457</v>
      </c>
      <c r="C67" s="6" t="s">
        <v>210</v>
      </c>
      <c r="D67" s="6" t="s">
        <v>156</v>
      </c>
      <c r="E67" s="6" t="s">
        <v>451</v>
      </c>
      <c r="F67" s="5" t="n">
        <v>3</v>
      </c>
      <c r="G67" s="5" t="n">
        <v>17.9</v>
      </c>
      <c r="H67" s="5" t="n">
        <v>3</v>
      </c>
      <c r="I67" s="6" t="s">
        <v>458</v>
      </c>
      <c r="J67" s="6" t="s">
        <v>453</v>
      </c>
      <c r="K67" s="6" t="s">
        <v>459</v>
      </c>
      <c r="L67" s="6" t="s">
        <v>460</v>
      </c>
      <c r="M67" s="7" t="s">
        <v>461</v>
      </c>
    </row>
    <row r="68" customFormat="false" ht="42" hidden="false" customHeight="true" outlineLevel="0" collapsed="false">
      <c r="A68" s="5" t="n">
        <f aca="false">ROW()-3</f>
        <v>65</v>
      </c>
      <c r="B68" s="6" t="s">
        <v>462</v>
      </c>
      <c r="C68" s="6" t="s">
        <v>210</v>
      </c>
      <c r="D68" s="6" t="s">
        <v>17</v>
      </c>
      <c r="E68" s="6" t="s">
        <v>463</v>
      </c>
      <c r="F68" s="5" t="n">
        <v>9</v>
      </c>
      <c r="G68" s="5" t="n">
        <v>17</v>
      </c>
      <c r="H68" s="5" t="n">
        <v>4</v>
      </c>
      <c r="I68" s="6" t="s">
        <v>464</v>
      </c>
      <c r="J68" s="6" t="s">
        <v>465</v>
      </c>
      <c r="K68" s="6" t="s">
        <v>466</v>
      </c>
      <c r="L68" s="6" t="s">
        <v>467</v>
      </c>
      <c r="M68" s="7" t="s">
        <v>468</v>
      </c>
    </row>
    <row r="69" customFormat="false" ht="42" hidden="false" customHeight="true" outlineLevel="0" collapsed="false">
      <c r="A69" s="5" t="n">
        <f aca="false">ROW()-3</f>
        <v>66</v>
      </c>
      <c r="B69" s="6" t="s">
        <v>469</v>
      </c>
      <c r="C69" s="6" t="s">
        <v>210</v>
      </c>
      <c r="D69" s="6" t="s">
        <v>17</v>
      </c>
      <c r="E69" s="6" t="s">
        <v>470</v>
      </c>
      <c r="F69" s="5" t="n">
        <v>10</v>
      </c>
      <c r="G69" s="5" t="n">
        <v>19</v>
      </c>
      <c r="H69" s="5" t="n">
        <v>2</v>
      </c>
      <c r="I69" s="6" t="s">
        <v>471</v>
      </c>
      <c r="J69" s="6" t="s">
        <v>472</v>
      </c>
      <c r="K69" s="6" t="s">
        <v>473</v>
      </c>
      <c r="L69" s="6" t="s">
        <v>474</v>
      </c>
      <c r="M69" s="7" t="s">
        <v>475</v>
      </c>
    </row>
    <row r="70" customFormat="false" ht="42" hidden="false" customHeight="true" outlineLevel="0" collapsed="false">
      <c r="A70" s="5" t="n">
        <f aca="false">ROW()-3</f>
        <v>67</v>
      </c>
      <c r="B70" s="6" t="s">
        <v>476</v>
      </c>
      <c r="C70" s="6" t="s">
        <v>477</v>
      </c>
      <c r="D70" s="6" t="s">
        <v>478</v>
      </c>
      <c r="E70" s="6" t="s">
        <v>479</v>
      </c>
      <c r="F70" s="5" t="n">
        <v>1</v>
      </c>
      <c r="G70" s="5" t="n">
        <v>8.2</v>
      </c>
      <c r="H70" s="5" t="n">
        <v>7</v>
      </c>
      <c r="I70" s="6" t="s">
        <v>480</v>
      </c>
      <c r="J70" s="6" t="s">
        <v>481</v>
      </c>
      <c r="K70" s="6" t="s">
        <v>482</v>
      </c>
      <c r="L70" s="6" t="s">
        <v>483</v>
      </c>
      <c r="M70" s="7" t="s">
        <v>484</v>
      </c>
    </row>
    <row r="71" customFormat="false" ht="42" hidden="false" customHeight="true" outlineLevel="0" collapsed="false">
      <c r="A71" s="5" t="n">
        <f aca="false">ROW()-3</f>
        <v>68</v>
      </c>
      <c r="B71" s="6" t="s">
        <v>485</v>
      </c>
      <c r="C71" s="6" t="s">
        <v>280</v>
      </c>
      <c r="D71" s="6" t="s">
        <v>486</v>
      </c>
      <c r="E71" s="6" t="s">
        <v>487</v>
      </c>
      <c r="F71" s="5" t="n">
        <v>0</v>
      </c>
      <c r="G71" s="5" t="n">
        <v>83.2</v>
      </c>
      <c r="H71" s="5" t="n">
        <v>7</v>
      </c>
      <c r="I71" s="6" t="s">
        <v>488</v>
      </c>
      <c r="J71" s="6" t="s">
        <v>489</v>
      </c>
      <c r="K71" s="6" t="s">
        <v>490</v>
      </c>
      <c r="L71" s="6" t="s">
        <v>491</v>
      </c>
      <c r="M71" s="7" t="s">
        <v>492</v>
      </c>
    </row>
    <row r="72" customFormat="false" ht="42" hidden="false" customHeight="true" outlineLevel="0" collapsed="false">
      <c r="A72" s="5" t="n">
        <f aca="false">ROW()-3</f>
        <v>69</v>
      </c>
      <c r="B72" s="6" t="s">
        <v>493</v>
      </c>
      <c r="C72" s="6" t="s">
        <v>280</v>
      </c>
      <c r="D72" s="6" t="s">
        <v>486</v>
      </c>
      <c r="E72" s="6" t="s">
        <v>487</v>
      </c>
      <c r="F72" s="5" t="n">
        <v>0</v>
      </c>
      <c r="G72" s="5" t="n">
        <v>83.2</v>
      </c>
      <c r="H72" s="5" t="n">
        <v>2</v>
      </c>
      <c r="I72" s="6" t="s">
        <v>494</v>
      </c>
      <c r="J72" s="6" t="s">
        <v>495</v>
      </c>
      <c r="K72" s="6" t="s">
        <v>496</v>
      </c>
      <c r="L72" s="6" t="s">
        <v>497</v>
      </c>
      <c r="M72" s="7" t="s">
        <v>498</v>
      </c>
    </row>
    <row r="73" customFormat="false" ht="42" hidden="false" customHeight="true" outlineLevel="0" collapsed="false">
      <c r="A73" s="5" t="n">
        <f aca="false">ROW()-3</f>
        <v>70</v>
      </c>
      <c r="B73" s="6" t="s">
        <v>499</v>
      </c>
      <c r="C73" s="6" t="s">
        <v>500</v>
      </c>
      <c r="D73" s="6" t="s">
        <v>17</v>
      </c>
      <c r="E73" s="6" t="s">
        <v>501</v>
      </c>
      <c r="F73" s="5" t="n">
        <v>11</v>
      </c>
      <c r="G73" s="5" t="n">
        <v>17.9</v>
      </c>
      <c r="H73" s="5" t="n">
        <v>6</v>
      </c>
      <c r="I73" s="6" t="s">
        <v>502</v>
      </c>
      <c r="J73" s="6" t="s">
        <v>503</v>
      </c>
      <c r="K73" s="6" t="s">
        <v>504</v>
      </c>
      <c r="L73" s="6" t="s">
        <v>505</v>
      </c>
      <c r="M73" s="7" t="s">
        <v>506</v>
      </c>
    </row>
    <row r="74" customFormat="false" ht="42" hidden="false" customHeight="true" outlineLevel="0" collapsed="false">
      <c r="A74" s="5" t="n">
        <f aca="false">ROW()-3</f>
        <v>71</v>
      </c>
      <c r="B74" s="6" t="s">
        <v>507</v>
      </c>
      <c r="C74" s="6" t="s">
        <v>500</v>
      </c>
      <c r="D74" s="6" t="s">
        <v>17</v>
      </c>
      <c r="E74" s="6" t="s">
        <v>508</v>
      </c>
      <c r="F74" s="5" t="n">
        <v>7</v>
      </c>
      <c r="G74" s="5" t="n">
        <v>10.9</v>
      </c>
      <c r="H74" s="5" t="n">
        <v>6</v>
      </c>
      <c r="I74" s="6" t="s">
        <v>509</v>
      </c>
      <c r="J74" s="6" t="s">
        <v>503</v>
      </c>
      <c r="K74" s="6" t="s">
        <v>510</v>
      </c>
      <c r="L74" s="6" t="s">
        <v>511</v>
      </c>
      <c r="M74" s="7" t="s">
        <v>512</v>
      </c>
    </row>
    <row r="75" customFormat="false" ht="42" hidden="false" customHeight="true" outlineLevel="0" collapsed="false">
      <c r="A75" s="5" t="n">
        <f aca="false">ROW()-3</f>
        <v>72</v>
      </c>
      <c r="B75" s="6" t="s">
        <v>513</v>
      </c>
      <c r="C75" s="6" t="s">
        <v>500</v>
      </c>
      <c r="D75" s="6" t="s">
        <v>33</v>
      </c>
      <c r="E75" s="6" t="s">
        <v>514</v>
      </c>
      <c r="F75" s="5" t="n">
        <v>7</v>
      </c>
      <c r="G75" s="5" t="n">
        <v>17.9</v>
      </c>
      <c r="H75" s="5" t="n">
        <v>7</v>
      </c>
      <c r="I75" s="6" t="s">
        <v>515</v>
      </c>
      <c r="J75" s="6" t="s">
        <v>516</v>
      </c>
      <c r="K75" s="6" t="s">
        <v>517</v>
      </c>
      <c r="L75" s="6" t="s">
        <v>518</v>
      </c>
      <c r="M75" s="7" t="s">
        <v>519</v>
      </c>
    </row>
    <row r="76" customFormat="false" ht="42" hidden="false" customHeight="true" outlineLevel="0" collapsed="false">
      <c r="A76" s="5" t="n">
        <f aca="false">ROW()-3</f>
        <v>73</v>
      </c>
      <c r="B76" s="6" t="s">
        <v>520</v>
      </c>
      <c r="C76" s="6" t="s">
        <v>521</v>
      </c>
      <c r="D76" s="6" t="s">
        <v>17</v>
      </c>
      <c r="E76" s="6" t="s">
        <v>501</v>
      </c>
      <c r="F76" s="5" t="n">
        <v>11</v>
      </c>
      <c r="G76" s="5" t="n">
        <v>17.9</v>
      </c>
      <c r="H76" s="5" t="n">
        <v>6</v>
      </c>
      <c r="I76" s="6" t="s">
        <v>522</v>
      </c>
      <c r="J76" s="6" t="s">
        <v>523</v>
      </c>
      <c r="K76" s="6" t="s">
        <v>524</v>
      </c>
      <c r="L76" s="6" t="s">
        <v>525</v>
      </c>
      <c r="M76" s="7" t="s">
        <v>526</v>
      </c>
    </row>
    <row r="77" customFormat="false" ht="42" hidden="false" customHeight="true" outlineLevel="0" collapsed="false">
      <c r="A77" s="5" t="n">
        <f aca="false">ROW()-3</f>
        <v>74</v>
      </c>
      <c r="B77" s="6" t="s">
        <v>527</v>
      </c>
      <c r="C77" s="6" t="s">
        <v>528</v>
      </c>
      <c r="D77" s="6" t="s">
        <v>17</v>
      </c>
      <c r="E77" s="6" t="s">
        <v>508</v>
      </c>
      <c r="F77" s="5" t="n">
        <v>7</v>
      </c>
      <c r="G77" s="5" t="n">
        <v>10.9</v>
      </c>
      <c r="H77" s="5" t="n">
        <v>6</v>
      </c>
      <c r="I77" s="6" t="s">
        <v>529</v>
      </c>
      <c r="J77" s="6" t="s">
        <v>523</v>
      </c>
      <c r="K77" s="6" t="s">
        <v>530</v>
      </c>
      <c r="L77" s="6" t="s">
        <v>531</v>
      </c>
      <c r="M77" s="7" t="s">
        <v>532</v>
      </c>
    </row>
    <row r="78" customFormat="false" ht="42" hidden="false" customHeight="true" outlineLevel="0" collapsed="false">
      <c r="A78" s="5" t="n">
        <f aca="false">ROW()-3</f>
        <v>75</v>
      </c>
      <c r="B78" s="6" t="s">
        <v>533</v>
      </c>
      <c r="C78" s="6" t="s">
        <v>528</v>
      </c>
      <c r="D78" s="6" t="s">
        <v>33</v>
      </c>
      <c r="E78" s="6" t="s">
        <v>534</v>
      </c>
      <c r="F78" s="5" t="n">
        <v>2</v>
      </c>
      <c r="G78" s="5" t="n">
        <v>17.9</v>
      </c>
      <c r="H78" s="5" t="n">
        <v>6</v>
      </c>
      <c r="I78" s="6" t="s">
        <v>535</v>
      </c>
      <c r="J78" s="6" t="s">
        <v>536</v>
      </c>
      <c r="K78" s="6" t="s">
        <v>537</v>
      </c>
      <c r="L78" s="6" t="s">
        <v>538</v>
      </c>
      <c r="M78" s="7" t="s">
        <v>539</v>
      </c>
    </row>
    <row r="79" customFormat="false" ht="42" hidden="false" customHeight="true" outlineLevel="0" collapsed="false">
      <c r="A79" s="5" t="n">
        <f aca="false">ROW()-3</f>
        <v>76</v>
      </c>
      <c r="B79" s="6" t="s">
        <v>540</v>
      </c>
      <c r="C79" s="6" t="s">
        <v>219</v>
      </c>
      <c r="D79" s="6" t="s">
        <v>17</v>
      </c>
      <c r="E79" s="6" t="s">
        <v>265</v>
      </c>
      <c r="F79" s="5" t="n">
        <v>8</v>
      </c>
      <c r="G79" s="5" t="n">
        <v>17.9</v>
      </c>
      <c r="H79" s="5" t="n">
        <v>7</v>
      </c>
      <c r="I79" s="6" t="s">
        <v>541</v>
      </c>
      <c r="J79" s="6" t="s">
        <v>542</v>
      </c>
      <c r="K79" s="6" t="s">
        <v>543</v>
      </c>
      <c r="L79" s="6" t="s">
        <v>544</v>
      </c>
      <c r="M79" s="7" t="s">
        <v>545</v>
      </c>
    </row>
    <row r="80" customFormat="false" ht="42" hidden="false" customHeight="true" outlineLevel="0" collapsed="false">
      <c r="A80" s="5" t="n">
        <f aca="false">ROW()-3</f>
        <v>77</v>
      </c>
      <c r="B80" s="6" t="s">
        <v>546</v>
      </c>
      <c r="C80" s="6" t="s">
        <v>162</v>
      </c>
      <c r="D80" s="6" t="s">
        <v>547</v>
      </c>
      <c r="E80" s="6" t="s">
        <v>265</v>
      </c>
      <c r="F80" s="5" t="n">
        <v>8</v>
      </c>
      <c r="G80" s="5" t="n">
        <v>17</v>
      </c>
      <c r="H80" s="5" t="n">
        <v>4</v>
      </c>
      <c r="I80" s="6" t="s">
        <v>548</v>
      </c>
      <c r="J80" s="6" t="s">
        <v>549</v>
      </c>
      <c r="K80" s="6" t="s">
        <v>550</v>
      </c>
      <c r="L80" s="6" t="s">
        <v>551</v>
      </c>
      <c r="M80" s="7" t="s">
        <v>552</v>
      </c>
    </row>
    <row r="81" customFormat="false" ht="42" hidden="false" customHeight="true" outlineLevel="0" collapsed="false">
      <c r="A81" s="5" t="n">
        <f aca="false">ROW()-3</f>
        <v>78</v>
      </c>
      <c r="B81" s="6" t="s">
        <v>553</v>
      </c>
      <c r="C81" s="6" t="s">
        <v>554</v>
      </c>
      <c r="D81" s="6" t="s">
        <v>17</v>
      </c>
      <c r="E81" s="6" t="s">
        <v>164</v>
      </c>
      <c r="F81" s="5" t="n">
        <v>13</v>
      </c>
      <c r="G81" s="5" t="n">
        <v>99</v>
      </c>
      <c r="H81" s="5" t="n">
        <v>16</v>
      </c>
      <c r="I81" s="6" t="s">
        <v>555</v>
      </c>
      <c r="J81" s="6" t="s">
        <v>556</v>
      </c>
      <c r="K81" s="6" t="s">
        <v>557</v>
      </c>
      <c r="L81" s="6" t="s">
        <v>558</v>
      </c>
      <c r="M81" s="7" t="s">
        <v>559</v>
      </c>
    </row>
    <row r="82" customFormat="false" ht="42" hidden="false" customHeight="true" outlineLevel="0" collapsed="false">
      <c r="A82" s="5" t="n">
        <f aca="false">ROW()-3</f>
        <v>79</v>
      </c>
      <c r="B82" s="6" t="s">
        <v>560</v>
      </c>
      <c r="C82" s="6" t="s">
        <v>554</v>
      </c>
      <c r="D82" s="6" t="s">
        <v>17</v>
      </c>
      <c r="E82" s="6" t="s">
        <v>561</v>
      </c>
      <c r="F82" s="5" t="n">
        <v>8</v>
      </c>
      <c r="G82" s="5" t="n">
        <v>12.9</v>
      </c>
      <c r="H82" s="5" t="n">
        <v>16</v>
      </c>
      <c r="I82" s="6" t="s">
        <v>562</v>
      </c>
      <c r="J82" s="6" t="s">
        <v>556</v>
      </c>
      <c r="K82" s="6" t="s">
        <v>563</v>
      </c>
      <c r="L82" s="6" t="s">
        <v>564</v>
      </c>
      <c r="M82" s="7" t="s">
        <v>565</v>
      </c>
    </row>
    <row r="83" customFormat="false" ht="42" hidden="false" customHeight="true" outlineLevel="0" collapsed="false">
      <c r="A83" s="5" t="n">
        <f aca="false">ROW()-3</f>
        <v>80</v>
      </c>
      <c r="B83" s="6" t="s">
        <v>566</v>
      </c>
      <c r="C83" s="6" t="s">
        <v>554</v>
      </c>
      <c r="D83" s="6" t="s">
        <v>567</v>
      </c>
      <c r="E83" s="6" t="s">
        <v>95</v>
      </c>
      <c r="F83" s="5" t="n">
        <v>6</v>
      </c>
      <c r="G83" s="5" t="n">
        <v>17.9</v>
      </c>
      <c r="H83" s="5" t="n">
        <v>16</v>
      </c>
      <c r="I83" s="6" t="s">
        <v>568</v>
      </c>
      <c r="J83" s="6" t="s">
        <v>556</v>
      </c>
      <c r="K83" s="6" t="s">
        <v>569</v>
      </c>
      <c r="L83" s="6" t="s">
        <v>570</v>
      </c>
      <c r="M83" s="7" t="s">
        <v>571</v>
      </c>
    </row>
    <row r="84" customFormat="false" ht="42" hidden="false" customHeight="true" outlineLevel="0" collapsed="false">
      <c r="A84" s="5" t="n">
        <f aca="false">ROW()-3</f>
        <v>81</v>
      </c>
      <c r="B84" s="6" t="s">
        <v>572</v>
      </c>
      <c r="C84" s="6" t="s">
        <v>554</v>
      </c>
      <c r="D84" s="6" t="s">
        <v>573</v>
      </c>
      <c r="E84" s="6" t="s">
        <v>574</v>
      </c>
      <c r="F84" s="5" t="n">
        <v>14</v>
      </c>
      <c r="G84" s="5" t="n">
        <v>99</v>
      </c>
      <c r="H84" s="5" t="n">
        <v>5</v>
      </c>
      <c r="I84" s="6" t="s">
        <v>575</v>
      </c>
      <c r="J84" s="6" t="s">
        <v>576</v>
      </c>
      <c r="K84" s="6" t="s">
        <v>577</v>
      </c>
      <c r="L84" s="6" t="s">
        <v>578</v>
      </c>
      <c r="M84" s="7" t="s">
        <v>579</v>
      </c>
    </row>
    <row r="85" customFormat="false" ht="42" hidden="false" customHeight="true" outlineLevel="0" collapsed="false">
      <c r="A85" s="5" t="n">
        <f aca="false">ROW()-3</f>
        <v>82</v>
      </c>
      <c r="B85" s="6" t="s">
        <v>580</v>
      </c>
      <c r="C85" s="6" t="s">
        <v>554</v>
      </c>
      <c r="D85" s="6" t="s">
        <v>573</v>
      </c>
      <c r="E85" s="6" t="s">
        <v>581</v>
      </c>
      <c r="F85" s="5" t="n">
        <v>14</v>
      </c>
      <c r="G85" s="5" t="n">
        <v>99</v>
      </c>
      <c r="H85" s="5" t="n">
        <v>15</v>
      </c>
      <c r="I85" s="6" t="s">
        <v>582</v>
      </c>
      <c r="J85" s="6" t="s">
        <v>583</v>
      </c>
      <c r="K85" s="6" t="s">
        <v>584</v>
      </c>
      <c r="L85" s="6" t="s">
        <v>585</v>
      </c>
      <c r="M85" s="7" t="s">
        <v>586</v>
      </c>
    </row>
    <row r="86" customFormat="false" ht="42" hidden="false" customHeight="true" outlineLevel="0" collapsed="false">
      <c r="A86" s="5" t="n">
        <f aca="false">ROW()-3</f>
        <v>83</v>
      </c>
      <c r="B86" s="6" t="s">
        <v>587</v>
      </c>
      <c r="C86" s="6" t="s">
        <v>588</v>
      </c>
      <c r="D86" s="6" t="s">
        <v>589</v>
      </c>
      <c r="E86" s="6" t="s">
        <v>590</v>
      </c>
      <c r="F86" s="5" t="n">
        <v>12</v>
      </c>
      <c r="G86" s="5" t="n">
        <v>25</v>
      </c>
      <c r="H86" s="5" t="n">
        <v>8</v>
      </c>
      <c r="I86" s="6" t="s">
        <v>591</v>
      </c>
      <c r="J86" s="6" t="s">
        <v>592</v>
      </c>
      <c r="K86" s="6" t="s">
        <v>593</v>
      </c>
      <c r="L86" s="6" t="s">
        <v>594</v>
      </c>
      <c r="M86" s="7" t="s">
        <v>595</v>
      </c>
    </row>
    <row r="87" customFormat="false" ht="42" hidden="false" customHeight="true" outlineLevel="0" collapsed="false">
      <c r="A87" s="5" t="n">
        <f aca="false">ROW()-3</f>
        <v>84</v>
      </c>
      <c r="B87" s="6" t="s">
        <v>596</v>
      </c>
      <c r="C87" s="6" t="s">
        <v>210</v>
      </c>
      <c r="D87" s="6" t="s">
        <v>597</v>
      </c>
      <c r="E87" s="6" t="s">
        <v>173</v>
      </c>
      <c r="F87" s="5" t="n">
        <v>8</v>
      </c>
      <c r="G87" s="5" t="n">
        <v>18.9</v>
      </c>
      <c r="H87" s="5" t="n">
        <v>5</v>
      </c>
      <c r="I87" s="6" t="s">
        <v>598</v>
      </c>
      <c r="J87" s="6" t="s">
        <v>599</v>
      </c>
      <c r="K87" s="6" t="s">
        <v>600</v>
      </c>
      <c r="L87" s="6" t="s">
        <v>601</v>
      </c>
      <c r="M87" s="7" t="s">
        <v>602</v>
      </c>
    </row>
    <row r="88" customFormat="false" ht="42" hidden="false" customHeight="true" outlineLevel="0" collapsed="false">
      <c r="A88" s="5" t="n">
        <f aca="false">ROW()-3</f>
        <v>85</v>
      </c>
      <c r="B88" s="6" t="s">
        <v>603</v>
      </c>
      <c r="C88" s="6" t="s">
        <v>219</v>
      </c>
      <c r="D88" s="6" t="s">
        <v>17</v>
      </c>
      <c r="E88" s="6" t="s">
        <v>604</v>
      </c>
      <c r="F88" s="5" t="n">
        <v>6</v>
      </c>
      <c r="G88" s="5" t="n">
        <v>14.9</v>
      </c>
      <c r="H88" s="5" t="n">
        <v>5</v>
      </c>
      <c r="I88" s="6" t="s">
        <v>605</v>
      </c>
      <c r="J88" s="6" t="s">
        <v>606</v>
      </c>
      <c r="K88" s="6" t="s">
        <v>607</v>
      </c>
      <c r="L88" s="6" t="s">
        <v>608</v>
      </c>
      <c r="M88" s="7" t="s">
        <v>609</v>
      </c>
    </row>
    <row r="89" customFormat="false" ht="42" hidden="false" customHeight="true" outlineLevel="0" collapsed="false">
      <c r="A89" s="5" t="n">
        <f aca="false">ROW()-3</f>
        <v>86</v>
      </c>
      <c r="B89" s="6" t="s">
        <v>610</v>
      </c>
      <c r="C89" s="6" t="s">
        <v>554</v>
      </c>
      <c r="D89" s="6" t="s">
        <v>573</v>
      </c>
      <c r="E89" s="6" t="s">
        <v>611</v>
      </c>
      <c r="F89" s="5" t="n">
        <v>14</v>
      </c>
      <c r="G89" s="5" t="n">
        <v>99</v>
      </c>
      <c r="H89" s="5" t="n">
        <v>15</v>
      </c>
      <c r="I89" s="6" t="s">
        <v>612</v>
      </c>
      <c r="J89" s="6" t="s">
        <v>613</v>
      </c>
      <c r="K89" s="6" t="s">
        <v>614</v>
      </c>
      <c r="L89" s="6" t="s">
        <v>615</v>
      </c>
      <c r="M89" s="7" t="s">
        <v>616</v>
      </c>
    </row>
    <row r="90" customFormat="false" ht="42" hidden="false" customHeight="true" outlineLevel="0" collapsed="false">
      <c r="A90" s="5" t="n">
        <f aca="false">ROW()-3</f>
        <v>87</v>
      </c>
      <c r="B90" s="6" t="s">
        <v>617</v>
      </c>
      <c r="C90" s="6" t="s">
        <v>428</v>
      </c>
      <c r="D90" s="6" t="s">
        <v>17</v>
      </c>
      <c r="E90" s="6" t="s">
        <v>618</v>
      </c>
      <c r="F90" s="5" t="n">
        <v>9</v>
      </c>
      <c r="G90" s="5" t="n">
        <v>17.9</v>
      </c>
      <c r="H90" s="5" t="n">
        <v>6</v>
      </c>
      <c r="I90" s="6" t="s">
        <v>619</v>
      </c>
      <c r="J90" s="6" t="s">
        <v>620</v>
      </c>
      <c r="K90" s="6" t="s">
        <v>621</v>
      </c>
      <c r="L90" s="6" t="s">
        <v>622</v>
      </c>
      <c r="M90" s="7" t="s">
        <v>623</v>
      </c>
    </row>
    <row r="91" customFormat="false" ht="42" hidden="false" customHeight="true" outlineLevel="0" collapsed="false">
      <c r="A91" s="5" t="n">
        <f aca="false">ROW()-3</f>
        <v>88</v>
      </c>
      <c r="B91" s="6" t="s">
        <v>624</v>
      </c>
      <c r="C91" s="6" t="s">
        <v>210</v>
      </c>
      <c r="D91" s="6" t="s">
        <v>272</v>
      </c>
      <c r="E91" s="6" t="s">
        <v>625</v>
      </c>
      <c r="F91" s="5" t="n">
        <v>13</v>
      </c>
      <c r="G91" s="5" t="n">
        <v>18.9</v>
      </c>
      <c r="H91" s="5" t="n">
        <v>6</v>
      </c>
      <c r="I91" s="6" t="s">
        <v>626</v>
      </c>
      <c r="J91" s="6" t="s">
        <v>627</v>
      </c>
      <c r="K91" s="6" t="s">
        <v>628</v>
      </c>
      <c r="L91" s="6" t="s">
        <v>629</v>
      </c>
      <c r="M91" s="7" t="s">
        <v>630</v>
      </c>
    </row>
    <row r="92" customFormat="false" ht="42" hidden="false" customHeight="true" outlineLevel="0" collapsed="false">
      <c r="A92" s="5" t="n">
        <f aca="false">ROW()-3</f>
        <v>89</v>
      </c>
      <c r="B92" s="6" t="s">
        <v>631</v>
      </c>
      <c r="C92" s="6" t="s">
        <v>210</v>
      </c>
      <c r="D92" s="6" t="s">
        <v>632</v>
      </c>
      <c r="E92" s="6" t="s">
        <v>633</v>
      </c>
      <c r="F92" s="5" t="n">
        <v>7</v>
      </c>
      <c r="G92" s="5" t="n">
        <v>12.9</v>
      </c>
      <c r="H92" s="5" t="n">
        <v>5</v>
      </c>
      <c r="I92" s="6" t="s">
        <v>634</v>
      </c>
      <c r="J92" s="6" t="s">
        <v>635</v>
      </c>
      <c r="K92" s="6" t="s">
        <v>636</v>
      </c>
      <c r="L92" s="6" t="s">
        <v>637</v>
      </c>
      <c r="M92" s="7" t="s">
        <v>638</v>
      </c>
    </row>
    <row r="93" customFormat="false" ht="42" hidden="false" customHeight="true" outlineLevel="0" collapsed="false">
      <c r="A93" s="5" t="n">
        <f aca="false">ROW()-3</f>
        <v>90</v>
      </c>
      <c r="B93" s="6" t="s">
        <v>639</v>
      </c>
      <c r="C93" s="6" t="s">
        <v>16</v>
      </c>
      <c r="D93" s="6" t="s">
        <v>33</v>
      </c>
      <c r="E93" s="6" t="s">
        <v>640</v>
      </c>
      <c r="F93" s="5" t="n">
        <v>1.5</v>
      </c>
      <c r="G93" s="5" t="n">
        <v>2.9</v>
      </c>
      <c r="H93" s="5" t="n">
        <v>2</v>
      </c>
      <c r="I93" s="6" t="s">
        <v>641</v>
      </c>
      <c r="J93" s="6" t="s">
        <v>642</v>
      </c>
      <c r="K93" s="6" t="s">
        <v>643</v>
      </c>
      <c r="L93" s="6" t="s">
        <v>644</v>
      </c>
      <c r="M93" s="7" t="s">
        <v>645</v>
      </c>
    </row>
    <row r="94" customFormat="false" ht="42" hidden="false" customHeight="true" outlineLevel="0" collapsed="false">
      <c r="A94" s="5" t="n">
        <f aca="false">ROW()-3</f>
        <v>91</v>
      </c>
      <c r="B94" s="6" t="s">
        <v>646</v>
      </c>
      <c r="C94" s="6" t="s">
        <v>16</v>
      </c>
      <c r="D94" s="6" t="s">
        <v>647</v>
      </c>
      <c r="E94" s="6" t="s">
        <v>648</v>
      </c>
      <c r="F94" s="5" t="n">
        <v>5</v>
      </c>
      <c r="G94" s="5" t="n">
        <v>12</v>
      </c>
      <c r="H94" s="5" t="n">
        <v>4</v>
      </c>
      <c r="I94" s="6" t="s">
        <v>649</v>
      </c>
      <c r="J94" s="6" t="s">
        <v>650</v>
      </c>
      <c r="K94" s="6" t="s">
        <v>651</v>
      </c>
      <c r="L94" s="6" t="s">
        <v>652</v>
      </c>
      <c r="M94" s="7" t="s">
        <v>653</v>
      </c>
    </row>
    <row r="95" customFormat="false" ht="42" hidden="false" customHeight="true" outlineLevel="0" collapsed="false">
      <c r="A95" s="5" t="n">
        <f aca="false">ROW()-3</f>
        <v>92</v>
      </c>
      <c r="B95" s="6" t="s">
        <v>654</v>
      </c>
      <c r="C95" s="6" t="s">
        <v>280</v>
      </c>
      <c r="D95" s="6" t="s">
        <v>33</v>
      </c>
      <c r="E95" s="6" t="s">
        <v>655</v>
      </c>
      <c r="F95" s="5" t="n">
        <v>0</v>
      </c>
      <c r="G95" s="5" t="n">
        <v>99</v>
      </c>
      <c r="H95" s="5" t="n">
        <v>3</v>
      </c>
      <c r="I95" s="6" t="s">
        <v>656</v>
      </c>
      <c r="J95" s="6" t="s">
        <v>657</v>
      </c>
      <c r="K95" s="6" t="s">
        <v>658</v>
      </c>
      <c r="L95" s="6" t="s">
        <v>659</v>
      </c>
      <c r="M95" s="7" t="s">
        <v>660</v>
      </c>
    </row>
    <row r="96" customFormat="false" ht="42" hidden="false" customHeight="true" outlineLevel="0" collapsed="false">
      <c r="A96" s="5" t="n">
        <f aca="false">ROW()-3</f>
        <v>93</v>
      </c>
      <c r="B96" s="6" t="s">
        <v>661</v>
      </c>
      <c r="C96" s="6" t="s">
        <v>280</v>
      </c>
      <c r="D96" s="6" t="s">
        <v>33</v>
      </c>
      <c r="E96" s="6" t="s">
        <v>662</v>
      </c>
      <c r="F96" s="5" t="n">
        <v>0</v>
      </c>
      <c r="G96" s="5" t="n">
        <v>99</v>
      </c>
      <c r="H96" s="5" t="n">
        <v>3</v>
      </c>
      <c r="I96" s="6" t="s">
        <v>663</v>
      </c>
      <c r="J96" s="6" t="s">
        <v>657</v>
      </c>
      <c r="K96" s="6" t="s">
        <v>664</v>
      </c>
      <c r="L96" s="6" t="s">
        <v>665</v>
      </c>
      <c r="M96" s="7" t="s">
        <v>666</v>
      </c>
    </row>
    <row r="97" customFormat="false" ht="42" hidden="false" customHeight="true" outlineLevel="0" collapsed="false">
      <c r="A97" s="5" t="n">
        <f aca="false">ROW()-3</f>
        <v>94</v>
      </c>
      <c r="B97" s="6" t="s">
        <v>667</v>
      </c>
      <c r="C97" s="6" t="s">
        <v>280</v>
      </c>
      <c r="D97" s="6" t="s">
        <v>33</v>
      </c>
      <c r="E97" s="6" t="s">
        <v>65</v>
      </c>
      <c r="F97" s="5" t="n">
        <v>0</v>
      </c>
      <c r="G97" s="5" t="n">
        <v>99</v>
      </c>
      <c r="H97" s="5" t="n">
        <v>3</v>
      </c>
      <c r="I97" s="6" t="s">
        <v>668</v>
      </c>
      <c r="J97" s="6" t="s">
        <v>657</v>
      </c>
      <c r="K97" s="6" t="s">
        <v>669</v>
      </c>
      <c r="L97" s="6" t="s">
        <v>670</v>
      </c>
      <c r="M97" s="7" t="s">
        <v>671</v>
      </c>
    </row>
    <row r="98" customFormat="false" ht="42" hidden="false" customHeight="true" outlineLevel="0" collapsed="false">
      <c r="A98" s="5" t="n">
        <f aca="false">ROW()-3</f>
        <v>95</v>
      </c>
      <c r="B98" s="6" t="s">
        <v>672</v>
      </c>
      <c r="C98" s="6" t="s">
        <v>280</v>
      </c>
      <c r="D98" s="6" t="s">
        <v>33</v>
      </c>
      <c r="E98" s="6" t="s">
        <v>26</v>
      </c>
      <c r="F98" s="5" t="n">
        <v>0</v>
      </c>
      <c r="G98" s="5" t="n">
        <v>99</v>
      </c>
      <c r="H98" s="5" t="n">
        <v>3</v>
      </c>
      <c r="I98" s="6" t="s">
        <v>673</v>
      </c>
      <c r="J98" s="6" t="s">
        <v>657</v>
      </c>
      <c r="K98" s="6" t="s">
        <v>674</v>
      </c>
      <c r="L98" s="6" t="s">
        <v>675</v>
      </c>
      <c r="M98" s="7" t="s">
        <v>676</v>
      </c>
    </row>
    <row r="99" customFormat="false" ht="42" hidden="false" customHeight="true" outlineLevel="0" collapsed="false">
      <c r="A99" s="5" t="n">
        <f aca="false">ROW()-3</f>
        <v>96</v>
      </c>
      <c r="B99" s="6" t="s">
        <v>677</v>
      </c>
      <c r="C99" s="6" t="s">
        <v>401</v>
      </c>
      <c r="D99" s="6" t="s">
        <v>17</v>
      </c>
      <c r="E99" s="6" t="s">
        <v>678</v>
      </c>
      <c r="F99" s="5" t="n">
        <v>17</v>
      </c>
      <c r="G99" s="5" t="n">
        <v>99</v>
      </c>
      <c r="H99" s="5" t="n">
        <v>3</v>
      </c>
      <c r="I99" s="6" t="s">
        <v>679</v>
      </c>
      <c r="J99" s="6" t="s">
        <v>680</v>
      </c>
      <c r="K99" s="6" t="s">
        <v>681</v>
      </c>
      <c r="L99" s="6" t="s">
        <v>682</v>
      </c>
      <c r="M99" s="7" t="s">
        <v>683</v>
      </c>
    </row>
    <row r="100" customFormat="false" ht="42" hidden="false" customHeight="true" outlineLevel="0" collapsed="false">
      <c r="A100" s="5" t="n">
        <f aca="false">ROW()-3</f>
        <v>97</v>
      </c>
      <c r="B100" s="6" t="s">
        <v>684</v>
      </c>
      <c r="C100" s="6" t="s">
        <v>186</v>
      </c>
      <c r="D100" s="6" t="s">
        <v>17</v>
      </c>
      <c r="E100" s="6" t="s">
        <v>685</v>
      </c>
      <c r="F100" s="5" t="n">
        <v>1.3</v>
      </c>
      <c r="G100" s="5" t="n">
        <v>2.5</v>
      </c>
      <c r="H100" s="5" t="n">
        <v>7</v>
      </c>
      <c r="I100" s="6" t="s">
        <v>686</v>
      </c>
      <c r="J100" s="6" t="s">
        <v>687</v>
      </c>
      <c r="K100" s="6" t="s">
        <v>688</v>
      </c>
      <c r="L100" s="6" t="s">
        <v>689</v>
      </c>
      <c r="M100" s="7" t="s">
        <v>690</v>
      </c>
    </row>
    <row r="101" customFormat="false" ht="42" hidden="false" customHeight="true" outlineLevel="0" collapsed="false">
      <c r="A101" s="5" t="n">
        <f aca="false">ROW()-3</f>
        <v>98</v>
      </c>
      <c r="B101" s="6" t="s">
        <v>691</v>
      </c>
      <c r="C101" s="6" t="s">
        <v>280</v>
      </c>
      <c r="D101" s="6" t="s">
        <v>692</v>
      </c>
      <c r="E101" s="6" t="s">
        <v>693</v>
      </c>
      <c r="F101" s="5" t="n">
        <v>3</v>
      </c>
      <c r="G101" s="5" t="n">
        <v>17.9</v>
      </c>
      <c r="H101" s="5" t="n">
        <v>6</v>
      </c>
      <c r="I101" s="6" t="s">
        <v>694</v>
      </c>
      <c r="J101" s="6" t="s">
        <v>695</v>
      </c>
      <c r="K101" s="6" t="s">
        <v>696</v>
      </c>
      <c r="L101" s="6" t="s">
        <v>697</v>
      </c>
      <c r="M101" s="7" t="s">
        <v>698</v>
      </c>
    </row>
    <row r="102" customFormat="false" ht="42" hidden="false" customHeight="true" outlineLevel="0" collapsed="false">
      <c r="A102" s="5" t="n">
        <f aca="false">ROW()-3</f>
        <v>99</v>
      </c>
      <c r="B102" s="6" t="s">
        <v>699</v>
      </c>
      <c r="C102" s="6" t="s">
        <v>280</v>
      </c>
      <c r="D102" s="6" t="s">
        <v>692</v>
      </c>
      <c r="E102" s="6" t="s">
        <v>693</v>
      </c>
      <c r="F102" s="5" t="n">
        <v>3</v>
      </c>
      <c r="G102" s="5" t="n">
        <v>17.9</v>
      </c>
      <c r="H102" s="5" t="n">
        <v>10</v>
      </c>
      <c r="I102" s="6" t="s">
        <v>700</v>
      </c>
      <c r="J102" s="6" t="s">
        <v>701</v>
      </c>
      <c r="K102" s="6" t="s">
        <v>702</v>
      </c>
      <c r="L102" s="6" t="s">
        <v>703</v>
      </c>
      <c r="M102" s="7" t="s">
        <v>704</v>
      </c>
    </row>
    <row r="103" customFormat="false" ht="42" hidden="false" customHeight="true" outlineLevel="0" collapsed="false">
      <c r="A103" s="5" t="n">
        <f aca="false">ROW()-3</f>
        <v>100</v>
      </c>
      <c r="B103" s="6" t="s">
        <v>705</v>
      </c>
      <c r="C103" s="6" t="s">
        <v>162</v>
      </c>
      <c r="D103" s="6" t="s">
        <v>17</v>
      </c>
      <c r="E103" s="6" t="s">
        <v>706</v>
      </c>
      <c r="F103" s="5" t="n">
        <v>18</v>
      </c>
      <c r="G103" s="5" t="n">
        <v>99</v>
      </c>
      <c r="H103" s="5" t="n">
        <v>11</v>
      </c>
      <c r="I103" s="6" t="s">
        <v>707</v>
      </c>
      <c r="J103" s="6" t="s">
        <v>708</v>
      </c>
      <c r="K103" s="6" t="s">
        <v>709</v>
      </c>
      <c r="L103" s="6" t="s">
        <v>710</v>
      </c>
      <c r="M103" s="7" t="s">
        <v>711</v>
      </c>
    </row>
    <row r="104" customFormat="false" ht="42" hidden="false" customHeight="true" outlineLevel="0" collapsed="false">
      <c r="A104" s="5" t="n">
        <f aca="false">ROW()-3</f>
        <v>101</v>
      </c>
      <c r="B104" s="6" t="s">
        <v>712</v>
      </c>
      <c r="C104" s="6" t="s">
        <v>428</v>
      </c>
      <c r="D104" s="6" t="s">
        <v>17</v>
      </c>
      <c r="E104" s="6" t="s">
        <v>678</v>
      </c>
      <c r="F104" s="5" t="n">
        <v>17</v>
      </c>
      <c r="G104" s="5" t="n">
        <v>99</v>
      </c>
      <c r="H104" s="5" t="n">
        <v>5</v>
      </c>
      <c r="I104" s="6" t="s">
        <v>713</v>
      </c>
      <c r="J104" s="6" t="s">
        <v>714</v>
      </c>
      <c r="K104" s="6" t="s">
        <v>715</v>
      </c>
      <c r="L104" s="6" t="s">
        <v>716</v>
      </c>
      <c r="M104" s="7" t="s">
        <v>717</v>
      </c>
    </row>
    <row r="105" customFormat="false" ht="42" hidden="false" customHeight="true" outlineLevel="0" collapsed="false">
      <c r="A105" s="5" t="n">
        <f aca="false">ROW()-3</f>
        <v>102</v>
      </c>
      <c r="B105" s="6" t="s">
        <v>718</v>
      </c>
      <c r="C105" s="6" t="s">
        <v>219</v>
      </c>
      <c r="D105" s="6" t="s">
        <v>719</v>
      </c>
      <c r="E105" s="6" t="s">
        <v>220</v>
      </c>
      <c r="F105" s="5" t="n">
        <v>7</v>
      </c>
      <c r="G105" s="5" t="n">
        <v>17.9</v>
      </c>
      <c r="H105" s="5" t="n">
        <v>6</v>
      </c>
      <c r="I105" s="6" t="s">
        <v>720</v>
      </c>
      <c r="J105" s="6" t="s">
        <v>721</v>
      </c>
      <c r="K105" s="6" t="s">
        <v>722</v>
      </c>
      <c r="L105" s="6" t="s">
        <v>723</v>
      </c>
      <c r="M105" s="7" t="s">
        <v>724</v>
      </c>
    </row>
    <row r="106" customFormat="false" ht="42" hidden="false" customHeight="true" outlineLevel="0" collapsed="false">
      <c r="A106" s="5" t="n">
        <f aca="false">ROW()-3</f>
        <v>103</v>
      </c>
      <c r="B106" s="6" t="s">
        <v>725</v>
      </c>
      <c r="C106" s="6" t="s">
        <v>219</v>
      </c>
      <c r="D106" s="6" t="s">
        <v>17</v>
      </c>
      <c r="E106" s="6" t="s">
        <v>726</v>
      </c>
      <c r="F106" s="5" t="n">
        <v>18</v>
      </c>
      <c r="G106" s="5" t="n">
        <v>99</v>
      </c>
      <c r="H106" s="5" t="n">
        <v>7</v>
      </c>
      <c r="I106" s="6" t="s">
        <v>727</v>
      </c>
      <c r="J106" s="6" t="s">
        <v>728</v>
      </c>
      <c r="K106" s="6" t="s">
        <v>729</v>
      </c>
      <c r="L106" s="6" t="s">
        <v>730</v>
      </c>
      <c r="M106" s="7" t="s">
        <v>731</v>
      </c>
    </row>
    <row r="107" customFormat="false" ht="42" hidden="false" customHeight="true" outlineLevel="0" collapsed="false">
      <c r="A107" s="5" t="n">
        <f aca="false">ROW()-3</f>
        <v>104</v>
      </c>
      <c r="B107" s="6" t="s">
        <v>732</v>
      </c>
      <c r="C107" s="6" t="s">
        <v>428</v>
      </c>
      <c r="D107" s="6" t="s">
        <v>17</v>
      </c>
      <c r="E107" s="6" t="s">
        <v>733</v>
      </c>
      <c r="F107" s="5" t="n">
        <v>18</v>
      </c>
      <c r="G107" s="5" t="n">
        <v>99</v>
      </c>
      <c r="H107" s="5" t="n">
        <v>18</v>
      </c>
      <c r="I107" s="6" t="s">
        <v>734</v>
      </c>
      <c r="J107" s="6" t="s">
        <v>735</v>
      </c>
      <c r="K107" s="6" t="s">
        <v>736</v>
      </c>
      <c r="L107" s="6" t="s">
        <v>737</v>
      </c>
      <c r="M107" s="7" t="s">
        <v>738</v>
      </c>
    </row>
    <row r="108" customFormat="false" ht="42" hidden="false" customHeight="true" outlineLevel="0" collapsed="false">
      <c r="A108" s="5" t="n">
        <f aca="false">ROW()-3</f>
        <v>105</v>
      </c>
      <c r="B108" s="6" t="s">
        <v>739</v>
      </c>
      <c r="C108" s="6" t="s">
        <v>428</v>
      </c>
      <c r="D108" s="6" t="s">
        <v>17</v>
      </c>
      <c r="E108" s="6" t="s">
        <v>345</v>
      </c>
      <c r="F108" s="5" t="n">
        <v>12</v>
      </c>
      <c r="G108" s="5" t="n">
        <v>17.9</v>
      </c>
      <c r="H108" s="5" t="n">
        <v>19</v>
      </c>
      <c r="I108" s="6" t="s">
        <v>740</v>
      </c>
      <c r="J108" s="6" t="s">
        <v>741</v>
      </c>
      <c r="K108" s="6" t="s">
        <v>742</v>
      </c>
      <c r="L108" s="6" t="s">
        <v>743</v>
      </c>
      <c r="M108" s="7" t="s">
        <v>744</v>
      </c>
    </row>
    <row r="109" customFormat="false" ht="42" hidden="false" customHeight="true" outlineLevel="0" collapsed="false">
      <c r="A109" s="5" t="n">
        <f aca="false">ROW()-3</f>
        <v>106</v>
      </c>
      <c r="B109" s="6" t="s">
        <v>745</v>
      </c>
      <c r="C109" s="6" t="s">
        <v>401</v>
      </c>
      <c r="D109" s="6" t="s">
        <v>17</v>
      </c>
      <c r="E109" s="6" t="s">
        <v>746</v>
      </c>
      <c r="F109" s="5" t="n">
        <v>10</v>
      </c>
      <c r="G109" s="5" t="n">
        <v>13.9</v>
      </c>
      <c r="H109" s="5" t="n">
        <v>10</v>
      </c>
      <c r="I109" s="6" t="s">
        <v>747</v>
      </c>
      <c r="J109" s="6" t="s">
        <v>748</v>
      </c>
      <c r="K109" s="6" t="s">
        <v>749</v>
      </c>
      <c r="L109" s="6" t="s">
        <v>750</v>
      </c>
      <c r="M109" s="7" t="s">
        <v>751</v>
      </c>
    </row>
    <row r="110" customFormat="false" ht="42" hidden="false" customHeight="true" outlineLevel="0" collapsed="false">
      <c r="A110" s="5" t="n">
        <f aca="false">ROW()-3</f>
        <v>107</v>
      </c>
      <c r="B110" s="6" t="s">
        <v>752</v>
      </c>
      <c r="C110" s="6" t="s">
        <v>401</v>
      </c>
      <c r="D110" s="6" t="s">
        <v>17</v>
      </c>
      <c r="E110" s="6" t="s">
        <v>753</v>
      </c>
      <c r="F110" s="5" t="n">
        <v>14</v>
      </c>
      <c r="G110" s="5" t="n">
        <v>17.9</v>
      </c>
      <c r="H110" s="5" t="n">
        <v>11</v>
      </c>
      <c r="I110" s="6" t="s">
        <v>754</v>
      </c>
      <c r="J110" s="6" t="s">
        <v>755</v>
      </c>
      <c r="K110" s="6" t="s">
        <v>756</v>
      </c>
      <c r="L110" s="6" t="s">
        <v>757</v>
      </c>
      <c r="M110" s="7" t="s">
        <v>758</v>
      </c>
    </row>
    <row r="111" customFormat="false" ht="42" hidden="false" customHeight="true" outlineLevel="0" collapsed="false">
      <c r="A111" s="5" t="n">
        <f aca="false">ROW()-3</f>
        <v>108</v>
      </c>
      <c r="B111" s="6" t="s">
        <v>759</v>
      </c>
      <c r="C111" s="6" t="s">
        <v>401</v>
      </c>
      <c r="D111" s="6" t="s">
        <v>17</v>
      </c>
      <c r="E111" s="6" t="s">
        <v>746</v>
      </c>
      <c r="F111" s="5" t="n">
        <v>10</v>
      </c>
      <c r="G111" s="5" t="n">
        <v>13.9</v>
      </c>
      <c r="H111" s="5" t="n">
        <v>10</v>
      </c>
      <c r="I111" s="6" t="s">
        <v>760</v>
      </c>
      <c r="J111" s="6" t="s">
        <v>748</v>
      </c>
      <c r="K111" s="6" t="s">
        <v>761</v>
      </c>
      <c r="L111" s="6" t="s">
        <v>762</v>
      </c>
      <c r="M111" s="7" t="s">
        <v>763</v>
      </c>
    </row>
    <row r="112" customFormat="false" ht="42" hidden="false" customHeight="true" outlineLevel="0" collapsed="false">
      <c r="A112" s="5" t="n">
        <f aca="false">ROW()-3</f>
        <v>109</v>
      </c>
      <c r="B112" s="6" t="s">
        <v>764</v>
      </c>
      <c r="C112" s="6" t="s">
        <v>401</v>
      </c>
      <c r="D112" s="6" t="s">
        <v>17</v>
      </c>
      <c r="E112" s="6" t="s">
        <v>753</v>
      </c>
      <c r="F112" s="5" t="n">
        <v>14</v>
      </c>
      <c r="G112" s="5" t="n">
        <v>17.9</v>
      </c>
      <c r="H112" s="5" t="n">
        <v>11</v>
      </c>
      <c r="I112" s="6" t="s">
        <v>765</v>
      </c>
      <c r="J112" s="6" t="s">
        <v>755</v>
      </c>
      <c r="K112" s="6" t="s">
        <v>766</v>
      </c>
      <c r="L112" s="6" t="s">
        <v>767</v>
      </c>
      <c r="M112" s="7" t="s">
        <v>768</v>
      </c>
    </row>
    <row r="113" customFormat="false" ht="42" hidden="false" customHeight="true" outlineLevel="0" collapsed="false">
      <c r="A113" s="5" t="n">
        <f aca="false">ROW()-3</f>
        <v>110</v>
      </c>
      <c r="B113" s="6" t="s">
        <v>769</v>
      </c>
      <c r="C113" s="6" t="s">
        <v>401</v>
      </c>
      <c r="D113" s="6" t="s">
        <v>33</v>
      </c>
      <c r="E113" s="6" t="s">
        <v>95</v>
      </c>
      <c r="F113" s="5" t="n">
        <v>6</v>
      </c>
      <c r="G113" s="5" t="n">
        <v>17.9</v>
      </c>
      <c r="H113" s="5" t="n">
        <v>15</v>
      </c>
      <c r="I113" s="6" t="s">
        <v>770</v>
      </c>
      <c r="J113" s="6" t="s">
        <v>771</v>
      </c>
      <c r="K113" s="6" t="s">
        <v>772</v>
      </c>
      <c r="L113" s="6" t="s">
        <v>773</v>
      </c>
      <c r="M113" s="7" t="s">
        <v>774</v>
      </c>
    </row>
    <row r="114" customFormat="false" ht="42" hidden="false" customHeight="true" outlineLevel="0" collapsed="false">
      <c r="A114" s="5" t="n">
        <f aca="false">ROW()-3</f>
        <v>111</v>
      </c>
      <c r="B114" s="6" t="s">
        <v>775</v>
      </c>
      <c r="C114" s="6" t="s">
        <v>401</v>
      </c>
      <c r="D114" s="6" t="s">
        <v>33</v>
      </c>
      <c r="E114" s="6" t="s">
        <v>95</v>
      </c>
      <c r="F114" s="5" t="n">
        <v>6</v>
      </c>
      <c r="G114" s="5" t="n">
        <v>17.9</v>
      </c>
      <c r="H114" s="5" t="n">
        <v>15</v>
      </c>
      <c r="I114" s="6" t="s">
        <v>776</v>
      </c>
      <c r="J114" s="6" t="s">
        <v>771</v>
      </c>
      <c r="K114" s="6" t="s">
        <v>777</v>
      </c>
      <c r="L114" s="6" t="s">
        <v>778</v>
      </c>
      <c r="M114" s="7" t="s">
        <v>779</v>
      </c>
    </row>
    <row r="115" customFormat="false" ht="42" hidden="false" customHeight="true" outlineLevel="0" collapsed="false">
      <c r="A115" s="5" t="n">
        <f aca="false">ROW()-3</f>
        <v>112</v>
      </c>
      <c r="B115" s="6" t="s">
        <v>780</v>
      </c>
      <c r="C115" s="6" t="s">
        <v>401</v>
      </c>
      <c r="D115" s="6" t="s">
        <v>45</v>
      </c>
      <c r="E115" s="6" t="s">
        <v>95</v>
      </c>
      <c r="F115" s="5" t="n">
        <v>6</v>
      </c>
      <c r="G115" s="5" t="n">
        <v>17.9</v>
      </c>
      <c r="H115" s="5" t="n">
        <v>11</v>
      </c>
      <c r="I115" s="6" t="s">
        <v>781</v>
      </c>
      <c r="J115" s="6" t="s">
        <v>782</v>
      </c>
      <c r="K115" s="6" t="s">
        <v>783</v>
      </c>
      <c r="L115" s="6" t="s">
        <v>784</v>
      </c>
      <c r="M115" s="7" t="s">
        <v>785</v>
      </c>
    </row>
    <row r="116" customFormat="false" ht="42" hidden="false" customHeight="true" outlineLevel="0" collapsed="false">
      <c r="A116" s="5" t="n">
        <f aca="false">ROW()-3</f>
        <v>113</v>
      </c>
      <c r="B116" s="6" t="s">
        <v>786</v>
      </c>
      <c r="C116" s="6" t="s">
        <v>401</v>
      </c>
      <c r="D116" s="6" t="s">
        <v>45</v>
      </c>
      <c r="E116" s="6" t="s">
        <v>95</v>
      </c>
      <c r="F116" s="5" t="n">
        <v>6</v>
      </c>
      <c r="G116" s="5" t="n">
        <v>17.9</v>
      </c>
      <c r="H116" s="5" t="n">
        <v>11</v>
      </c>
      <c r="I116" s="6" t="s">
        <v>787</v>
      </c>
      <c r="J116" s="6" t="s">
        <v>782</v>
      </c>
      <c r="K116" s="6" t="s">
        <v>788</v>
      </c>
      <c r="L116" s="6" t="s">
        <v>789</v>
      </c>
      <c r="M116" s="7" t="s">
        <v>790</v>
      </c>
    </row>
    <row r="117" customFormat="false" ht="42" hidden="false" customHeight="true" outlineLevel="0" collapsed="false">
      <c r="A117" s="5" t="n">
        <f aca="false">ROW()-3</f>
        <v>114</v>
      </c>
      <c r="B117" s="6" t="s">
        <v>791</v>
      </c>
      <c r="C117" s="6" t="s">
        <v>115</v>
      </c>
      <c r="D117" s="6" t="s">
        <v>792</v>
      </c>
      <c r="E117" s="6" t="s">
        <v>793</v>
      </c>
      <c r="F117" s="5" t="n">
        <v>12</v>
      </c>
      <c r="G117" s="5" t="n">
        <v>99</v>
      </c>
      <c r="H117" s="5" t="n">
        <v>8</v>
      </c>
      <c r="I117" s="6" t="s">
        <v>794</v>
      </c>
      <c r="J117" s="6" t="s">
        <v>795</v>
      </c>
      <c r="K117" s="6" t="s">
        <v>796</v>
      </c>
      <c r="L117" s="6" t="s">
        <v>797</v>
      </c>
      <c r="M117" s="7" t="s">
        <v>798</v>
      </c>
    </row>
    <row r="118" customFormat="false" ht="42" hidden="false" customHeight="true" outlineLevel="0" collapsed="false">
      <c r="A118" s="5" t="n">
        <f aca="false">ROW()-3</f>
        <v>115</v>
      </c>
      <c r="B118" s="6" t="s">
        <v>799</v>
      </c>
      <c r="C118" s="6" t="s">
        <v>16</v>
      </c>
      <c r="D118" s="6" t="s">
        <v>156</v>
      </c>
      <c r="E118" s="6" t="s">
        <v>800</v>
      </c>
      <c r="F118" s="5" t="n">
        <v>3</v>
      </c>
      <c r="G118" s="5" t="n">
        <v>14.9</v>
      </c>
      <c r="H118" s="5" t="n">
        <v>13</v>
      </c>
      <c r="I118" s="6" t="s">
        <v>801</v>
      </c>
      <c r="J118" s="6" t="s">
        <v>802</v>
      </c>
      <c r="K118" s="6" t="s">
        <v>803</v>
      </c>
      <c r="L118" s="6" t="s">
        <v>804</v>
      </c>
      <c r="M118" s="7" t="s">
        <v>805</v>
      </c>
    </row>
    <row r="119" customFormat="false" ht="42" hidden="false" customHeight="true" outlineLevel="0" collapsed="false">
      <c r="A119" s="5" t="n">
        <f aca="false">ROW()-3</f>
        <v>116</v>
      </c>
      <c r="B119" s="6" t="s">
        <v>806</v>
      </c>
      <c r="C119" s="6" t="s">
        <v>16</v>
      </c>
      <c r="D119" s="6" t="s">
        <v>807</v>
      </c>
      <c r="E119" s="6" t="s">
        <v>800</v>
      </c>
      <c r="F119" s="5" t="n">
        <v>3</v>
      </c>
      <c r="G119" s="5" t="n">
        <v>14.9</v>
      </c>
      <c r="H119" s="5" t="n">
        <v>13</v>
      </c>
      <c r="I119" s="6" t="s">
        <v>808</v>
      </c>
      <c r="J119" s="6" t="s">
        <v>809</v>
      </c>
      <c r="K119" s="6" t="s">
        <v>810</v>
      </c>
      <c r="L119" s="6" t="s">
        <v>811</v>
      </c>
      <c r="M119" s="7" t="s">
        <v>812</v>
      </c>
    </row>
    <row r="120" customFormat="false" ht="42" hidden="false" customHeight="true" outlineLevel="0" collapsed="false">
      <c r="A120" s="5" t="n">
        <f aca="false">ROW()-3</f>
        <v>117</v>
      </c>
      <c r="B120" s="6" t="s">
        <v>813</v>
      </c>
      <c r="C120" s="6" t="s">
        <v>814</v>
      </c>
      <c r="D120" s="6" t="s">
        <v>815</v>
      </c>
      <c r="E120" s="6" t="s">
        <v>816</v>
      </c>
      <c r="F120" s="5" t="n">
        <v>0</v>
      </c>
      <c r="G120" s="5" t="n">
        <v>13</v>
      </c>
      <c r="H120" s="5" t="n">
        <v>4</v>
      </c>
      <c r="I120" s="6" t="s">
        <v>817</v>
      </c>
      <c r="J120" s="6" t="s">
        <v>818</v>
      </c>
      <c r="K120" s="6" t="s">
        <v>819</v>
      </c>
      <c r="L120" s="6" t="s">
        <v>820</v>
      </c>
      <c r="M120" s="7" t="s">
        <v>821</v>
      </c>
    </row>
    <row r="121" customFormat="false" ht="42" hidden="false" customHeight="true" outlineLevel="0" collapsed="false">
      <c r="A121" s="5" t="n">
        <f aca="false">ROW()-3</f>
        <v>118</v>
      </c>
      <c r="B121" s="6" t="s">
        <v>822</v>
      </c>
      <c r="C121" s="6" t="s">
        <v>115</v>
      </c>
      <c r="D121" s="6" t="s">
        <v>17</v>
      </c>
      <c r="E121" s="6" t="s">
        <v>823</v>
      </c>
      <c r="F121" s="5" t="n">
        <v>10</v>
      </c>
      <c r="G121" s="5" t="n">
        <v>17.9</v>
      </c>
      <c r="H121" s="5" t="n">
        <v>5</v>
      </c>
      <c r="I121" s="6" t="s">
        <v>824</v>
      </c>
      <c r="J121" s="6" t="s">
        <v>825</v>
      </c>
      <c r="K121" s="6" t="s">
        <v>826</v>
      </c>
      <c r="L121" s="6" t="s">
        <v>827</v>
      </c>
      <c r="M121" s="7" t="s">
        <v>828</v>
      </c>
    </row>
    <row r="122" customFormat="false" ht="42" hidden="false" customHeight="true" outlineLevel="0" collapsed="false">
      <c r="A122" s="5" t="n">
        <f aca="false">ROW()-3</f>
        <v>119</v>
      </c>
      <c r="B122" s="6" t="s">
        <v>829</v>
      </c>
      <c r="C122" s="6" t="s">
        <v>115</v>
      </c>
      <c r="D122" s="6" t="s">
        <v>17</v>
      </c>
      <c r="E122" s="6" t="s">
        <v>830</v>
      </c>
      <c r="F122" s="5" t="n">
        <v>10</v>
      </c>
      <c r="G122" s="5" t="n">
        <v>15.9</v>
      </c>
      <c r="H122" s="5" t="n">
        <v>4</v>
      </c>
      <c r="I122" s="6" t="s">
        <v>831</v>
      </c>
      <c r="J122" s="6" t="s">
        <v>832</v>
      </c>
      <c r="K122" s="6" t="s">
        <v>833</v>
      </c>
      <c r="L122" s="6" t="s">
        <v>834</v>
      </c>
      <c r="M122" s="7" t="s">
        <v>835</v>
      </c>
    </row>
    <row r="123" customFormat="false" ht="42" hidden="false" customHeight="true" outlineLevel="0" collapsed="false">
      <c r="A123" s="5" t="n">
        <f aca="false">ROW()-3</f>
        <v>120</v>
      </c>
      <c r="B123" s="6" t="s">
        <v>836</v>
      </c>
      <c r="C123" s="6" t="s">
        <v>280</v>
      </c>
      <c r="D123" s="6" t="s">
        <v>837</v>
      </c>
      <c r="E123" s="6" t="s">
        <v>838</v>
      </c>
      <c r="F123" s="5" t="n">
        <v>0</v>
      </c>
      <c r="G123" s="5" t="n">
        <v>99</v>
      </c>
      <c r="H123" s="5" t="n">
        <v>3</v>
      </c>
      <c r="I123" s="6" t="s">
        <v>839</v>
      </c>
      <c r="J123" s="6" t="s">
        <v>840</v>
      </c>
      <c r="K123" s="6" t="s">
        <v>841</v>
      </c>
      <c r="L123" s="6" t="s">
        <v>842</v>
      </c>
      <c r="M123" s="7" t="s">
        <v>843</v>
      </c>
    </row>
    <row r="124" customFormat="false" ht="42" hidden="false" customHeight="true" outlineLevel="0" collapsed="false">
      <c r="A124" s="5" t="n">
        <f aca="false">ROW()-3</f>
        <v>121</v>
      </c>
      <c r="B124" s="6" t="s">
        <v>844</v>
      </c>
      <c r="C124" s="6" t="s">
        <v>280</v>
      </c>
      <c r="D124" s="6" t="s">
        <v>845</v>
      </c>
      <c r="E124" s="6" t="s">
        <v>838</v>
      </c>
      <c r="F124" s="5" t="n">
        <v>0</v>
      </c>
      <c r="G124" s="5" t="n">
        <v>99</v>
      </c>
      <c r="H124" s="5" t="n">
        <v>3</v>
      </c>
      <c r="I124" s="6" t="s">
        <v>846</v>
      </c>
      <c r="J124" s="6" t="s">
        <v>840</v>
      </c>
      <c r="K124" s="6" t="s">
        <v>847</v>
      </c>
      <c r="L124" s="6" t="s">
        <v>848</v>
      </c>
      <c r="M124" s="7" t="s">
        <v>849</v>
      </c>
    </row>
    <row r="125" customFormat="false" ht="42" hidden="false" customHeight="true" outlineLevel="0" collapsed="false">
      <c r="A125" s="5" t="n">
        <f aca="false">ROW()-3</f>
        <v>122</v>
      </c>
      <c r="B125" s="6" t="s">
        <v>850</v>
      </c>
      <c r="C125" s="6" t="s">
        <v>428</v>
      </c>
      <c r="D125" s="6" t="s">
        <v>272</v>
      </c>
      <c r="E125" s="6" t="s">
        <v>851</v>
      </c>
      <c r="F125" s="5" t="n">
        <v>10</v>
      </c>
      <c r="G125" s="5" t="n">
        <v>24.9</v>
      </c>
      <c r="H125" s="5" t="n">
        <v>22</v>
      </c>
      <c r="I125" s="6" t="s">
        <v>852</v>
      </c>
      <c r="J125" s="6" t="s">
        <v>853</v>
      </c>
      <c r="K125" s="6" t="s">
        <v>854</v>
      </c>
      <c r="L125" s="6" t="s">
        <v>855</v>
      </c>
      <c r="M125" s="7" t="s">
        <v>856</v>
      </c>
    </row>
    <row r="126" customFormat="false" ht="42" hidden="false" customHeight="true" outlineLevel="0" collapsed="false">
      <c r="A126" s="5" t="n">
        <f aca="false">ROW()-3</f>
        <v>123</v>
      </c>
      <c r="B126" s="6" t="s">
        <v>857</v>
      </c>
      <c r="C126" s="6" t="s">
        <v>280</v>
      </c>
      <c r="D126" s="6" t="s">
        <v>33</v>
      </c>
      <c r="E126" s="6" t="s">
        <v>26</v>
      </c>
      <c r="F126" s="5" t="n">
        <v>0</v>
      </c>
      <c r="G126" s="5" t="n">
        <v>5.9</v>
      </c>
      <c r="H126" s="5" t="n">
        <v>3</v>
      </c>
      <c r="I126" s="6" t="s">
        <v>858</v>
      </c>
      <c r="J126" s="6" t="s">
        <v>859</v>
      </c>
      <c r="K126" s="6" t="s">
        <v>860</v>
      </c>
      <c r="L126" s="6" t="s">
        <v>861</v>
      </c>
      <c r="M126" s="7" t="s">
        <v>862</v>
      </c>
    </row>
    <row r="127" customFormat="false" ht="42" hidden="false" customHeight="true" outlineLevel="0" collapsed="false">
      <c r="A127" s="5" t="n">
        <f aca="false">ROW()-3</f>
        <v>124</v>
      </c>
      <c r="B127" s="6" t="s">
        <v>863</v>
      </c>
      <c r="C127" s="6" t="s">
        <v>72</v>
      </c>
      <c r="D127" s="6" t="s">
        <v>864</v>
      </c>
      <c r="E127" s="6" t="s">
        <v>95</v>
      </c>
      <c r="F127" s="5" t="n">
        <v>6</v>
      </c>
      <c r="G127" s="5" t="n">
        <v>17.9</v>
      </c>
      <c r="H127" s="5" t="n">
        <v>9</v>
      </c>
      <c r="I127" s="6" t="s">
        <v>865</v>
      </c>
      <c r="J127" s="6" t="s">
        <v>866</v>
      </c>
      <c r="K127" s="6" t="s">
        <v>867</v>
      </c>
      <c r="L127" s="6" t="s">
        <v>868</v>
      </c>
      <c r="M127" s="7" t="s">
        <v>869</v>
      </c>
    </row>
    <row r="128" customFormat="false" ht="42" hidden="false" customHeight="true" outlineLevel="0" collapsed="false">
      <c r="A128" s="5" t="n">
        <f aca="false">ROW()-3</f>
        <v>125</v>
      </c>
      <c r="B128" s="6" t="s">
        <v>870</v>
      </c>
      <c r="C128" s="6" t="s">
        <v>72</v>
      </c>
      <c r="D128" s="6" t="s">
        <v>33</v>
      </c>
      <c r="E128" s="6" t="s">
        <v>95</v>
      </c>
      <c r="F128" s="5" t="n">
        <v>6</v>
      </c>
      <c r="G128" s="5" t="n">
        <v>17.9</v>
      </c>
      <c r="H128" s="5" t="n">
        <v>9</v>
      </c>
      <c r="I128" s="6" t="s">
        <v>871</v>
      </c>
      <c r="J128" s="6" t="s">
        <v>872</v>
      </c>
      <c r="K128" s="6" t="s">
        <v>873</v>
      </c>
      <c r="L128" s="6" t="s">
        <v>874</v>
      </c>
      <c r="M128" s="7" t="s">
        <v>875</v>
      </c>
    </row>
    <row r="129" customFormat="false" ht="42" hidden="false" customHeight="true" outlineLevel="0" collapsed="false">
      <c r="A129" s="5" t="n">
        <f aca="false">ROW()-3</f>
        <v>126</v>
      </c>
      <c r="B129" s="6" t="s">
        <v>876</v>
      </c>
      <c r="C129" s="6" t="s">
        <v>16</v>
      </c>
      <c r="D129" s="6" t="s">
        <v>17</v>
      </c>
      <c r="E129" s="6" t="s">
        <v>73</v>
      </c>
      <c r="F129" s="5" t="n">
        <v>16</v>
      </c>
      <c r="G129" s="5" t="n">
        <v>99</v>
      </c>
      <c r="H129" s="5" t="n">
        <v>5</v>
      </c>
      <c r="I129" s="6" t="s">
        <v>877</v>
      </c>
      <c r="J129" s="6" t="s">
        <v>878</v>
      </c>
      <c r="K129" s="6" t="s">
        <v>879</v>
      </c>
      <c r="L129" s="6" t="s">
        <v>880</v>
      </c>
      <c r="M129" s="7" t="s">
        <v>881</v>
      </c>
    </row>
    <row r="130" customFormat="false" ht="42" hidden="false" customHeight="true" outlineLevel="0" collapsed="false">
      <c r="A130" s="5" t="n">
        <f aca="false">ROW()-3</f>
        <v>127</v>
      </c>
      <c r="B130" s="6" t="s">
        <v>882</v>
      </c>
      <c r="C130" s="6" t="s">
        <v>16</v>
      </c>
      <c r="D130" s="6" t="s">
        <v>883</v>
      </c>
      <c r="E130" s="6" t="s">
        <v>884</v>
      </c>
      <c r="F130" s="5" t="n">
        <v>3</v>
      </c>
      <c r="G130" s="5" t="n">
        <v>70</v>
      </c>
      <c r="H130" s="5" t="n">
        <v>7</v>
      </c>
      <c r="I130" s="6" t="s">
        <v>885</v>
      </c>
      <c r="J130" s="6" t="s">
        <v>886</v>
      </c>
      <c r="K130" s="6" t="s">
        <v>887</v>
      </c>
      <c r="L130" s="6" t="s">
        <v>888</v>
      </c>
      <c r="M130" s="7" t="s">
        <v>889</v>
      </c>
    </row>
    <row r="131" customFormat="false" ht="42" hidden="false" customHeight="true" outlineLevel="0" collapsed="false">
      <c r="A131" s="5" t="n">
        <f aca="false">ROW()-3</f>
        <v>128</v>
      </c>
      <c r="B131" s="6" t="s">
        <v>890</v>
      </c>
      <c r="C131" s="6" t="s">
        <v>219</v>
      </c>
      <c r="D131" s="6" t="s">
        <v>815</v>
      </c>
      <c r="E131" s="6" t="s">
        <v>618</v>
      </c>
      <c r="F131" s="5" t="n">
        <v>9</v>
      </c>
      <c r="G131" s="5" t="n">
        <v>18</v>
      </c>
      <c r="H131" s="5" t="n">
        <v>8</v>
      </c>
      <c r="I131" s="6" t="s">
        <v>891</v>
      </c>
      <c r="J131" s="6" t="s">
        <v>892</v>
      </c>
      <c r="K131" s="6" t="s">
        <v>893</v>
      </c>
      <c r="L131" s="6" t="s">
        <v>894</v>
      </c>
      <c r="M131" s="7" t="s">
        <v>895</v>
      </c>
    </row>
    <row r="132" customFormat="false" ht="42" hidden="false" customHeight="true" outlineLevel="0" collapsed="false">
      <c r="A132" s="5" t="n">
        <f aca="false">ROW()-3</f>
        <v>129</v>
      </c>
      <c r="B132" s="6" t="s">
        <v>896</v>
      </c>
      <c r="C132" s="6" t="s">
        <v>219</v>
      </c>
      <c r="D132" s="6" t="s">
        <v>17</v>
      </c>
      <c r="E132" s="6" t="s">
        <v>618</v>
      </c>
      <c r="F132" s="5" t="n">
        <v>9</v>
      </c>
      <c r="G132" s="5" t="n">
        <v>18</v>
      </c>
      <c r="H132" s="5" t="n">
        <v>8</v>
      </c>
      <c r="I132" s="6" t="s">
        <v>897</v>
      </c>
      <c r="J132" s="6" t="s">
        <v>892</v>
      </c>
      <c r="K132" s="6" t="s">
        <v>898</v>
      </c>
      <c r="L132" s="6" t="s">
        <v>899</v>
      </c>
      <c r="M132" s="7" t="s">
        <v>900</v>
      </c>
    </row>
    <row r="133" customFormat="false" ht="42" hidden="false" customHeight="true" outlineLevel="0" collapsed="false">
      <c r="A133" s="5" t="n">
        <f aca="false">ROW()-3</f>
        <v>130</v>
      </c>
      <c r="B133" s="6" t="s">
        <v>901</v>
      </c>
      <c r="C133" s="6" t="s">
        <v>219</v>
      </c>
      <c r="D133" s="6" t="s">
        <v>815</v>
      </c>
      <c r="E133" s="6" t="s">
        <v>618</v>
      </c>
      <c r="F133" s="5" t="n">
        <v>9</v>
      </c>
      <c r="G133" s="5" t="n">
        <v>18</v>
      </c>
      <c r="H133" s="5" t="n">
        <v>13</v>
      </c>
      <c r="I133" s="6" t="s">
        <v>902</v>
      </c>
      <c r="J133" s="6" t="s">
        <v>903</v>
      </c>
      <c r="K133" s="6" t="s">
        <v>904</v>
      </c>
      <c r="L133" s="6" t="s">
        <v>905</v>
      </c>
      <c r="M133" s="7" t="s">
        <v>906</v>
      </c>
    </row>
    <row r="134" customFormat="false" ht="42" hidden="false" customHeight="true" outlineLevel="0" collapsed="false">
      <c r="A134" s="5" t="n">
        <f aca="false">ROW()-3</f>
        <v>131</v>
      </c>
      <c r="B134" s="6" t="s">
        <v>907</v>
      </c>
      <c r="C134" s="6" t="s">
        <v>219</v>
      </c>
      <c r="D134" s="6" t="s">
        <v>17</v>
      </c>
      <c r="E134" s="6" t="s">
        <v>618</v>
      </c>
      <c r="F134" s="5" t="n">
        <v>9</v>
      </c>
      <c r="G134" s="5" t="n">
        <v>18</v>
      </c>
      <c r="H134" s="5" t="n">
        <v>13</v>
      </c>
      <c r="I134" s="6" t="s">
        <v>908</v>
      </c>
      <c r="J134" s="6" t="s">
        <v>903</v>
      </c>
      <c r="K134" s="6" t="s">
        <v>909</v>
      </c>
      <c r="L134" s="6" t="s">
        <v>910</v>
      </c>
      <c r="M134" s="7" t="s">
        <v>911</v>
      </c>
    </row>
    <row r="135" customFormat="false" ht="42" hidden="false" customHeight="true" outlineLevel="0" collapsed="false">
      <c r="A135" s="5" t="n">
        <f aca="false">ROW()-3</f>
        <v>132</v>
      </c>
      <c r="B135" s="6" t="s">
        <v>912</v>
      </c>
      <c r="C135" s="6" t="s">
        <v>219</v>
      </c>
      <c r="D135" s="6" t="s">
        <v>17</v>
      </c>
      <c r="E135" s="6" t="s">
        <v>913</v>
      </c>
      <c r="F135" s="5" t="n">
        <v>12</v>
      </c>
      <c r="G135" s="5" t="n">
        <v>20</v>
      </c>
      <c r="H135" s="5" t="n">
        <v>1</v>
      </c>
      <c r="I135" s="6" t="s">
        <v>914</v>
      </c>
      <c r="J135" s="6" t="s">
        <v>915</v>
      </c>
      <c r="K135" s="6" t="s">
        <v>916</v>
      </c>
      <c r="L135" s="6" t="s">
        <v>917</v>
      </c>
      <c r="M135" s="7" t="s">
        <v>918</v>
      </c>
    </row>
    <row r="136" customFormat="false" ht="42" hidden="false" customHeight="true" outlineLevel="0" collapsed="false">
      <c r="A136" s="5" t="n">
        <f aca="false">ROW()-3</f>
        <v>133</v>
      </c>
      <c r="B136" s="6" t="s">
        <v>919</v>
      </c>
      <c r="C136" s="6" t="s">
        <v>219</v>
      </c>
      <c r="D136" s="6" t="s">
        <v>17</v>
      </c>
      <c r="E136" s="6" t="s">
        <v>173</v>
      </c>
      <c r="F136" s="5" t="n">
        <v>8</v>
      </c>
      <c r="G136" s="5" t="n">
        <v>17.9</v>
      </c>
      <c r="H136" s="5" t="n">
        <v>8</v>
      </c>
      <c r="I136" s="6" t="s">
        <v>920</v>
      </c>
      <c r="J136" s="6" t="s">
        <v>921</v>
      </c>
      <c r="K136" s="6" t="s">
        <v>922</v>
      </c>
      <c r="L136" s="6" t="s">
        <v>923</v>
      </c>
      <c r="M136" s="7" t="s">
        <v>924</v>
      </c>
    </row>
    <row r="137" customFormat="false" ht="42" hidden="false" customHeight="true" outlineLevel="0" collapsed="false">
      <c r="A137" s="5" t="n">
        <f aca="false">ROW()-3</f>
        <v>134</v>
      </c>
      <c r="B137" s="6" t="s">
        <v>925</v>
      </c>
      <c r="C137" s="6" t="s">
        <v>219</v>
      </c>
      <c r="D137" s="6" t="s">
        <v>33</v>
      </c>
      <c r="E137" s="6" t="s">
        <v>173</v>
      </c>
      <c r="F137" s="5" t="n">
        <v>8</v>
      </c>
      <c r="G137" s="5" t="n">
        <v>17.9</v>
      </c>
      <c r="H137" s="5" t="n">
        <v>8</v>
      </c>
      <c r="I137" s="6" t="s">
        <v>926</v>
      </c>
      <c r="J137" s="6" t="s">
        <v>921</v>
      </c>
      <c r="K137" s="6" t="s">
        <v>927</v>
      </c>
      <c r="L137" s="6" t="s">
        <v>928</v>
      </c>
      <c r="M137" s="7" t="s">
        <v>929</v>
      </c>
    </row>
    <row r="138" customFormat="false" ht="42" hidden="false" customHeight="true" outlineLevel="0" collapsed="false">
      <c r="A138" s="5" t="n">
        <f aca="false">ROW()-3</f>
        <v>135</v>
      </c>
      <c r="B138" s="6" t="s">
        <v>930</v>
      </c>
      <c r="C138" s="6" t="s">
        <v>554</v>
      </c>
      <c r="D138" s="6" t="s">
        <v>573</v>
      </c>
      <c r="E138" s="6" t="s">
        <v>931</v>
      </c>
      <c r="F138" s="5" t="n">
        <v>13</v>
      </c>
      <c r="G138" s="5" t="n">
        <v>99</v>
      </c>
      <c r="H138" s="5" t="n">
        <v>7</v>
      </c>
      <c r="I138" s="6" t="s">
        <v>932</v>
      </c>
      <c r="J138" s="6" t="s">
        <v>933</v>
      </c>
      <c r="K138" s="6" t="s">
        <v>934</v>
      </c>
      <c r="L138" s="6" t="s">
        <v>935</v>
      </c>
      <c r="M138" s="7" t="s">
        <v>936</v>
      </c>
    </row>
    <row r="139" customFormat="false" ht="42" hidden="false" customHeight="true" outlineLevel="0" collapsed="false">
      <c r="A139" s="5" t="n">
        <f aca="false">ROW()-3</f>
        <v>136</v>
      </c>
      <c r="B139" s="6" t="s">
        <v>937</v>
      </c>
      <c r="C139" s="6" t="s">
        <v>401</v>
      </c>
      <c r="D139" s="6" t="s">
        <v>272</v>
      </c>
      <c r="E139" s="6" t="s">
        <v>938</v>
      </c>
      <c r="F139" s="5" t="n">
        <v>11</v>
      </c>
      <c r="G139" s="5" t="n">
        <v>17.9</v>
      </c>
      <c r="H139" s="5" t="n">
        <v>4</v>
      </c>
      <c r="I139" s="6" t="s">
        <v>939</v>
      </c>
      <c r="J139" s="6" t="s">
        <v>940</v>
      </c>
      <c r="K139" s="6" t="s">
        <v>941</v>
      </c>
      <c r="L139" s="6" t="s">
        <v>942</v>
      </c>
      <c r="M139" s="7" t="s">
        <v>943</v>
      </c>
    </row>
    <row r="140" customFormat="false" ht="42" hidden="false" customHeight="true" outlineLevel="0" collapsed="false">
      <c r="A140" s="5" t="n">
        <f aca="false">ROW()-3</f>
        <v>137</v>
      </c>
      <c r="B140" s="6" t="s">
        <v>944</v>
      </c>
      <c r="C140" s="6" t="s">
        <v>131</v>
      </c>
      <c r="D140" s="6" t="s">
        <v>945</v>
      </c>
      <c r="E140" s="6" t="s">
        <v>946</v>
      </c>
      <c r="F140" s="5" t="n">
        <v>5</v>
      </c>
      <c r="G140" s="5" t="n">
        <v>11</v>
      </c>
      <c r="H140" s="5" t="n">
        <v>3</v>
      </c>
      <c r="I140" s="6" t="s">
        <v>947</v>
      </c>
      <c r="J140" s="6" t="s">
        <v>948</v>
      </c>
      <c r="K140" s="6" t="s">
        <v>949</v>
      </c>
      <c r="L140" s="6" t="s">
        <v>950</v>
      </c>
      <c r="M140" s="7" t="s">
        <v>951</v>
      </c>
    </row>
    <row r="141" customFormat="false" ht="42" hidden="false" customHeight="true" outlineLevel="0" collapsed="false">
      <c r="A141" s="5" t="n">
        <f aca="false">ROW()-3</f>
        <v>138</v>
      </c>
      <c r="B141" s="6" t="s">
        <v>952</v>
      </c>
      <c r="C141" s="6" t="s">
        <v>401</v>
      </c>
      <c r="D141" s="6" t="s">
        <v>953</v>
      </c>
      <c r="E141" s="6" t="s">
        <v>95</v>
      </c>
      <c r="F141" s="5" t="n">
        <v>6</v>
      </c>
      <c r="G141" s="5" t="n">
        <v>17.9</v>
      </c>
      <c r="H141" s="5" t="n">
        <v>6</v>
      </c>
      <c r="I141" s="6" t="s">
        <v>954</v>
      </c>
      <c r="J141" s="6" t="s">
        <v>955</v>
      </c>
      <c r="K141" s="6" t="s">
        <v>956</v>
      </c>
      <c r="L141" s="6" t="s">
        <v>957</v>
      </c>
      <c r="M141" s="7" t="s">
        <v>958</v>
      </c>
    </row>
    <row r="142" customFormat="false" ht="42" hidden="false" customHeight="true" outlineLevel="0" collapsed="false">
      <c r="A142" s="5" t="n">
        <f aca="false">ROW()-3</f>
        <v>139</v>
      </c>
      <c r="B142" s="6" t="s">
        <v>959</v>
      </c>
      <c r="C142" s="6" t="s">
        <v>219</v>
      </c>
      <c r="D142" s="6" t="s">
        <v>33</v>
      </c>
      <c r="E142" s="6" t="s">
        <v>960</v>
      </c>
      <c r="F142" s="5" t="n">
        <v>3</v>
      </c>
      <c r="G142" s="5" t="n">
        <v>12.9</v>
      </c>
      <c r="H142" s="5" t="n">
        <v>6</v>
      </c>
      <c r="I142" s="6" t="s">
        <v>961</v>
      </c>
      <c r="J142" s="6" t="s">
        <v>962</v>
      </c>
      <c r="K142" s="6" t="s">
        <v>963</v>
      </c>
      <c r="L142" s="6" t="s">
        <v>964</v>
      </c>
      <c r="M142" s="7" t="s">
        <v>965</v>
      </c>
    </row>
    <row r="143" customFormat="false" ht="42" hidden="false" customHeight="true" outlineLevel="0" collapsed="false">
      <c r="A143" s="5" t="n">
        <f aca="false">ROW()-3</f>
        <v>140</v>
      </c>
      <c r="B143" s="6" t="s">
        <v>966</v>
      </c>
      <c r="C143" s="6" t="s">
        <v>219</v>
      </c>
      <c r="D143" s="6" t="s">
        <v>156</v>
      </c>
      <c r="E143" s="6" t="s">
        <v>960</v>
      </c>
      <c r="F143" s="5" t="n">
        <v>3</v>
      </c>
      <c r="G143" s="5" t="n">
        <v>12.9</v>
      </c>
      <c r="H143" s="5" t="n">
        <v>6</v>
      </c>
      <c r="I143" s="6" t="s">
        <v>967</v>
      </c>
      <c r="J143" s="6" t="s">
        <v>962</v>
      </c>
      <c r="K143" s="6" t="s">
        <v>968</v>
      </c>
      <c r="L143" s="6" t="s">
        <v>969</v>
      </c>
      <c r="M143" s="7" t="s">
        <v>970</v>
      </c>
    </row>
    <row r="144" customFormat="false" ht="42" hidden="false" customHeight="true" outlineLevel="0" collapsed="false">
      <c r="A144" s="5" t="n">
        <f aca="false">ROW()-3</f>
        <v>141</v>
      </c>
      <c r="B144" s="6" t="s">
        <v>971</v>
      </c>
      <c r="C144" s="6" t="s">
        <v>442</v>
      </c>
      <c r="D144" s="6" t="s">
        <v>172</v>
      </c>
      <c r="E144" s="6" t="s">
        <v>625</v>
      </c>
      <c r="F144" s="5" t="n">
        <v>1.1</v>
      </c>
      <c r="G144" s="5" t="n">
        <v>1.5</v>
      </c>
      <c r="H144" s="5" t="n">
        <v>11</v>
      </c>
      <c r="I144" s="6" t="s">
        <v>972</v>
      </c>
      <c r="J144" s="6" t="s">
        <v>973</v>
      </c>
      <c r="K144" s="6" t="s">
        <v>974</v>
      </c>
      <c r="L144" s="6" t="s">
        <v>975</v>
      </c>
      <c r="M144" s="7" t="s">
        <v>976</v>
      </c>
    </row>
    <row r="145" customFormat="false" ht="42" hidden="false" customHeight="true" outlineLevel="0" collapsed="false">
      <c r="A145" s="5" t="n">
        <f aca="false">ROW()-3</f>
        <v>142</v>
      </c>
      <c r="B145" s="6" t="s">
        <v>977</v>
      </c>
      <c r="C145" s="6" t="s">
        <v>442</v>
      </c>
      <c r="D145" s="6" t="s">
        <v>172</v>
      </c>
      <c r="E145" s="6" t="s">
        <v>978</v>
      </c>
      <c r="F145" s="5" t="n">
        <v>0.7</v>
      </c>
      <c r="G145" s="5" t="n">
        <v>1.2</v>
      </c>
      <c r="H145" s="5" t="n">
        <v>9</v>
      </c>
      <c r="I145" s="6" t="s">
        <v>979</v>
      </c>
      <c r="J145" s="6" t="s">
        <v>980</v>
      </c>
      <c r="K145" s="6" t="s">
        <v>981</v>
      </c>
      <c r="L145" s="6" t="s">
        <v>982</v>
      </c>
      <c r="M145" s="7" t="s">
        <v>983</v>
      </c>
    </row>
    <row r="146" customFormat="false" ht="42" hidden="false" customHeight="true" outlineLevel="0" collapsed="false">
      <c r="A146" s="5" t="n">
        <f aca="false">ROW()-3</f>
        <v>143</v>
      </c>
      <c r="B146" s="6" t="s">
        <v>984</v>
      </c>
      <c r="C146" s="6" t="s">
        <v>442</v>
      </c>
      <c r="D146" s="6" t="s">
        <v>45</v>
      </c>
      <c r="E146" s="6" t="s">
        <v>985</v>
      </c>
      <c r="F146" s="5" t="n">
        <v>0.7</v>
      </c>
      <c r="G146" s="5" t="n">
        <v>1.2</v>
      </c>
      <c r="H146" s="5" t="n">
        <v>6</v>
      </c>
      <c r="I146" s="6" t="s">
        <v>986</v>
      </c>
      <c r="J146" s="6" t="s">
        <v>987</v>
      </c>
      <c r="K146" s="6" t="s">
        <v>988</v>
      </c>
      <c r="L146" s="6" t="s">
        <v>989</v>
      </c>
      <c r="M146" s="7" t="s">
        <v>990</v>
      </c>
    </row>
    <row r="147" customFormat="false" ht="42" hidden="false" customHeight="true" outlineLevel="0" collapsed="false">
      <c r="A147" s="5" t="n">
        <f aca="false">ROW()-3</f>
        <v>144</v>
      </c>
      <c r="B147" s="6" t="s">
        <v>991</v>
      </c>
      <c r="C147" s="6" t="s">
        <v>442</v>
      </c>
      <c r="D147" s="6" t="s">
        <v>17</v>
      </c>
      <c r="E147" s="6" t="s">
        <v>992</v>
      </c>
      <c r="F147" s="5" t="n">
        <v>1.4</v>
      </c>
      <c r="G147" s="5" t="n">
        <v>2.5</v>
      </c>
      <c r="H147" s="5" t="n">
        <v>16</v>
      </c>
      <c r="I147" s="6" t="s">
        <v>993</v>
      </c>
      <c r="J147" s="6" t="s">
        <v>994</v>
      </c>
      <c r="K147" s="6" t="s">
        <v>995</v>
      </c>
      <c r="L147" s="6" t="s">
        <v>996</v>
      </c>
      <c r="M147" s="7" t="s">
        <v>997</v>
      </c>
    </row>
    <row r="148" customFormat="false" ht="42" hidden="false" customHeight="true" outlineLevel="0" collapsed="false">
      <c r="A148" s="5" t="n">
        <f aca="false">ROW()-3</f>
        <v>145</v>
      </c>
      <c r="B148" s="6" t="s">
        <v>998</v>
      </c>
      <c r="C148" s="6" t="s">
        <v>442</v>
      </c>
      <c r="D148" s="6" t="s">
        <v>172</v>
      </c>
      <c r="E148" s="6" t="s">
        <v>999</v>
      </c>
      <c r="F148" s="5" t="n">
        <v>0.7</v>
      </c>
      <c r="G148" s="5" t="n">
        <v>1.2</v>
      </c>
      <c r="H148" s="5" t="n">
        <v>13</v>
      </c>
      <c r="I148" s="6" t="s">
        <v>1000</v>
      </c>
      <c r="J148" s="6" t="s">
        <v>1001</v>
      </c>
      <c r="K148" s="6" t="s">
        <v>1002</v>
      </c>
      <c r="L148" s="6" t="s">
        <v>1003</v>
      </c>
      <c r="M148" s="7" t="s">
        <v>1004</v>
      </c>
    </row>
    <row r="149" customFormat="false" ht="42" hidden="false" customHeight="true" outlineLevel="0" collapsed="false">
      <c r="A149" s="5" t="n">
        <f aca="false">ROW()-3</f>
        <v>146</v>
      </c>
      <c r="B149" s="6" t="s">
        <v>1005</v>
      </c>
      <c r="C149" s="6" t="s">
        <v>16</v>
      </c>
      <c r="D149" s="6" t="s">
        <v>33</v>
      </c>
      <c r="E149" s="6" t="s">
        <v>180</v>
      </c>
      <c r="F149" s="5" t="n">
        <v>4</v>
      </c>
      <c r="G149" s="5" t="n">
        <v>17.9</v>
      </c>
      <c r="H149" s="5" t="n">
        <v>7</v>
      </c>
      <c r="I149" s="6" t="s">
        <v>1006</v>
      </c>
      <c r="J149" s="6" t="s">
        <v>1007</v>
      </c>
      <c r="K149" s="6" t="s">
        <v>1008</v>
      </c>
      <c r="L149" s="6" t="s">
        <v>1009</v>
      </c>
      <c r="M149" s="7" t="s">
        <v>1010</v>
      </c>
    </row>
    <row r="150" customFormat="false" ht="210" hidden="false" customHeight="true" outlineLevel="0" collapsed="false">
      <c r="A150" s="5" t="n">
        <f aca="false">ROW()-3</f>
        <v>147</v>
      </c>
      <c r="B150" s="6" t="s">
        <v>1011</v>
      </c>
      <c r="C150" s="6" t="s">
        <v>16</v>
      </c>
      <c r="D150" s="6" t="s">
        <v>45</v>
      </c>
      <c r="E150" s="6" t="s">
        <v>180</v>
      </c>
      <c r="F150" s="5" t="n">
        <v>4</v>
      </c>
      <c r="G150" s="5" t="n">
        <v>17.9</v>
      </c>
      <c r="H150" s="5" t="n">
        <v>7</v>
      </c>
      <c r="I150" s="6" t="s">
        <v>1012</v>
      </c>
      <c r="J150" s="6" t="s">
        <v>1007</v>
      </c>
      <c r="K150" s="6" t="s">
        <v>1013</v>
      </c>
      <c r="L150" s="6" t="s">
        <v>1014</v>
      </c>
      <c r="M150" s="7" t="s">
        <v>1015</v>
      </c>
    </row>
    <row r="151" customFormat="false" ht="42" hidden="false" customHeight="true" outlineLevel="0" collapsed="false">
      <c r="A151" s="5" t="n">
        <f aca="false">ROW()-3</f>
        <v>148</v>
      </c>
      <c r="B151" s="6" t="s">
        <v>1016</v>
      </c>
      <c r="C151" s="6" t="s">
        <v>219</v>
      </c>
      <c r="D151" s="6" t="s">
        <v>17</v>
      </c>
      <c r="E151" s="6" t="s">
        <v>265</v>
      </c>
      <c r="F151" s="5" t="n">
        <v>8</v>
      </c>
      <c r="G151" s="5" t="n">
        <v>17.9</v>
      </c>
      <c r="H151" s="5" t="n">
        <v>4</v>
      </c>
      <c r="I151" s="6" t="s">
        <v>1017</v>
      </c>
      <c r="J151" s="6" t="s">
        <v>1018</v>
      </c>
      <c r="K151" s="6" t="s">
        <v>1019</v>
      </c>
      <c r="L151" s="6" t="s">
        <v>1020</v>
      </c>
      <c r="M151" s="7" t="s">
        <v>1021</v>
      </c>
    </row>
    <row r="152" customFormat="false" ht="42" hidden="false" customHeight="true" outlineLevel="0" collapsed="false">
      <c r="A152" s="5" t="n">
        <f aca="false">ROW()-3</f>
        <v>149</v>
      </c>
      <c r="B152" s="6" t="s">
        <v>1022</v>
      </c>
      <c r="C152" s="6" t="s">
        <v>72</v>
      </c>
      <c r="D152" s="6" t="s">
        <v>17</v>
      </c>
      <c r="E152" s="6" t="s">
        <v>618</v>
      </c>
      <c r="F152" s="5" t="n">
        <v>9</v>
      </c>
      <c r="G152" s="5" t="n">
        <v>19</v>
      </c>
      <c r="H152" s="5" t="n">
        <v>12</v>
      </c>
      <c r="I152" s="6" t="s">
        <v>1023</v>
      </c>
      <c r="J152" s="6" t="s">
        <v>1024</v>
      </c>
      <c r="K152" s="6" t="s">
        <v>1025</v>
      </c>
      <c r="L152" s="6" t="s">
        <v>1026</v>
      </c>
      <c r="M152" s="7" t="s">
        <v>1027</v>
      </c>
    </row>
    <row r="153" customFormat="false" ht="42" hidden="false" customHeight="true" outlineLevel="0" collapsed="false">
      <c r="A153" s="5" t="n">
        <f aca="false">ROW()-3</f>
        <v>150</v>
      </c>
      <c r="B153" s="6" t="s">
        <v>1028</v>
      </c>
      <c r="C153" s="6" t="s">
        <v>131</v>
      </c>
      <c r="D153" s="6" t="s">
        <v>1029</v>
      </c>
      <c r="E153" s="6" t="s">
        <v>95</v>
      </c>
      <c r="F153" s="5" t="n">
        <v>6</v>
      </c>
      <c r="G153" s="5" t="n">
        <v>17.9</v>
      </c>
      <c r="H153" s="5" t="n">
        <v>2</v>
      </c>
      <c r="I153" s="6" t="s">
        <v>1030</v>
      </c>
      <c r="J153" s="6" t="s">
        <v>1031</v>
      </c>
      <c r="K153" s="6" t="s">
        <v>1032</v>
      </c>
      <c r="L153" s="6" t="s">
        <v>1033</v>
      </c>
      <c r="M153" s="7" t="s">
        <v>1034</v>
      </c>
    </row>
    <row r="154" customFormat="false" ht="42" hidden="false" customHeight="true" outlineLevel="0" collapsed="false">
      <c r="A154" s="5" t="n">
        <f aca="false">ROW()-3</f>
        <v>151</v>
      </c>
      <c r="B154" s="6" t="s">
        <v>1035</v>
      </c>
      <c r="C154" s="6" t="s">
        <v>210</v>
      </c>
      <c r="D154" s="6" t="s">
        <v>17</v>
      </c>
      <c r="E154" s="6" t="s">
        <v>838</v>
      </c>
      <c r="F154" s="5" t="n">
        <v>16</v>
      </c>
      <c r="G154" s="5" t="n">
        <v>99</v>
      </c>
      <c r="H154" s="5" t="n">
        <v>4</v>
      </c>
      <c r="I154" s="6" t="s">
        <v>1036</v>
      </c>
      <c r="J154" s="6" t="s">
        <v>1037</v>
      </c>
      <c r="K154" s="6" t="s">
        <v>1038</v>
      </c>
      <c r="L154" s="6" t="s">
        <v>1039</v>
      </c>
      <c r="M154" s="7" t="s">
        <v>1040</v>
      </c>
    </row>
    <row r="155" customFormat="false" ht="220.5" hidden="false" customHeight="true" outlineLevel="0" collapsed="false">
      <c r="A155" s="5" t="n">
        <f aca="false">ROW()-3</f>
        <v>152</v>
      </c>
      <c r="B155" s="6" t="s">
        <v>1041</v>
      </c>
      <c r="C155" s="6" t="s">
        <v>1042</v>
      </c>
      <c r="D155" s="6" t="s">
        <v>187</v>
      </c>
      <c r="E155" s="6" t="s">
        <v>1043</v>
      </c>
      <c r="F155" s="5" t="n">
        <v>3</v>
      </c>
      <c r="G155" s="5" t="n">
        <v>17.9</v>
      </c>
      <c r="H155" s="5" t="n">
        <v>13</v>
      </c>
      <c r="I155" s="6" t="s">
        <v>1044</v>
      </c>
      <c r="J155" s="6" t="s">
        <v>1045</v>
      </c>
      <c r="K155" s="6" t="s">
        <v>1046</v>
      </c>
      <c r="L155" s="6" t="s">
        <v>1047</v>
      </c>
      <c r="M155" s="7" t="s">
        <v>1048</v>
      </c>
    </row>
    <row r="156" customFormat="false" ht="120" hidden="false" customHeight="true" outlineLevel="0" collapsed="false">
      <c r="A156" s="5" t="n">
        <v>153</v>
      </c>
      <c r="B156" s="6" t="s">
        <v>1049</v>
      </c>
      <c r="C156" s="6" t="s">
        <v>1050</v>
      </c>
      <c r="D156" s="6" t="s">
        <v>33</v>
      </c>
      <c r="E156" s="6" t="s">
        <v>1051</v>
      </c>
      <c r="F156" s="5" t="n">
        <v>2</v>
      </c>
      <c r="G156" s="5" t="n">
        <v>10.9</v>
      </c>
      <c r="H156" s="5" t="n">
        <v>9</v>
      </c>
      <c r="I156" s="6" t="s">
        <v>1052</v>
      </c>
      <c r="J156" s="6" t="s">
        <v>1053</v>
      </c>
      <c r="K156" s="6" t="s">
        <v>1054</v>
      </c>
      <c r="L156" s="6" t="s">
        <v>1055</v>
      </c>
      <c r="M156" s="7" t="s">
        <v>1056</v>
      </c>
    </row>
    <row r="157" customFormat="false" ht="120" hidden="false" customHeight="true" outlineLevel="0" collapsed="false">
      <c r="A157" s="5" t="n">
        <v>154</v>
      </c>
      <c r="B157" s="6" t="s">
        <v>1057</v>
      </c>
      <c r="C157" s="6" t="s">
        <v>1050</v>
      </c>
      <c r="D157" s="6" t="s">
        <v>17</v>
      </c>
      <c r="E157" s="6" t="s">
        <v>633</v>
      </c>
      <c r="F157" s="5" t="n">
        <v>7</v>
      </c>
      <c r="G157" s="5" t="n">
        <v>12.9</v>
      </c>
      <c r="H157" s="5" t="n">
        <v>8</v>
      </c>
      <c r="I157" s="6" t="s">
        <v>1058</v>
      </c>
      <c r="J157" s="6" t="s">
        <v>1059</v>
      </c>
      <c r="K157" s="6" t="s">
        <v>1060</v>
      </c>
      <c r="L157" s="6" t="s">
        <v>1061</v>
      </c>
      <c r="M157" s="7" t="s">
        <v>1062</v>
      </c>
    </row>
    <row r="158" customFormat="false" ht="120" hidden="false" customHeight="true" outlineLevel="0" collapsed="false">
      <c r="A158" s="5" t="n">
        <v>155</v>
      </c>
      <c r="B158" s="6" t="s">
        <v>1063</v>
      </c>
      <c r="C158" s="6" t="s">
        <v>16</v>
      </c>
      <c r="D158" s="6" t="s">
        <v>1064</v>
      </c>
      <c r="E158" s="6" t="s">
        <v>95</v>
      </c>
      <c r="F158" s="5" t="n">
        <v>6</v>
      </c>
      <c r="G158" s="5" t="n">
        <v>18.9</v>
      </c>
      <c r="H158" s="5" t="n">
        <v>5</v>
      </c>
      <c r="I158" s="6" t="s">
        <v>1065</v>
      </c>
      <c r="J158" s="6" t="s">
        <v>1066</v>
      </c>
      <c r="K158" s="6" t="s">
        <v>1067</v>
      </c>
      <c r="L158" s="6" t="s">
        <v>1068</v>
      </c>
      <c r="M158" s="7" t="s">
        <v>1069</v>
      </c>
    </row>
    <row r="159" customFormat="false" ht="84.75" hidden="false" customHeight="true" outlineLevel="0" collapsed="false">
      <c r="A159" s="5" t="n">
        <v>156</v>
      </c>
      <c r="B159" s="6" t="s">
        <v>1070</v>
      </c>
      <c r="C159" s="6" t="s">
        <v>1042</v>
      </c>
      <c r="D159" s="6" t="s">
        <v>17</v>
      </c>
      <c r="E159" s="6" t="s">
        <v>108</v>
      </c>
      <c r="F159" s="5" t="n">
        <v>11</v>
      </c>
      <c r="G159" s="5" t="n">
        <v>18</v>
      </c>
      <c r="H159" s="5" t="n">
        <v>6</v>
      </c>
      <c r="I159" s="6" t="s">
        <v>1071</v>
      </c>
      <c r="J159" s="6" t="s">
        <v>1072</v>
      </c>
      <c r="K159" s="6" t="s">
        <v>1073</v>
      </c>
      <c r="L159" s="6" t="s">
        <v>1074</v>
      </c>
      <c r="M159" s="7" t="s">
        <v>1075</v>
      </c>
    </row>
    <row r="160" customFormat="false" ht="84.75" hidden="false" customHeight="true" outlineLevel="0" collapsed="false">
      <c r="A160" s="5" t="n">
        <f aca="false">ROW()-3</f>
        <v>157</v>
      </c>
      <c r="B160" s="6" t="s">
        <v>1076</v>
      </c>
      <c r="C160" s="6" t="s">
        <v>1042</v>
      </c>
      <c r="D160" s="6" t="s">
        <v>17</v>
      </c>
      <c r="E160" s="6" t="s">
        <v>345</v>
      </c>
      <c r="F160" s="5" t="n">
        <v>12</v>
      </c>
      <c r="G160" s="5" t="n">
        <v>18</v>
      </c>
      <c r="H160" s="5" t="n">
        <v>6</v>
      </c>
      <c r="I160" s="6" t="s">
        <v>1077</v>
      </c>
      <c r="J160" s="6" t="s">
        <v>1078</v>
      </c>
      <c r="K160" s="6" t="s">
        <v>1079</v>
      </c>
      <c r="L160" s="6" t="s">
        <v>1080</v>
      </c>
      <c r="M160" s="7" t="s">
        <v>1081</v>
      </c>
    </row>
    <row r="161" customFormat="false" ht="95.25" hidden="false" customHeight="true" outlineLevel="0" collapsed="false">
      <c r="A161" s="5" t="n">
        <f aca="false">ROW()-3</f>
        <v>158</v>
      </c>
      <c r="B161" s="6" t="s">
        <v>1082</v>
      </c>
      <c r="C161" s="6" t="s">
        <v>1042</v>
      </c>
      <c r="D161" s="6" t="s">
        <v>33</v>
      </c>
      <c r="E161" s="6" t="s">
        <v>52</v>
      </c>
      <c r="F161" s="5" t="n">
        <v>0</v>
      </c>
      <c r="G161" s="5" t="n">
        <v>18</v>
      </c>
      <c r="H161" s="5" t="n">
        <v>6</v>
      </c>
      <c r="I161" s="6" t="s">
        <v>1083</v>
      </c>
      <c r="J161" s="6" t="s">
        <v>1084</v>
      </c>
      <c r="K161" s="6" t="s">
        <v>1085</v>
      </c>
      <c r="L161" s="6" t="s">
        <v>1086</v>
      </c>
      <c r="M161" s="7" t="s">
        <v>1087</v>
      </c>
    </row>
    <row r="162" customFormat="false" ht="95.25" hidden="false" customHeight="true" outlineLevel="0" collapsed="false">
      <c r="A162" s="5" t="n">
        <f aca="false">ROW()-3</f>
        <v>159</v>
      </c>
      <c r="B162" s="6" t="s">
        <v>1088</v>
      </c>
      <c r="C162" s="6" t="s">
        <v>162</v>
      </c>
      <c r="D162" s="6" t="s">
        <v>1089</v>
      </c>
      <c r="E162" s="6" t="s">
        <v>1090</v>
      </c>
      <c r="F162" s="5" t="n">
        <v>11</v>
      </c>
      <c r="G162" s="5" t="n">
        <v>99</v>
      </c>
      <c r="H162" s="5" t="n">
        <v>11</v>
      </c>
      <c r="I162" s="6" t="s">
        <v>1091</v>
      </c>
      <c r="J162" s="6" t="s">
        <v>1092</v>
      </c>
      <c r="K162" s="6" t="s">
        <v>1093</v>
      </c>
      <c r="L162" s="6" t="s">
        <v>1094</v>
      </c>
      <c r="M162" s="7" t="s">
        <v>1095</v>
      </c>
    </row>
    <row r="163" customFormat="false" ht="95.25" hidden="false" customHeight="true" outlineLevel="0" collapsed="false">
      <c r="A163" s="5" t="n">
        <f aca="false">ROW()-3</f>
        <v>160</v>
      </c>
      <c r="B163" s="6" t="s">
        <v>1096</v>
      </c>
      <c r="C163" s="6" t="s">
        <v>1042</v>
      </c>
      <c r="D163" s="6" t="s">
        <v>1089</v>
      </c>
      <c r="E163" s="6" t="s">
        <v>1097</v>
      </c>
      <c r="F163" s="5" t="n">
        <v>6</v>
      </c>
      <c r="G163" s="5" t="n">
        <v>11</v>
      </c>
      <c r="H163" s="5" t="n">
        <v>4</v>
      </c>
      <c r="I163" s="6" t="s">
        <v>1098</v>
      </c>
      <c r="J163" s="6" t="s">
        <v>1099</v>
      </c>
      <c r="K163" s="6" t="s">
        <v>1100</v>
      </c>
      <c r="L163" s="6" t="s">
        <v>1101</v>
      </c>
      <c r="M163" s="7" t="s">
        <v>1102</v>
      </c>
    </row>
    <row r="164" customFormat="false" ht="42.75" hidden="false" customHeight="true" outlineLevel="0" collapsed="false">
      <c r="A164" s="5" t="n">
        <f aca="false">ROW()-3</f>
        <v>161</v>
      </c>
      <c r="B164" s="6" t="s">
        <v>1103</v>
      </c>
      <c r="C164" s="6" t="s">
        <v>219</v>
      </c>
      <c r="D164" s="6" t="s">
        <v>17</v>
      </c>
      <c r="E164" s="6" t="s">
        <v>1104</v>
      </c>
      <c r="F164" s="5" t="n">
        <v>8</v>
      </c>
      <c r="G164" s="5" t="n">
        <v>11</v>
      </c>
      <c r="H164" s="5" t="n">
        <v>5</v>
      </c>
      <c r="I164" s="6" t="s">
        <v>1105</v>
      </c>
      <c r="J164" s="6" t="s">
        <v>1106</v>
      </c>
      <c r="K164" s="6" t="s">
        <v>1107</v>
      </c>
      <c r="L164" s="6" t="s">
        <v>1108</v>
      </c>
      <c r="M164" s="7" t="s">
        <v>1109</v>
      </c>
    </row>
    <row r="165" customFormat="false" ht="32.25" hidden="false" customHeight="true" outlineLevel="0" collapsed="false">
      <c r="A165" s="5" t="n">
        <f aca="false">ROW()-3</f>
        <v>162</v>
      </c>
      <c r="B165" s="6" t="s">
        <v>1110</v>
      </c>
      <c r="C165" s="6" t="s">
        <v>219</v>
      </c>
      <c r="D165" s="6" t="s">
        <v>33</v>
      </c>
      <c r="E165" s="6" t="s">
        <v>1104</v>
      </c>
      <c r="F165" s="5" t="n">
        <v>8</v>
      </c>
      <c r="G165" s="5" t="n">
        <v>11</v>
      </c>
      <c r="H165" s="5" t="n">
        <v>5</v>
      </c>
      <c r="I165" s="6" t="s">
        <v>1111</v>
      </c>
      <c r="J165" s="6" t="s">
        <v>1112</v>
      </c>
      <c r="K165" s="6" t="s">
        <v>1113</v>
      </c>
      <c r="L165" s="6" t="s">
        <v>1114</v>
      </c>
      <c r="M165" s="7" t="s">
        <v>1115</v>
      </c>
    </row>
    <row r="166" customFormat="false" ht="32.25" hidden="false" customHeight="true" outlineLevel="0" collapsed="false">
      <c r="A166" s="5" t="n">
        <f aca="false">ROW()-3</f>
        <v>163</v>
      </c>
      <c r="B166" s="6" t="s">
        <v>1116</v>
      </c>
      <c r="C166" s="6" t="s">
        <v>16</v>
      </c>
      <c r="D166" s="6" t="s">
        <v>1117</v>
      </c>
      <c r="E166" s="6" t="s">
        <v>451</v>
      </c>
      <c r="F166" s="5" t="n">
        <v>3</v>
      </c>
      <c r="G166" s="5" t="n">
        <v>18</v>
      </c>
      <c r="H166" s="5" t="n">
        <v>7</v>
      </c>
      <c r="I166" s="6" t="s">
        <v>1118</v>
      </c>
      <c r="J166" s="6" t="s">
        <v>1119</v>
      </c>
      <c r="K166" s="6" t="s">
        <v>1120</v>
      </c>
      <c r="L166" s="6" t="s">
        <v>1121</v>
      </c>
      <c r="M166" s="7" t="s">
        <v>1122</v>
      </c>
    </row>
    <row r="167" customFormat="false" ht="32.25" hidden="false" customHeight="true" outlineLevel="0" collapsed="false">
      <c r="A167" s="5" t="n">
        <f aca="false">ROW()-3</f>
        <v>164</v>
      </c>
      <c r="B167" s="6" t="s">
        <v>1123</v>
      </c>
      <c r="C167" s="6" t="s">
        <v>1050</v>
      </c>
      <c r="D167" s="6" t="s">
        <v>17</v>
      </c>
      <c r="E167" s="6" t="s">
        <v>233</v>
      </c>
      <c r="F167" s="5" t="n">
        <v>12</v>
      </c>
      <c r="G167" s="5" t="n">
        <v>99</v>
      </c>
      <c r="H167" s="5" t="n">
        <v>5</v>
      </c>
      <c r="I167" s="6" t="s">
        <v>1124</v>
      </c>
      <c r="J167" s="6" t="s">
        <v>1125</v>
      </c>
      <c r="K167" s="6" t="s">
        <v>1126</v>
      </c>
      <c r="L167" s="6" t="s">
        <v>1127</v>
      </c>
      <c r="M167" s="7" t="s">
        <v>1128</v>
      </c>
    </row>
    <row r="168" customFormat="false" ht="32.25" hidden="false" customHeight="true" outlineLevel="0" collapsed="false">
      <c r="A168" s="5" t="n">
        <f aca="false">ROW()-3</f>
        <v>165</v>
      </c>
      <c r="B168" s="6" t="s">
        <v>1129</v>
      </c>
      <c r="C168" s="6" t="s">
        <v>219</v>
      </c>
      <c r="D168" s="6" t="s">
        <v>17</v>
      </c>
      <c r="E168" s="6" t="s">
        <v>233</v>
      </c>
      <c r="F168" s="5" t="n">
        <v>12</v>
      </c>
      <c r="G168" s="5" t="n">
        <v>99</v>
      </c>
      <c r="H168" s="5" t="n">
        <v>4</v>
      </c>
      <c r="I168" s="6" t="s">
        <v>1130</v>
      </c>
      <c r="J168" s="6" t="s">
        <v>1131</v>
      </c>
      <c r="K168" s="6" t="s">
        <v>1132</v>
      </c>
      <c r="L168" s="6" t="s">
        <v>1133</v>
      </c>
      <c r="M168" s="7" t="s">
        <v>1134</v>
      </c>
    </row>
    <row r="169" customFormat="false" ht="32.25" hidden="false" customHeight="true" outlineLevel="0" collapsed="false">
      <c r="A169" s="5" t="n">
        <f aca="false">ROW()-3</f>
        <v>166</v>
      </c>
      <c r="B169" s="6" t="s">
        <v>1135</v>
      </c>
      <c r="C169" s="6" t="s">
        <v>219</v>
      </c>
      <c r="D169" s="6" t="s">
        <v>33</v>
      </c>
      <c r="E169" s="6" t="s">
        <v>693</v>
      </c>
      <c r="F169" s="5" t="n">
        <v>3</v>
      </c>
      <c r="G169" s="5" t="n">
        <v>17</v>
      </c>
      <c r="H169" s="5" t="n">
        <v>10</v>
      </c>
      <c r="I169" s="6" t="s">
        <v>1136</v>
      </c>
      <c r="J169" s="6" t="s">
        <v>1137</v>
      </c>
      <c r="K169" s="6" t="s">
        <v>1138</v>
      </c>
      <c r="L169" s="6" t="s">
        <v>1139</v>
      </c>
      <c r="M169" s="7" t="s">
        <v>1140</v>
      </c>
    </row>
    <row r="170" customFormat="false" ht="32.25" hidden="false" customHeight="true" outlineLevel="0" collapsed="false">
      <c r="A170" s="5" t="n">
        <f aca="false">ROW()-3</f>
        <v>167</v>
      </c>
      <c r="B170" s="6" t="s">
        <v>1141</v>
      </c>
      <c r="C170" s="6" t="s">
        <v>219</v>
      </c>
      <c r="D170" s="6" t="s">
        <v>156</v>
      </c>
      <c r="E170" s="6" t="s">
        <v>693</v>
      </c>
      <c r="F170" s="5" t="n">
        <v>3</v>
      </c>
      <c r="G170" s="5" t="n">
        <v>17</v>
      </c>
      <c r="H170" s="5" t="n">
        <v>5</v>
      </c>
      <c r="I170" s="6" t="s">
        <v>1142</v>
      </c>
      <c r="J170" s="6" t="s">
        <v>1143</v>
      </c>
      <c r="K170" s="6" t="s">
        <v>1144</v>
      </c>
      <c r="L170" s="6" t="s">
        <v>1145</v>
      </c>
      <c r="M170" s="7" t="s">
        <v>1146</v>
      </c>
    </row>
    <row r="171" customFormat="false" ht="32.25" hidden="false" customHeight="true" outlineLevel="0" collapsed="false">
      <c r="A171" s="5" t="n">
        <f aca="false">ROW()-3</f>
        <v>168</v>
      </c>
      <c r="B171" s="6" t="s">
        <v>1147</v>
      </c>
      <c r="C171" s="6" t="s">
        <v>219</v>
      </c>
      <c r="D171" s="6" t="s">
        <v>1148</v>
      </c>
      <c r="E171" s="6" t="s">
        <v>451</v>
      </c>
      <c r="F171" s="5" t="n">
        <v>3</v>
      </c>
      <c r="G171" s="5" t="n">
        <v>18</v>
      </c>
      <c r="H171" s="5" t="n">
        <v>7</v>
      </c>
      <c r="I171" s="6" t="s">
        <v>1149</v>
      </c>
      <c r="J171" s="6" t="s">
        <v>1150</v>
      </c>
      <c r="K171" s="6" t="s">
        <v>1151</v>
      </c>
      <c r="L171" s="6" t="s">
        <v>1152</v>
      </c>
      <c r="M171" s="7" t="s">
        <v>1153</v>
      </c>
    </row>
    <row r="172" customFormat="false" ht="32.25" hidden="false" customHeight="true" outlineLevel="0" collapsed="false">
      <c r="A172" s="5" t="n">
        <f aca="false">ROW()-3</f>
        <v>169</v>
      </c>
      <c r="B172" s="6" t="s">
        <v>1154</v>
      </c>
      <c r="C172" s="6" t="s">
        <v>210</v>
      </c>
      <c r="D172" s="6" t="s">
        <v>33</v>
      </c>
      <c r="E172" s="6" t="s">
        <v>1155</v>
      </c>
      <c r="F172" s="5" t="n">
        <v>3</v>
      </c>
      <c r="G172" s="5" t="n">
        <v>7</v>
      </c>
      <c r="H172" s="5" t="n">
        <v>18</v>
      </c>
      <c r="I172" s="6" t="s">
        <v>1156</v>
      </c>
      <c r="J172" s="6" t="s">
        <v>1157</v>
      </c>
      <c r="K172" s="6" t="s">
        <v>1158</v>
      </c>
      <c r="L172" s="6" t="s">
        <v>1159</v>
      </c>
      <c r="M172" s="7" t="s">
        <v>1160</v>
      </c>
    </row>
    <row r="173" customFormat="false" ht="32.25" hidden="false" customHeight="true" outlineLevel="0" collapsed="false">
      <c r="A173" s="5" t="n">
        <f aca="false">ROW()-3</f>
        <v>170</v>
      </c>
      <c r="B173" s="6" t="s">
        <v>1161</v>
      </c>
      <c r="C173" s="6" t="s">
        <v>280</v>
      </c>
      <c r="D173" s="6" t="s">
        <v>17</v>
      </c>
      <c r="E173" s="6" t="s">
        <v>1162</v>
      </c>
      <c r="F173" s="5" t="n">
        <v>8</v>
      </c>
      <c r="G173" s="5" t="n">
        <v>16</v>
      </c>
      <c r="H173" s="5" t="n">
        <v>13</v>
      </c>
      <c r="I173" s="6" t="s">
        <v>1163</v>
      </c>
      <c r="J173" s="6" t="s">
        <v>1164</v>
      </c>
      <c r="K173" s="6" t="s">
        <v>1165</v>
      </c>
      <c r="L173" s="6" t="s">
        <v>1166</v>
      </c>
      <c r="M173" s="7" t="s">
        <v>1167</v>
      </c>
    </row>
    <row r="174" customFormat="false" ht="32.25" hidden="false" customHeight="true" outlineLevel="0" collapsed="false">
      <c r="A174" s="5" t="n">
        <f aca="false">ROW()-3</f>
        <v>171</v>
      </c>
      <c r="B174" s="6" t="s">
        <v>1168</v>
      </c>
      <c r="C174" s="6" t="s">
        <v>280</v>
      </c>
      <c r="D174" s="6" t="s">
        <v>33</v>
      </c>
      <c r="E174" s="6" t="s">
        <v>52</v>
      </c>
      <c r="F174" s="5" t="n">
        <v>0</v>
      </c>
      <c r="G174" s="5" t="n">
        <v>18</v>
      </c>
      <c r="H174" s="5" t="n">
        <v>15</v>
      </c>
      <c r="I174" s="6" t="s">
        <v>1169</v>
      </c>
      <c r="J174" s="6" t="s">
        <v>1170</v>
      </c>
      <c r="K174" s="6" t="s">
        <v>1171</v>
      </c>
      <c r="L174" s="6" t="s">
        <v>1172</v>
      </c>
      <c r="M174" s="7" t="s">
        <v>1173</v>
      </c>
    </row>
    <row r="175" customFormat="false" ht="32.25" hidden="false" customHeight="true" outlineLevel="0" collapsed="false">
      <c r="A175" s="5" t="n">
        <f aca="false">ROW()-3</f>
        <v>172</v>
      </c>
      <c r="B175" s="6" t="s">
        <v>1174</v>
      </c>
      <c r="C175" s="6" t="s">
        <v>428</v>
      </c>
      <c r="D175" s="6" t="s">
        <v>17</v>
      </c>
      <c r="E175" s="6" t="s">
        <v>95</v>
      </c>
      <c r="F175" s="5" t="n">
        <v>6</v>
      </c>
      <c r="G175" s="5" t="n">
        <v>18</v>
      </c>
      <c r="H175" s="5" t="n">
        <v>11</v>
      </c>
      <c r="I175" s="6" t="s">
        <v>1175</v>
      </c>
      <c r="J175" s="6" t="s">
        <v>1176</v>
      </c>
      <c r="K175" s="6" t="s">
        <v>1177</v>
      </c>
      <c r="L175" s="6" t="s">
        <v>1178</v>
      </c>
      <c r="M175" s="7" t="s">
        <v>1179</v>
      </c>
    </row>
    <row r="176" customFormat="false" ht="32.25" hidden="false" customHeight="true" outlineLevel="0" collapsed="false">
      <c r="A176" s="5" t="n">
        <f aca="false">ROW()-3</f>
        <v>173</v>
      </c>
      <c r="B176" s="6" t="s">
        <v>1180</v>
      </c>
      <c r="C176" s="6" t="s">
        <v>428</v>
      </c>
      <c r="D176" s="6" t="s">
        <v>33</v>
      </c>
      <c r="E176" s="6" t="s">
        <v>180</v>
      </c>
      <c r="F176" s="5" t="n">
        <v>4</v>
      </c>
      <c r="G176" s="5" t="n">
        <v>18</v>
      </c>
      <c r="H176" s="5" t="n">
        <v>5</v>
      </c>
      <c r="I176" s="6" t="s">
        <v>1181</v>
      </c>
      <c r="J176" s="6" t="s">
        <v>1182</v>
      </c>
      <c r="K176" s="6" t="s">
        <v>1183</v>
      </c>
      <c r="L176" s="6" t="s">
        <v>1184</v>
      </c>
      <c r="M176" s="7" t="s">
        <v>1185</v>
      </c>
    </row>
    <row r="177" customFormat="false" ht="32.25" hidden="false" customHeight="true" outlineLevel="0" collapsed="false">
      <c r="A177" s="5" t="n">
        <f aca="false">ROW()-3</f>
        <v>174</v>
      </c>
      <c r="B177" s="6" t="s">
        <v>1186</v>
      </c>
      <c r="C177" s="6" t="s">
        <v>122</v>
      </c>
      <c r="D177" s="6" t="s">
        <v>17</v>
      </c>
      <c r="E177" s="6" t="s">
        <v>1187</v>
      </c>
      <c r="F177" s="5" t="n">
        <v>8</v>
      </c>
      <c r="G177" s="5" t="n">
        <v>14</v>
      </c>
      <c r="H177" s="5" t="n">
        <v>9</v>
      </c>
      <c r="I177" s="6" t="s">
        <v>1188</v>
      </c>
      <c r="J177" s="6" t="s">
        <v>1189</v>
      </c>
      <c r="K177" s="6" t="s">
        <v>1190</v>
      </c>
      <c r="L177" s="6" t="s">
        <v>1191</v>
      </c>
      <c r="M177" s="7" t="s">
        <v>1192</v>
      </c>
    </row>
    <row r="178" customFormat="false" ht="32.25" hidden="false" customHeight="true" outlineLevel="0" collapsed="false">
      <c r="A178" s="5" t="n">
        <f aca="false">ROW()-3</f>
        <v>175</v>
      </c>
      <c r="B178" s="6" t="s">
        <v>1193</v>
      </c>
      <c r="C178" s="6" t="s">
        <v>122</v>
      </c>
      <c r="D178" s="6" t="s">
        <v>33</v>
      </c>
      <c r="E178" s="6" t="s">
        <v>604</v>
      </c>
      <c r="F178" s="5" t="n">
        <v>6</v>
      </c>
      <c r="G178" s="5" t="n">
        <v>14</v>
      </c>
      <c r="H178" s="5" t="n">
        <v>10</v>
      </c>
      <c r="I178" s="6" t="s">
        <v>1194</v>
      </c>
      <c r="J178" s="6" t="s">
        <v>1195</v>
      </c>
      <c r="K178" s="6" t="s">
        <v>1196</v>
      </c>
      <c r="L178" s="6" t="s">
        <v>1197</v>
      </c>
      <c r="M178" s="7" t="s">
        <v>1198</v>
      </c>
    </row>
    <row r="179" customFormat="false" ht="32.25" hidden="false" customHeight="true" outlineLevel="0" collapsed="false">
      <c r="A179" s="5" t="n">
        <f aca="false">ROW()-3</f>
        <v>176</v>
      </c>
      <c r="B179" s="6" t="s">
        <v>1199</v>
      </c>
      <c r="C179" s="6" t="s">
        <v>122</v>
      </c>
      <c r="D179" s="6" t="s">
        <v>33</v>
      </c>
      <c r="E179" s="6" t="s">
        <v>693</v>
      </c>
      <c r="F179" s="5" t="n">
        <v>3</v>
      </c>
      <c r="G179" s="5" t="n">
        <v>17</v>
      </c>
      <c r="H179" s="5" t="n">
        <v>22</v>
      </c>
      <c r="I179" s="6" t="s">
        <v>1200</v>
      </c>
      <c r="J179" s="6" t="s">
        <v>1201</v>
      </c>
      <c r="K179" s="6" t="s">
        <v>1202</v>
      </c>
      <c r="L179" s="6" t="s">
        <v>1203</v>
      </c>
      <c r="M179" s="7" t="s">
        <v>1204</v>
      </c>
    </row>
    <row r="180" customFormat="false" ht="32.25" hidden="false" customHeight="true" outlineLevel="0" collapsed="false">
      <c r="A180" s="5" t="n">
        <f aca="false">ROW()-3</f>
        <v>177</v>
      </c>
      <c r="B180" s="6" t="s">
        <v>1205</v>
      </c>
      <c r="C180" s="6" t="s">
        <v>122</v>
      </c>
      <c r="D180" s="6" t="s">
        <v>33</v>
      </c>
      <c r="E180" s="6" t="s">
        <v>693</v>
      </c>
      <c r="F180" s="5" t="n">
        <v>3</v>
      </c>
      <c r="G180" s="5" t="n">
        <v>17</v>
      </c>
      <c r="H180" s="5" t="n">
        <v>9</v>
      </c>
      <c r="I180" s="6" t="s">
        <v>1206</v>
      </c>
      <c r="J180" s="6" t="s">
        <v>1207</v>
      </c>
      <c r="K180" s="6" t="s">
        <v>1208</v>
      </c>
      <c r="L180" s="6" t="s">
        <v>1209</v>
      </c>
      <c r="M180" s="7" t="s">
        <v>1210</v>
      </c>
    </row>
    <row r="181" customFormat="false" ht="32.25" hidden="false" customHeight="true" outlineLevel="0" collapsed="false">
      <c r="A181" s="5" t="n">
        <f aca="false">ROW()-3</f>
        <v>178</v>
      </c>
      <c r="B181" s="6" t="s">
        <v>1211</v>
      </c>
      <c r="C181" s="6" t="s">
        <v>219</v>
      </c>
      <c r="D181" s="6" t="s">
        <v>1212</v>
      </c>
      <c r="E181" s="6" t="s">
        <v>1213</v>
      </c>
      <c r="F181" s="5" t="n">
        <v>14</v>
      </c>
      <c r="G181" s="5" t="n">
        <v>99</v>
      </c>
      <c r="H181" s="5" t="n">
        <v>6</v>
      </c>
      <c r="I181" s="6" t="s">
        <v>1214</v>
      </c>
      <c r="J181" s="6" t="s">
        <v>1215</v>
      </c>
      <c r="K181" s="6" t="s">
        <v>1216</v>
      </c>
      <c r="L181" s="6" t="s">
        <v>1217</v>
      </c>
      <c r="M181" s="7" t="s">
        <v>1218</v>
      </c>
    </row>
    <row r="182" customFormat="false" ht="32.25" hidden="false" customHeight="true" outlineLevel="0" collapsed="false">
      <c r="A182" s="5" t="n">
        <f aca="false">ROW()-3</f>
        <v>179</v>
      </c>
      <c r="B182" s="6" t="s">
        <v>1219</v>
      </c>
      <c r="C182" s="6" t="s">
        <v>219</v>
      </c>
      <c r="D182" s="6" t="s">
        <v>1220</v>
      </c>
      <c r="E182" s="6" t="s">
        <v>1221</v>
      </c>
      <c r="F182" s="5" t="n">
        <v>13</v>
      </c>
      <c r="G182" s="5" t="n">
        <v>99</v>
      </c>
      <c r="H182" s="5" t="n">
        <v>6</v>
      </c>
      <c r="I182" s="6" t="s">
        <v>1222</v>
      </c>
      <c r="J182" s="6" t="s">
        <v>1223</v>
      </c>
      <c r="K182" s="6" t="s">
        <v>1224</v>
      </c>
      <c r="L182" s="6" t="s">
        <v>1225</v>
      </c>
      <c r="M182" s="7" t="s">
        <v>1226</v>
      </c>
    </row>
    <row r="183" customFormat="false" ht="32.25" hidden="false" customHeight="true" outlineLevel="0" collapsed="false">
      <c r="A183" s="5" t="n">
        <f aca="false">ROW()-3</f>
        <v>180</v>
      </c>
      <c r="B183" s="6" t="s">
        <v>1227</v>
      </c>
      <c r="C183" s="6" t="s">
        <v>219</v>
      </c>
      <c r="D183" s="6" t="s">
        <v>1220</v>
      </c>
      <c r="E183" s="6" t="s">
        <v>1221</v>
      </c>
      <c r="F183" s="5" t="n">
        <v>13</v>
      </c>
      <c r="G183" s="5" t="n">
        <v>99</v>
      </c>
      <c r="H183" s="5" t="n">
        <v>6</v>
      </c>
      <c r="I183" s="6" t="s">
        <v>1228</v>
      </c>
      <c r="J183" s="6" t="s">
        <v>1229</v>
      </c>
      <c r="K183" s="6" t="s">
        <v>1230</v>
      </c>
      <c r="L183" s="6" t="s">
        <v>1231</v>
      </c>
      <c r="M183" s="7" t="s">
        <v>1232</v>
      </c>
    </row>
    <row r="184" customFormat="false" ht="32.25" hidden="false" customHeight="true" outlineLevel="0" collapsed="false">
      <c r="A184" s="5" t="n">
        <f aca="false">ROW()-3</f>
        <v>181</v>
      </c>
      <c r="B184" s="6" t="s">
        <v>1233</v>
      </c>
      <c r="C184" s="6" t="s">
        <v>219</v>
      </c>
      <c r="D184" s="6" t="s">
        <v>1220</v>
      </c>
      <c r="E184" s="6" t="s">
        <v>1234</v>
      </c>
      <c r="F184" s="5" t="n">
        <v>18</v>
      </c>
      <c r="G184" s="5" t="n">
        <v>99</v>
      </c>
      <c r="H184" s="5" t="n">
        <v>11</v>
      </c>
      <c r="I184" s="6" t="s">
        <v>1235</v>
      </c>
      <c r="J184" s="6" t="s">
        <v>1236</v>
      </c>
      <c r="K184" s="6" t="s">
        <v>1237</v>
      </c>
      <c r="L184" s="6" t="s">
        <v>1238</v>
      </c>
      <c r="M184" s="7" t="s">
        <v>1239</v>
      </c>
    </row>
    <row r="185" customFormat="false" ht="32.25" hidden="false" customHeight="true" outlineLevel="0" collapsed="false">
      <c r="A185" s="5" t="n">
        <f aca="false">ROW()-3</f>
        <v>182</v>
      </c>
      <c r="B185" s="6" t="s">
        <v>1240</v>
      </c>
      <c r="C185" s="6" t="s">
        <v>131</v>
      </c>
      <c r="D185" s="6" t="s">
        <v>17</v>
      </c>
      <c r="E185" s="6" t="s">
        <v>1241</v>
      </c>
      <c r="F185" s="5" t="n">
        <v>18</v>
      </c>
      <c r="G185" s="5" t="n">
        <v>90</v>
      </c>
      <c r="H185" s="5" t="n">
        <v>14</v>
      </c>
      <c r="I185" s="6" t="s">
        <v>1242</v>
      </c>
      <c r="J185" s="6" t="s">
        <v>1243</v>
      </c>
      <c r="K185" s="6" t="s">
        <v>1244</v>
      </c>
      <c r="L185" s="6" t="s">
        <v>1245</v>
      </c>
      <c r="M185" s="7" t="s">
        <v>1246</v>
      </c>
    </row>
    <row r="186" customFormat="false" ht="32.25" hidden="false" customHeight="true" outlineLevel="0" collapsed="false">
      <c r="A186" s="5" t="n">
        <f aca="false">ROW()-3</f>
        <v>183</v>
      </c>
      <c r="B186" s="6" t="s">
        <v>1247</v>
      </c>
      <c r="C186" s="6" t="s">
        <v>131</v>
      </c>
      <c r="D186" s="6" t="s">
        <v>1248</v>
      </c>
      <c r="E186" s="6" t="s">
        <v>1241</v>
      </c>
      <c r="F186" s="5" t="n">
        <v>18</v>
      </c>
      <c r="G186" s="5" t="n">
        <v>90</v>
      </c>
      <c r="H186" s="5" t="n">
        <v>14</v>
      </c>
      <c r="I186" s="6" t="s">
        <v>1249</v>
      </c>
      <c r="J186" s="6" t="s">
        <v>1243</v>
      </c>
      <c r="K186" s="6" t="s">
        <v>1250</v>
      </c>
      <c r="L186" s="6" t="s">
        <v>1251</v>
      </c>
      <c r="M186" s="7" t="s">
        <v>1252</v>
      </c>
    </row>
    <row r="187" customFormat="false" ht="32.25" hidden="false" customHeight="true" outlineLevel="0" collapsed="false">
      <c r="A187" s="5" t="n">
        <f aca="false">ROW()-3</f>
        <v>184</v>
      </c>
      <c r="B187" s="6" t="s">
        <v>1253</v>
      </c>
      <c r="C187" s="6" t="s">
        <v>1050</v>
      </c>
      <c r="D187" s="6" t="s">
        <v>1220</v>
      </c>
      <c r="E187" s="6" t="s">
        <v>1234</v>
      </c>
      <c r="F187" s="5" t="n">
        <v>18</v>
      </c>
      <c r="G187" s="5" t="n">
        <v>99</v>
      </c>
      <c r="H187" s="5" t="n">
        <v>14</v>
      </c>
      <c r="I187" s="6" t="s">
        <v>1254</v>
      </c>
      <c r="J187" s="6" t="s">
        <v>1255</v>
      </c>
      <c r="K187" s="6" t="s">
        <v>1256</v>
      </c>
      <c r="L187" s="6" t="s">
        <v>1257</v>
      </c>
      <c r="M187" s="7" t="s">
        <v>1258</v>
      </c>
    </row>
    <row r="188" customFormat="false" ht="32.25" hidden="false" customHeight="true" outlineLevel="0" collapsed="false">
      <c r="A188" s="5" t="n">
        <f aca="false">ROW()-3</f>
        <v>185</v>
      </c>
      <c r="B188" s="6" t="s">
        <v>1259</v>
      </c>
      <c r="C188" s="6" t="s">
        <v>1050</v>
      </c>
      <c r="D188" s="6" t="s">
        <v>1220</v>
      </c>
      <c r="E188" s="6" t="s">
        <v>1234</v>
      </c>
      <c r="F188" s="5" t="n">
        <v>18</v>
      </c>
      <c r="G188" s="5" t="n">
        <v>99</v>
      </c>
      <c r="H188" s="5" t="n">
        <v>15</v>
      </c>
      <c r="I188" s="6" t="s">
        <v>1260</v>
      </c>
      <c r="J188" s="6" t="s">
        <v>1261</v>
      </c>
      <c r="K188" s="6" t="s">
        <v>1262</v>
      </c>
      <c r="L188" s="6" t="s">
        <v>1263</v>
      </c>
      <c r="M188" s="7" t="s">
        <v>1264</v>
      </c>
    </row>
    <row r="189" customFormat="false" ht="32.25" hidden="false" customHeight="true" outlineLevel="0" collapsed="false">
      <c r="A189" s="5" t="n">
        <f aca="false">ROW()-3</f>
        <v>186</v>
      </c>
      <c r="B189" s="6" t="s">
        <v>1265</v>
      </c>
      <c r="C189" s="6" t="s">
        <v>219</v>
      </c>
      <c r="D189" s="6" t="s">
        <v>1220</v>
      </c>
      <c r="E189" s="6" t="s">
        <v>1234</v>
      </c>
      <c r="F189" s="5" t="n">
        <v>18</v>
      </c>
      <c r="G189" s="5" t="n">
        <v>99</v>
      </c>
      <c r="H189" s="5" t="n">
        <v>12</v>
      </c>
      <c r="I189" s="6" t="s">
        <v>1266</v>
      </c>
      <c r="J189" s="6" t="s">
        <v>1267</v>
      </c>
      <c r="K189" s="6" t="s">
        <v>1268</v>
      </c>
      <c r="L189" s="6" t="s">
        <v>1269</v>
      </c>
      <c r="M189" s="7" t="s">
        <v>1270</v>
      </c>
    </row>
    <row r="190" customFormat="false" ht="32.25" hidden="false" customHeight="true" outlineLevel="0" collapsed="false">
      <c r="A190" s="5" t="n">
        <f aca="false">ROW()-3</f>
        <v>187</v>
      </c>
      <c r="B190" s="6" t="s">
        <v>1271</v>
      </c>
      <c r="C190" s="6" t="s">
        <v>219</v>
      </c>
      <c r="D190" s="6" t="s">
        <v>1212</v>
      </c>
      <c r="E190" s="6" t="s">
        <v>1272</v>
      </c>
      <c r="F190" s="5" t="n">
        <v>12</v>
      </c>
      <c r="G190" s="5" t="n">
        <v>17</v>
      </c>
      <c r="H190" s="5" t="n">
        <v>12</v>
      </c>
      <c r="I190" s="6" t="s">
        <v>1266</v>
      </c>
      <c r="J190" s="6" t="s">
        <v>1267</v>
      </c>
      <c r="K190" s="6" t="s">
        <v>1273</v>
      </c>
      <c r="L190" s="6" t="s">
        <v>1274</v>
      </c>
      <c r="M190" s="7" t="s">
        <v>1275</v>
      </c>
    </row>
    <row r="191" customFormat="false" ht="32.25" hidden="false" customHeight="true" outlineLevel="0" collapsed="false">
      <c r="A191" s="5" t="n">
        <f aca="false">ROW()-3</f>
        <v>188</v>
      </c>
      <c r="B191" s="6" t="s">
        <v>1276</v>
      </c>
      <c r="C191" s="6" t="s">
        <v>219</v>
      </c>
      <c r="D191" s="6" t="s">
        <v>1220</v>
      </c>
      <c r="E191" s="6" t="s">
        <v>1234</v>
      </c>
      <c r="F191" s="5" t="n">
        <v>18</v>
      </c>
      <c r="G191" s="5" t="n">
        <v>99</v>
      </c>
      <c r="H191" s="5" t="n">
        <v>8</v>
      </c>
      <c r="I191" s="6" t="s">
        <v>1277</v>
      </c>
      <c r="J191" s="6" t="s">
        <v>1278</v>
      </c>
      <c r="K191" s="6" t="s">
        <v>1279</v>
      </c>
      <c r="L191" s="6" t="s">
        <v>1280</v>
      </c>
      <c r="M191" s="7" t="s">
        <v>1281</v>
      </c>
    </row>
    <row r="192" customFormat="false" ht="32.25" hidden="false" customHeight="true" outlineLevel="0" collapsed="false">
      <c r="A192" s="5" t="n">
        <f aca="false">ROW()-3</f>
        <v>189</v>
      </c>
      <c r="B192" s="6" t="s">
        <v>1282</v>
      </c>
      <c r="C192" s="6" t="s">
        <v>219</v>
      </c>
      <c r="D192" s="6" t="s">
        <v>1212</v>
      </c>
      <c r="E192" s="6" t="s">
        <v>1272</v>
      </c>
      <c r="F192" s="5" t="n">
        <v>12</v>
      </c>
      <c r="G192" s="5" t="n">
        <v>17</v>
      </c>
      <c r="H192" s="5" t="n">
        <v>8</v>
      </c>
      <c r="I192" s="6" t="s">
        <v>1277</v>
      </c>
      <c r="J192" s="6" t="s">
        <v>1278</v>
      </c>
      <c r="K192" s="6" t="s">
        <v>1283</v>
      </c>
      <c r="L192" s="6" t="s">
        <v>1284</v>
      </c>
      <c r="M192" s="7" t="s">
        <v>1285</v>
      </c>
    </row>
    <row r="193" customFormat="false" ht="32.25" hidden="false" customHeight="true" outlineLevel="0" collapsed="false">
      <c r="A193" s="5" t="n">
        <f aca="false">ROW()-3</f>
        <v>190</v>
      </c>
      <c r="B193" s="6" t="s">
        <v>1286</v>
      </c>
      <c r="C193" s="6" t="s">
        <v>131</v>
      </c>
      <c r="D193" s="6" t="s">
        <v>1212</v>
      </c>
      <c r="E193" s="6" t="s">
        <v>1234</v>
      </c>
      <c r="F193" s="5" t="n">
        <v>18</v>
      </c>
      <c r="G193" s="5" t="n">
        <v>99</v>
      </c>
      <c r="H193" s="5" t="n">
        <v>12</v>
      </c>
      <c r="I193" s="6" t="s">
        <v>1287</v>
      </c>
      <c r="J193" s="6" t="s">
        <v>1288</v>
      </c>
      <c r="K193" s="6" t="s">
        <v>1289</v>
      </c>
      <c r="L193" s="6" t="s">
        <v>1290</v>
      </c>
      <c r="M193" s="7" t="s">
        <v>1291</v>
      </c>
    </row>
    <row r="194" customFormat="false" ht="32.25" hidden="false" customHeight="true" outlineLevel="0" collapsed="false">
      <c r="A194" s="5" t="n">
        <f aca="false">ROW()-3</f>
        <v>191</v>
      </c>
      <c r="B194" s="6" t="s">
        <v>1292</v>
      </c>
      <c r="C194" s="6" t="s">
        <v>131</v>
      </c>
      <c r="D194" s="6" t="s">
        <v>1293</v>
      </c>
      <c r="E194" s="6" t="s">
        <v>1234</v>
      </c>
      <c r="F194" s="5" t="n">
        <v>18</v>
      </c>
      <c r="G194" s="5" t="n">
        <v>99</v>
      </c>
      <c r="H194" s="5" t="n">
        <v>12</v>
      </c>
      <c r="I194" s="6" t="s">
        <v>1294</v>
      </c>
      <c r="J194" s="6" t="s">
        <v>1288</v>
      </c>
      <c r="K194" s="6" t="s">
        <v>1295</v>
      </c>
      <c r="L194" s="6" t="s">
        <v>1296</v>
      </c>
      <c r="M194" s="7" t="s">
        <v>1297</v>
      </c>
    </row>
    <row r="195" customFormat="false" ht="470.25" hidden="false" customHeight="true" outlineLevel="0" collapsed="false">
      <c r="A195" s="5" t="n">
        <f aca="false">ROW()-3</f>
        <v>192</v>
      </c>
      <c r="B195" s="6" t="s">
        <v>1298</v>
      </c>
      <c r="C195" s="6" t="s">
        <v>1299</v>
      </c>
      <c r="D195" s="6" t="s">
        <v>1300</v>
      </c>
      <c r="E195" s="6" t="s">
        <v>514</v>
      </c>
      <c r="F195" s="5" t="n">
        <v>7</v>
      </c>
      <c r="G195" s="5" t="n">
        <v>18</v>
      </c>
      <c r="H195" s="5" t="n">
        <v>13</v>
      </c>
      <c r="I195" s="6" t="s">
        <v>1301</v>
      </c>
      <c r="J195" s="6" t="s">
        <v>1302</v>
      </c>
      <c r="K195" s="6" t="s">
        <v>1303</v>
      </c>
      <c r="L195" s="6" t="s">
        <v>1304</v>
      </c>
      <c r="M195" s="7" t="s">
        <v>1305</v>
      </c>
    </row>
    <row r="196" customFormat="false" ht="480.75" hidden="false" customHeight="true" outlineLevel="0" collapsed="false">
      <c r="A196" s="5" t="n">
        <f aca="false">ROW()-3</f>
        <v>193</v>
      </c>
      <c r="B196" s="6" t="s">
        <v>1306</v>
      </c>
      <c r="C196" s="6" t="s">
        <v>1299</v>
      </c>
      <c r="D196" s="6" t="s">
        <v>1307</v>
      </c>
      <c r="E196" s="6" t="s">
        <v>1234</v>
      </c>
      <c r="F196" s="5" t="n">
        <v>18</v>
      </c>
      <c r="G196" s="5" t="n">
        <v>99</v>
      </c>
      <c r="H196" s="5" t="n">
        <v>14</v>
      </c>
      <c r="I196" s="6" t="s">
        <v>1308</v>
      </c>
      <c r="J196" s="6" t="s">
        <v>1309</v>
      </c>
      <c r="K196" s="6" t="s">
        <v>1310</v>
      </c>
      <c r="L196" s="6" t="s">
        <v>1311</v>
      </c>
      <c r="M196" s="7" t="s">
        <v>1312</v>
      </c>
    </row>
    <row r="197" customFormat="false" ht="543.75" hidden="false" customHeight="true" outlineLevel="0" collapsed="false">
      <c r="A197" s="5" t="n">
        <f aca="false">ROW()-3</f>
        <v>194</v>
      </c>
      <c r="B197" s="6" t="s">
        <v>1313</v>
      </c>
      <c r="C197" s="6" t="s">
        <v>1299</v>
      </c>
      <c r="D197" s="6" t="s">
        <v>1307</v>
      </c>
      <c r="E197" s="6" t="s">
        <v>1314</v>
      </c>
      <c r="F197" s="5" t="n">
        <v>12</v>
      </c>
      <c r="G197" s="5" t="n">
        <v>99</v>
      </c>
      <c r="H197" s="5" t="n">
        <v>16</v>
      </c>
      <c r="I197" s="6" t="s">
        <v>1315</v>
      </c>
      <c r="J197" s="6" t="s">
        <v>1316</v>
      </c>
      <c r="K197" s="6" t="s">
        <v>1317</v>
      </c>
      <c r="L197" s="6" t="s">
        <v>1318</v>
      </c>
      <c r="M197" s="7" t="s">
        <v>1319</v>
      </c>
    </row>
    <row r="198" customFormat="false" ht="712.5" hidden="false" customHeight="true" outlineLevel="0" collapsed="false">
      <c r="A198" s="5" t="n">
        <f aca="false">ROW()-3</f>
        <v>195</v>
      </c>
      <c r="B198" s="6" t="s">
        <v>1320</v>
      </c>
      <c r="C198" s="6" t="s">
        <v>428</v>
      </c>
      <c r="D198" s="6" t="s">
        <v>187</v>
      </c>
      <c r="E198" s="6" t="s">
        <v>180</v>
      </c>
      <c r="F198" s="5" t="n">
        <v>4</v>
      </c>
      <c r="G198" s="5" t="n">
        <v>18</v>
      </c>
      <c r="H198" s="5" t="n">
        <v>14</v>
      </c>
      <c r="I198" s="6" t="s">
        <v>1321</v>
      </c>
      <c r="J198" s="6" t="s">
        <v>1322</v>
      </c>
      <c r="K198" s="6" t="s">
        <v>1323</v>
      </c>
      <c r="L198" s="6" t="s">
        <v>1324</v>
      </c>
      <c r="M198" s="7" t="s">
        <v>1325</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1326</v>
      </c>
      <c r="B1" s="8"/>
      <c r="C1" s="8"/>
    </row>
    <row r="2" customFormat="false" ht="15" hidden="false" customHeight="true" outlineLevel="0" collapsed="false">
      <c r="A2" s="4" t="s">
        <v>4</v>
      </c>
      <c r="B2" s="4" t="s">
        <v>1327</v>
      </c>
      <c r="C2" s="4" t="s">
        <v>1328</v>
      </c>
    </row>
    <row r="3" customFormat="false" ht="15" hidden="false" customHeight="true" outlineLevel="0" collapsed="false">
      <c r="A3" s="9" t="s">
        <v>122</v>
      </c>
      <c r="B3" s="9" t="n">
        <f aca="false">COUNTIF(Catálogo!$C$4:$C$1000,A3)</f>
        <v>10</v>
      </c>
      <c r="C3" s="10" t="n">
        <f aca="false">IF($B$30=0,0,B3/$B$30)</f>
        <v>0.0512820512820513</v>
      </c>
    </row>
    <row r="4" customFormat="false" ht="15" hidden="false" customHeight="true" outlineLevel="0" collapsed="false">
      <c r="A4" s="9" t="s">
        <v>51</v>
      </c>
      <c r="B4" s="9" t="n">
        <f aca="false">COUNTIF(Catálogo!$C$4:$C$1000,A4)</f>
        <v>3</v>
      </c>
      <c r="C4" s="10" t="n">
        <f aca="false">IF($B$30=0,0,B4/$B$30)</f>
        <v>0.0153846153846154</v>
      </c>
    </row>
    <row r="5" customFormat="false" ht="15" hidden="false" customHeight="true" outlineLevel="0" collapsed="false">
      <c r="A5" s="9" t="s">
        <v>219</v>
      </c>
      <c r="B5" s="9" t="n">
        <f aca="false">COUNTIF(Catálogo!$C$4:$C$1000,A5)</f>
        <v>30</v>
      </c>
      <c r="C5" s="10" t="n">
        <f aca="false">IF($B$30=0,0,B5/$B$30)</f>
        <v>0.153846153846154</v>
      </c>
    </row>
    <row r="6" customFormat="false" ht="15" hidden="false" customHeight="true" outlineLevel="0" collapsed="false">
      <c r="A6" s="9" t="s">
        <v>131</v>
      </c>
      <c r="B6" s="9" t="n">
        <f aca="false">COUNTIF(Catálogo!$C$4:$C$1000,A6)</f>
        <v>18</v>
      </c>
      <c r="C6" s="10" t="n">
        <f aca="false">IF($B$30=0,0,B6/$B$30)</f>
        <v>0.0923076923076923</v>
      </c>
    </row>
    <row r="7" customFormat="false" ht="15" hidden="false" customHeight="true" outlineLevel="0" collapsed="false">
      <c r="A7" s="9" t="s">
        <v>442</v>
      </c>
      <c r="B7" s="9" t="n">
        <f aca="false">COUNTIF(Catálogo!$C$4:$C$1000,A7)</f>
        <v>6</v>
      </c>
      <c r="C7" s="10" t="n">
        <f aca="false">IF($B$30=0,0,B7/$B$30)</f>
        <v>0.0307692307692308</v>
      </c>
    </row>
    <row r="8" customFormat="false" ht="15" hidden="false" customHeight="true" outlineLevel="0" collapsed="false">
      <c r="A8" s="9" t="s">
        <v>115</v>
      </c>
      <c r="B8" s="9" t="n">
        <f aca="false">COUNTIF(Catálogo!$C$4:$C$1000,A8)</f>
        <v>4</v>
      </c>
      <c r="C8" s="10" t="n">
        <f aca="false">IF($B$30=0,0,B8/$B$30)</f>
        <v>0.0205128205128205</v>
      </c>
    </row>
    <row r="9" customFormat="false" ht="15" hidden="false" customHeight="true" outlineLevel="0" collapsed="false">
      <c r="A9" s="9" t="s">
        <v>171</v>
      </c>
      <c r="B9" s="9" t="n">
        <f aca="false">COUNTIF(Catálogo!$C$4:$C$1000,A9)</f>
        <v>2</v>
      </c>
      <c r="C9" s="10" t="n">
        <f aca="false">IF($B$30=0,0,B9/$B$30)</f>
        <v>0.0102564102564103</v>
      </c>
    </row>
    <row r="10" customFormat="false" ht="15" hidden="false" customHeight="true" outlineLevel="0" collapsed="false">
      <c r="A10" s="9" t="s">
        <v>588</v>
      </c>
      <c r="B10" s="9" t="n">
        <f aca="false">COUNTIF(Catálogo!$C$4:$C$1000,A10)</f>
        <v>1</v>
      </c>
      <c r="C10" s="10" t="n">
        <f aca="false">IF($B$30=0,0,B10/$B$30)</f>
        <v>0.00512820512820513</v>
      </c>
    </row>
    <row r="11" customFormat="false" ht="15" hidden="false" customHeight="true" outlineLevel="0" collapsed="false">
      <c r="A11" s="9" t="s">
        <v>186</v>
      </c>
      <c r="B11" s="9" t="n">
        <f aca="false">COUNTIF(Catálogo!$C$4:$C$1000,A11)</f>
        <v>4</v>
      </c>
      <c r="C11" s="10" t="n">
        <f aca="false">IF($B$30=0,0,B11/$B$30)</f>
        <v>0.0205128205128205</v>
      </c>
    </row>
    <row r="12" customFormat="false" ht="15" hidden="false" customHeight="true" outlineLevel="0" collapsed="false">
      <c r="A12" s="9" t="s">
        <v>401</v>
      </c>
      <c r="B12" s="9" t="n">
        <f aca="false">COUNTIF(Catálogo!$C$4:$C$1000,A12)</f>
        <v>12</v>
      </c>
      <c r="C12" s="10" t="n">
        <f aca="false">IF($B$30=0,0,B12/$B$30)</f>
        <v>0.0615384615384615</v>
      </c>
    </row>
    <row r="13" customFormat="false" ht="15" hidden="false" customHeight="true" outlineLevel="0" collapsed="false">
      <c r="A13" s="9" t="s">
        <v>72</v>
      </c>
      <c r="B13" s="9" t="n">
        <f aca="false">COUNTIF(Catálogo!$C$4:$C$1000,A13)</f>
        <v>9</v>
      </c>
      <c r="C13" s="10" t="n">
        <f aca="false">IF($B$30=0,0,B13/$B$30)</f>
        <v>0.0461538461538462</v>
      </c>
    </row>
    <row r="14" customFormat="false" ht="15" hidden="false" customHeight="true" outlineLevel="0" collapsed="false">
      <c r="A14" s="9" t="s">
        <v>280</v>
      </c>
      <c r="B14" s="9" t="n">
        <f aca="false">COUNTIF(Catálogo!$C$4:$C$1000,A14)</f>
        <v>18</v>
      </c>
      <c r="C14" s="10" t="n">
        <f aca="false">IF($B$30=0,0,B14/$B$30)</f>
        <v>0.0923076923076923</v>
      </c>
    </row>
    <row r="15" customFormat="false" ht="15" hidden="false" customHeight="true" outlineLevel="0" collapsed="false">
      <c r="A15" s="9" t="s">
        <v>1299</v>
      </c>
      <c r="B15" s="9" t="n">
        <f aca="false">COUNTIF(Catálogo!$C$4:$C$1000,A15)</f>
        <v>3</v>
      </c>
      <c r="C15" s="10" t="n">
        <f aca="false">IF($B$30=0,0,B15/$B$30)</f>
        <v>0.0153846153846154</v>
      </c>
    </row>
    <row r="16" customFormat="false" ht="15" hidden="false" customHeight="true" outlineLevel="0" collapsed="false">
      <c r="A16" s="9" t="s">
        <v>521</v>
      </c>
      <c r="B16" s="9" t="n">
        <f aca="false">COUNTIF(Catálogo!$C$4:$C$1000,A16)</f>
        <v>1</v>
      </c>
      <c r="C16" s="10" t="n">
        <f aca="false">IF($B$30=0,0,B16/$B$30)</f>
        <v>0.00512820512820513</v>
      </c>
    </row>
    <row r="17" customFormat="false" ht="15" hidden="false" customHeight="true" outlineLevel="0" collapsed="false">
      <c r="A17" s="9" t="s">
        <v>528</v>
      </c>
      <c r="B17" s="9" t="n">
        <f aca="false">COUNTIF(Catálogo!$C$4:$C$1000,A17)</f>
        <v>2</v>
      </c>
      <c r="C17" s="10" t="n">
        <f aca="false">IF($B$30=0,0,B17/$B$30)</f>
        <v>0.0102564102564103</v>
      </c>
    </row>
    <row r="18" customFormat="false" ht="15" hidden="false" customHeight="true" outlineLevel="0" collapsed="false">
      <c r="A18" s="9" t="s">
        <v>477</v>
      </c>
      <c r="B18" s="9" t="n">
        <f aca="false">COUNTIF(Catálogo!$C$4:$C$1000,A18)</f>
        <v>1</v>
      </c>
      <c r="C18" s="10" t="n">
        <f aca="false">IF($B$30=0,0,B18/$B$30)</f>
        <v>0.00512820512820513</v>
      </c>
    </row>
    <row r="19" customFormat="false" ht="15" hidden="false" customHeight="true" outlineLevel="0" collapsed="false">
      <c r="A19" s="9" t="s">
        <v>500</v>
      </c>
      <c r="B19" s="9" t="n">
        <f aca="false">COUNTIF(Catálogo!$C$4:$C$1000,A19)</f>
        <v>3</v>
      </c>
      <c r="C19" s="10" t="n">
        <f aca="false">IF($B$30=0,0,B19/$B$30)</f>
        <v>0.0153846153846154</v>
      </c>
    </row>
    <row r="20" customFormat="false" ht="15" hidden="false" customHeight="true" outlineLevel="0" collapsed="false">
      <c r="A20" s="9" t="s">
        <v>379</v>
      </c>
      <c r="B20" s="9" t="n">
        <f aca="false">COUNTIF(Catálogo!$C$4:$C$1000,A20)</f>
        <v>1</v>
      </c>
      <c r="C20" s="10" t="n">
        <f aca="false">IF($B$30=0,0,B20/$B$30)</f>
        <v>0.00512820512820513</v>
      </c>
    </row>
    <row r="21" customFormat="false" ht="15" hidden="false" customHeight="true" outlineLevel="0" collapsed="false">
      <c r="A21" s="9" t="s">
        <v>16</v>
      </c>
      <c r="B21" s="9" t="n">
        <f aca="false">COUNTIF(Catálogo!$C$4:$C$1000,A21)</f>
        <v>16</v>
      </c>
      <c r="C21" s="10" t="n">
        <f aca="false">IF($B$30=0,0,B21/$B$30)</f>
        <v>0.0820512820512821</v>
      </c>
    </row>
    <row r="22" customFormat="false" ht="15" hidden="false" customHeight="true" outlineLevel="0" collapsed="false">
      <c r="A22" s="9" t="s">
        <v>554</v>
      </c>
      <c r="B22" s="9" t="n">
        <f aca="false">COUNTIF(Catálogo!$C$4:$C$1000,A22)</f>
        <v>7</v>
      </c>
      <c r="C22" s="10" t="n">
        <f aca="false">IF($B$30=0,0,B22/$B$30)</f>
        <v>0.0358974358974359</v>
      </c>
    </row>
    <row r="23" customFormat="false" ht="15" hidden="false" customHeight="true" outlineLevel="0" collapsed="false">
      <c r="A23" s="9" t="s">
        <v>814</v>
      </c>
      <c r="B23" s="9" t="n">
        <f aca="false">COUNTIF(Catálogo!$C$4:$C$1000,A23)</f>
        <v>1</v>
      </c>
      <c r="C23" s="10" t="n">
        <f aca="false">IF($B$30=0,0,B23/$B$30)</f>
        <v>0.00512820512820513</v>
      </c>
    </row>
    <row r="24" customFormat="false" ht="15" hidden="false" customHeight="true" outlineLevel="0" collapsed="false">
      <c r="A24" s="9" t="s">
        <v>428</v>
      </c>
      <c r="B24" s="9" t="n">
        <f aca="false">COUNTIF(Catálogo!$C$4:$C$1000,A24)</f>
        <v>10</v>
      </c>
      <c r="C24" s="10" t="n">
        <f aca="false">IF($B$30=0,0,B24/$B$30)</f>
        <v>0.0512820512820513</v>
      </c>
    </row>
    <row r="25" customFormat="false" ht="15" hidden="false" customHeight="true" outlineLevel="0" collapsed="false">
      <c r="A25" s="9" t="s">
        <v>210</v>
      </c>
      <c r="B25" s="9" t="n">
        <f aca="false">COUNTIF(Catálogo!$C$4:$C$1000,A25)</f>
        <v>14</v>
      </c>
      <c r="C25" s="10" t="n">
        <f aca="false">IF($B$30=0,0,B25/$B$30)</f>
        <v>0.0717948717948718</v>
      </c>
    </row>
    <row r="26" customFormat="false" ht="15" hidden="false" customHeight="true" outlineLevel="0" collapsed="false">
      <c r="A26" s="9" t="s">
        <v>162</v>
      </c>
      <c r="B26" s="9" t="n">
        <f aca="false">COUNTIF(Catálogo!$C$4:$C$1000,A26)</f>
        <v>6</v>
      </c>
      <c r="C26" s="10" t="n">
        <f aca="false">IF($B$30=0,0,B26/$B$30)</f>
        <v>0.0307692307692308</v>
      </c>
    </row>
    <row r="27" customFormat="false" ht="15" hidden="false" customHeight="true" outlineLevel="0" collapsed="false">
      <c r="A27" s="9" t="s">
        <v>344</v>
      </c>
      <c r="B27" s="9" t="n">
        <f aca="false">COUNTIF(Catálogo!$C$4:$C$1000,A27)</f>
        <v>3</v>
      </c>
      <c r="C27" s="10" t="n">
        <f aca="false">IF($B$30=0,0,B27/$B$30)</f>
        <v>0.0153846153846154</v>
      </c>
    </row>
    <row r="28" customFormat="false" ht="15" hidden="false" customHeight="true" outlineLevel="0" collapsed="false">
      <c r="A28" s="9" t="s">
        <v>1050</v>
      </c>
      <c r="B28" s="9" t="n">
        <f aca="false">COUNTIF(Catálogo!$C$4:$C$1000,A28)</f>
        <v>5</v>
      </c>
      <c r="C28" s="10" t="n">
        <f aca="false">IF($B$30=0,0,B28/$B$30)</f>
        <v>0.0256410256410256</v>
      </c>
    </row>
    <row r="29" customFormat="false" ht="15" hidden="false" customHeight="true" outlineLevel="0" collapsed="false">
      <c r="A29" s="9" t="s">
        <v>1042</v>
      </c>
      <c r="B29" s="9" t="n">
        <f aca="false">COUNTIF(Catálogo!$C$4:$C$1000,A29)</f>
        <v>5</v>
      </c>
      <c r="C29" s="10" t="n">
        <f aca="false">IF($B$30=0,0,B29/$B$30)</f>
        <v>0.0256410256410256</v>
      </c>
    </row>
    <row r="30" customFormat="false" ht="15" hidden="false" customHeight="true" outlineLevel="0" collapsed="false">
      <c r="A30" s="11" t="s">
        <v>1329</v>
      </c>
      <c r="B30" s="11" t="n">
        <f aca="false">COUNTA(Catálogo!$B$4:$B$1000)</f>
        <v>195</v>
      </c>
      <c r="C30" s="12" t="n">
        <f aca="false">IF(B30=0,0,B30/B30)</f>
        <v>1</v>
      </c>
    </row>
    <row r="31" customFormat="false" ht="15" hidden="false" customHeight="true" outlineLevel="0" collapsed="false">
      <c r="A31" s="13" t="s">
        <v>1330</v>
      </c>
    </row>
    <row r="32" customFormat="false" ht="14.25" hidden="false" customHeight="true" outlineLevel="0" collapsed="false">
      <c r="A32" s="14" t="s">
        <v>1330</v>
      </c>
      <c r="B32" s="15" t="str">
        <f aca="false">IF(SUM(B3:B28)=B29,"OK","Existe AREA nova - adicionar linha no resumo")</f>
        <v>Existe AREA nova - adicionar linha no resumo</v>
      </c>
    </row>
    <row r="33" customFormat="false" ht="14.25" hidden="false" customHeight="true" outlineLevel="0" collapsed="false">
      <c r="A33" s="1" t="s">
        <v>1331</v>
      </c>
      <c r="B33" s="1" t="str">
        <f aca="false">IF(SUM(B3:B29)=B30,"OK","Existe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1332</v>
      </c>
      <c r="B1" s="8"/>
      <c r="C1" s="8"/>
    </row>
    <row r="2" customFormat="false" ht="15" hidden="false" customHeight="true" outlineLevel="0" collapsed="false">
      <c r="A2" s="4" t="s">
        <v>1333</v>
      </c>
      <c r="B2" s="4" t="s">
        <v>1334</v>
      </c>
      <c r="C2" s="4" t="s">
        <v>1335</v>
      </c>
    </row>
    <row r="3" customFormat="false" ht="57.75" hidden="false" customHeight="true" outlineLevel="0" collapsed="false">
      <c r="A3" s="16" t="s">
        <v>1336</v>
      </c>
      <c r="B3" s="17" t="s">
        <v>1337</v>
      </c>
      <c r="C3" s="6" t="s">
        <v>1338</v>
      </c>
    </row>
    <row r="4" customFormat="false" ht="57.75" hidden="false" customHeight="true" outlineLevel="0" collapsed="false">
      <c r="A4" s="16" t="s">
        <v>1339</v>
      </c>
      <c r="B4" s="17" t="s">
        <v>1340</v>
      </c>
      <c r="C4" s="6" t="s">
        <v>1341</v>
      </c>
    </row>
    <row r="5" customFormat="false" ht="57.75" hidden="false" customHeight="true" outlineLevel="0" collapsed="false">
      <c r="A5" s="16" t="s">
        <v>1342</v>
      </c>
      <c r="B5" s="17" t="s">
        <v>1343</v>
      </c>
      <c r="C5" s="6" t="s">
        <v>1344</v>
      </c>
    </row>
    <row r="6" customFormat="false" ht="57.75" hidden="false" customHeight="true" outlineLevel="0" collapsed="false">
      <c r="A6" s="16" t="s">
        <v>1345</v>
      </c>
      <c r="B6" s="17" t="s">
        <v>1346</v>
      </c>
      <c r="C6" s="6" t="s">
        <v>1347</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1348</v>
      </c>
      <c r="B1" s="8"/>
    </row>
    <row r="2" customFormat="false" ht="42" hidden="false" customHeight="true" outlineLevel="0" collapsed="false">
      <c r="A2" s="18" t="s">
        <v>1349</v>
      </c>
      <c r="B2" s="19" t="s">
        <v>1350</v>
      </c>
    </row>
    <row r="3" customFormat="false" ht="42" hidden="false" customHeight="true" outlineLevel="0" collapsed="false">
      <c r="A3" s="18" t="s">
        <v>1351</v>
      </c>
      <c r="B3" s="19" t="s">
        <v>1352</v>
      </c>
    </row>
    <row r="4" customFormat="false" ht="42" hidden="false" customHeight="true" outlineLevel="0" collapsed="false">
      <c r="A4" s="18" t="s">
        <v>1353</v>
      </c>
      <c r="B4" s="19" t="s">
        <v>1354</v>
      </c>
    </row>
    <row r="5" customFormat="false" ht="42" hidden="false" customHeight="true" outlineLevel="0" collapsed="false">
      <c r="A5" s="18" t="s">
        <v>1355</v>
      </c>
      <c r="B5" s="19" t="s">
        <v>1356</v>
      </c>
    </row>
    <row r="6" customFormat="false" ht="42" hidden="false" customHeight="true" outlineLevel="0" collapsed="false">
      <c r="A6" s="18" t="s">
        <v>1357</v>
      </c>
      <c r="B6" s="19" t="s">
        <v>1358</v>
      </c>
    </row>
    <row r="7" customFormat="false" ht="42" hidden="false" customHeight="true" outlineLevel="0" collapsed="false">
      <c r="A7" s="18" t="s">
        <v>1359</v>
      </c>
      <c r="B7" s="19" t="s">
        <v>1360</v>
      </c>
    </row>
    <row r="8" customFormat="false" ht="9.75" hidden="false" customHeight="true" outlineLevel="0" collapsed="false">
      <c r="A8" s="18"/>
      <c r="B8" s="19"/>
    </row>
    <row r="9" customFormat="false" ht="42" hidden="false" customHeight="true" outlineLevel="0" collapsed="false">
      <c r="A9" s="18" t="s">
        <v>1361</v>
      </c>
      <c r="B9" s="19" t="s">
        <v>1362</v>
      </c>
    </row>
    <row r="10" customFormat="false" ht="42" hidden="false" customHeight="true" outlineLevel="0" collapsed="false">
      <c r="A10" s="18" t="s">
        <v>1363</v>
      </c>
      <c r="B10" s="19" t="s">
        <v>1364</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2026-08-30T16:38:52Z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