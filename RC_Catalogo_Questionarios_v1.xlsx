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14.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álogo" sheetId="1" state="visible" r:id="rId3"/>
    <sheet name="Resumo por Área" sheetId="2" state="visible" r:id="rId4"/>
    <sheet name="Anamnese &amp; História" sheetId="3" state="visible" r:id="rId5"/>
    <sheet name="Neurodesenvolvimento" sheetId="4" state="visible" r:id="rId6"/>
    <sheet name="Atenção, PHDA &amp; FE" sheetId="5" state="visible" r:id="rId7"/>
    <sheet name="Ansiedade &amp; Internalização" sheetId="6" state="visible" r:id="rId8"/>
    <sheet name="Risco &amp; Autolesão" sheetId="7" state="visible" r:id="rId9"/>
    <sheet name="Trauma &amp; Stress" sheetId="8" state="visible" r:id="rId10"/>
    <sheet name="Externalização" sheetId="9" state="visible" r:id="rId11"/>
    <sheet name="Regulação Emocional" sheetId="10" state="visible" r:id="rId12"/>
    <sheet name="Alimentação &amp; Imagem" sheetId="11" state="visible" r:id="rId13"/>
    <sheet name="Sono" sheetId="12" state="visible" r:id="rId14"/>
    <sheet name="Família &amp; Parentalidade" sheetId="13" state="visible" r:id="rId15"/>
    <sheet name="Escola &amp; Aprendizagem" sheetId="14" state="visible" r:id="rId16"/>
    <sheet name="Personalidade &amp; Esquemas" sheetId="15" state="visible" r:id="rId17"/>
    <sheet name="Autoconceito &amp; Autoestima" sheetId="16" state="visible" r:id="rId18"/>
    <sheet name="Comp. Sociais &amp; Assertiv." sheetId="17" state="visible" r:id="rId19"/>
    <sheet name="Vocacional &amp; Inteligências" sheetId="18" state="visible" r:id="rId20"/>
    <sheet name="Interferência Funcional" sheetId="19" state="visible" r:id="rId21"/>
    <sheet name="Comportamentos Aditivos" sheetId="20" state="visible" r:id="rId22"/>
    <sheet name="Índice" sheetId="21" state="hidden" r:id="rId23"/>
    <sheet name="Fluxo de trabalho" sheetId="22" state="visible" r:id="rId24"/>
    <sheet name="Como atualizar" sheetId="23" state="visible" r:id="rId25"/>
  </sheets>
  <definedNames>
    <definedName function="false" hidden="true" localSheetId="10" name="_xlnm._FilterDatabase" vbProcedure="false">'Alimentação &amp; Imagem'!$A$3:$M$21</definedName>
    <definedName function="false" hidden="true" localSheetId="2" name="_xlnm._FilterDatabase" vbProcedure="false">'Anamnese &amp; História'!$A$3:$M$15</definedName>
    <definedName function="false" hidden="true" localSheetId="5" name="_xlnm._FilterDatabase" vbProcedure="false">'Ansiedade &amp; Internalização'!$A$3:$M$42</definedName>
    <definedName function="false" hidden="true" localSheetId="4" name="_xlnm._FilterDatabase" vbProcedure="false">'Atenção, PHDA &amp; FE'!$A$3:$M$29</definedName>
    <definedName function="false" hidden="true" localSheetId="15" name="_xlnm._FilterDatabase" vbProcedure="false">'Autoconceito &amp; Autoestima'!$A$3:$M$17</definedName>
    <definedName function="false" hidden="true" localSheetId="16" name="_xlnm._FilterDatabase" vbProcedure="false">'Comp. Sociais &amp; Assertiv.'!$A$3:$M$16</definedName>
    <definedName function="false" hidden="true" localSheetId="19" name="_xlnm._FilterDatabase" vbProcedure="false">'Comportamentos Aditivos'!$A$3:$M$12</definedName>
    <definedName function="false" hidden="true" localSheetId="13" name="_xlnm._FilterDatabase" vbProcedure="false">'Escola &amp; Aprendizagem'!$A$3:$M$23</definedName>
    <definedName function="false" hidden="true" localSheetId="8" name="_xlnm._FilterDatabase" vbProcedure="false">Externalização!$A$3:$M$20</definedName>
    <definedName function="false" hidden="true" localSheetId="12" name="_xlnm._FilterDatabase" vbProcedure="false">'Família &amp; Parentalidade'!$A$3:$M$37</definedName>
    <definedName function="false" hidden="true" localSheetId="18" name="_xlnm._FilterDatabase" vbProcedure="false">'Interferência Funcional'!$A$3:$M$13</definedName>
    <definedName function="false" hidden="true" localSheetId="3" name="_xlnm._FilterDatabase" vbProcedure="false">Neurodesenvolvimento!$A$3:$M$32</definedName>
    <definedName function="false" hidden="true" localSheetId="14" name="_xlnm._FilterDatabase" vbProcedure="false">'Personalidade &amp; Esquemas'!$A$3:$M$21</definedName>
    <definedName function="false" hidden="true" localSheetId="9" name="_xlnm._FilterDatabase" vbProcedure="false">'Regulação Emocional'!$A$3:$M$25</definedName>
    <definedName function="false" hidden="true" localSheetId="6" name="_xlnm._FilterDatabase" vbProcedure="false">'Risco &amp; Autolesão'!$A$3:$M$21</definedName>
    <definedName function="false" hidden="true" localSheetId="11" name="_xlnm._FilterDatabase" vbProcedure="false">Sono!$A$3:$M$16</definedName>
    <definedName function="false" hidden="true" localSheetId="7" name="_xlnm._FilterDatabase" vbProcedure="false">'Trauma &amp; Stress'!$A$3:$M$16</definedName>
    <definedName function="false" hidden="true" localSheetId="17" name="_xlnm._FilterDatabase" vbProcedure="false">'Vocacional &amp; Inteligências'!$A$3:$M$18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<sst xmlns="http://schemas.openxmlformats.org/spreadsheetml/2006/main" count="2335" uniqueCount="1525">
  <si>
    <t xml:space="preserve">RC · Catálogo de Questionários — Ricardina Correia · OPP 8233</t>
  </si>
  <si>
    <t xml:space="preserve">Cada coluna tem filtro (seta no cabeçalho). Para idade: filtre «Idade min &lt;= X» e «Idade max &gt;= X».   |   Idade min 0 = desde o nascimento; Idade max 99 = sem limite superior.   |   Adicionar instrumento: ver folha «Como atualizar».</t>
  </si>
  <si>
    <t xml:space="preserve">Nº</t>
  </si>
  <si>
    <t xml:space="preserve">Nome do Instrumento</t>
  </si>
  <si>
    <t xml:space="preserve">Área Clínica</t>
  </si>
  <si>
    <t xml:space="preserve">Destinatários</t>
  </si>
  <si>
    <t xml:space="preserve">Faixa etária</t>
  </si>
  <si>
    <t xml:space="preserve">Idade mín (anos)</t>
  </si>
  <si>
    <t xml:space="preserve">Idade máx (anos)</t>
  </si>
  <si>
    <t xml:space="preserve">Nº domínios</t>
  </si>
  <si>
    <t xml:space="preserve">Objetivo clínico</t>
  </si>
  <si>
    <t xml:space="preserve">Domínios / Subescalas (por extenso)</t>
  </si>
  <si>
    <t xml:space="preserve">syncKey (Sheet)</t>
  </si>
  <si>
    <t xml:space="preserve">ID interno</t>
  </si>
  <si>
    <t xml:space="preserve">Link</t>
  </si>
  <si>
    <t xml:space="preserve">ABAS-3 — Auto-relato</t>
  </si>
  <si>
    <t xml:space="preserve">Neurodesenvolvimento</t>
  </si>
  <si>
    <t xml:space="preserve">Paciente</t>
  </si>
  <si>
    <t xml:space="preserve">16–89 anos</t>
  </si>
  <si>
    <t xml:space="preserve">Avalia comportamento adaptativo — auto-relato (16–89 anos)</t>
  </si>
  <si>
    <t xml:space="preserve">Compósito Adaptativo Geral (GAC); Domínio Conceptual (CC); Domínio Social (SC); Domínio Prático (PC)</t>
  </si>
  <si>
    <t xml:space="preserve">abas3_adult</t>
  </si>
  <si>
    <t xml:space="preserve">q_abas3_adult</t>
  </si>
  <si>
    <t xml:space="preserve">https://correiaricardina-ui.github.io/questionarios/ABAS3_Autorrelato_v1.html</t>
  </si>
  <si>
    <t xml:space="preserve">ABAS-3 — Educador (0–5)</t>
  </si>
  <si>
    <t xml:space="preserve">Educador(a)</t>
  </si>
  <si>
    <t xml:space="preserve">0–5 anos</t>
  </si>
  <si>
    <t xml:space="preserve">Avalia comportamento adaptativo — versão educador (0–5 anos)</t>
  </si>
  <si>
    <t xml:space="preserve">Compósito Adaptativo Geral (CAG); Domínio Conceptual (CC); Domínio Social (SC); Domínio Prático (PC)</t>
  </si>
  <si>
    <t xml:space="preserve">abas3_05p</t>
  </si>
  <si>
    <t xml:space="preserve">q_abas3_05p</t>
  </si>
  <si>
    <t xml:space="preserve">https://correiaricardina-ui.github.io/questionarios/ABAS3_PreEscolar_Educador.html</t>
  </si>
  <si>
    <t xml:space="preserve">ABAS-3 — Pais/Cuid. (&gt;6)</t>
  </si>
  <si>
    <t xml:space="preserve">Mãe, Pai, Enc. Educação</t>
  </si>
  <si>
    <t xml:space="preserve">6–21 anos</t>
  </si>
  <si>
    <t xml:space="preserve">Avalia comportamento adaptativo — versão pais/cuidadores (&gt;6 anos)</t>
  </si>
  <si>
    <t xml:space="preserve">abas3_pais</t>
  </si>
  <si>
    <t xml:space="preserve">q_abas3_pais</t>
  </si>
  <si>
    <t xml:space="preserve">https://correiaricardina-ui.github.io/questionarios/ABAS3_Pais_v2.html</t>
  </si>
  <si>
    <t xml:space="preserve">ABAS-3 — Pais/Cuid. (0–5)</t>
  </si>
  <si>
    <t xml:space="preserve">Avalia comportamento adaptativo — versão pais (0–5 anos)</t>
  </si>
  <si>
    <t xml:space="preserve">abas3_05</t>
  </si>
  <si>
    <t xml:space="preserve">q_abas3_05</t>
  </si>
  <si>
    <t xml:space="preserve">https://correiaricardina-ui.github.io/questionarios/ABAS3_PreEscolar.html</t>
  </si>
  <si>
    <t xml:space="preserve">ABAS-3 — Professor (&gt;6)</t>
  </si>
  <si>
    <t xml:space="preserve">Professor(a)</t>
  </si>
  <si>
    <t xml:space="preserve">Avalia comportamento adaptativo — versão professor (&gt;6 anos)</t>
  </si>
  <si>
    <t xml:space="preserve">abas3_prof</t>
  </si>
  <si>
    <t xml:space="preserve">q_abas3_prof</t>
  </si>
  <si>
    <t xml:space="preserve">https://correiaricardina-ui.github.io/questionarios/ABAS3_Professor_v2.html</t>
  </si>
  <si>
    <t xml:space="preserve">Anamnese — História Prévia</t>
  </si>
  <si>
    <t xml:space="preserve">Anamnese, História &amp; Monitorização</t>
  </si>
  <si>
    <t xml:space="preserve">0–18 anos</t>
  </si>
  <si>
    <t xml:space="preserve">Recolha qualitativa de história clínica, desenvolvimento, familiar, escolar e relacional prévia à consulta</t>
  </si>
  <si>
    <t xml:space="preserve">História Clínica; Desenvolvimento; Estrutura Familiar; História Escolar; Relacionamentos</t>
  </si>
  <si>
    <t xml:space="preserve">anamnese_hp</t>
  </si>
  <si>
    <t xml:space="preserve">q_anamnese_hp</t>
  </si>
  <si>
    <t xml:space="preserve">https://correiaricardina-ui.github.io/questionarios/Anamnese_HP_v1.html</t>
  </si>
  <si>
    <t xml:space="preserve">Anamnese Complementar</t>
  </si>
  <si>
    <t xml:space="preserve">Recolher história clínica, desenvolvimento e funcionamento quotidiano</t>
  </si>
  <si>
    <t xml:space="preserve">História Clínica; Desenvolvimento Precoce; Funcionamento Executivo; Regulação Emocional</t>
  </si>
  <si>
    <t xml:space="preserve">anamnese_complementar</t>
  </si>
  <si>
    <t xml:space="preserve">q_anamnese</t>
  </si>
  <si>
    <t xml:space="preserve">https://correiaricardina-ui.github.io/questionarios/Anamnese_complementar_v2.html</t>
  </si>
  <si>
    <t xml:space="preserve">Anamnese Parental Complementar</t>
  </si>
  <si>
    <t xml:space="preserve">Todas as idades</t>
  </si>
  <si>
    <t xml:space="preserve">Recolha estruturada da perspetiva do progenitor ou cuidador que não esteve presente na consulta de anamnese inicial e deseja integrar o processo de avaliação/intervenção. Instrumento qualitativo de anamnese — sem cotação: regista motivação para participar, preocupação principal e áreas assinaladas, a criança no contexto do respondente (rotinas, o que corre bem, o que é mais difícil), evolução percebida, informação adicional e expectativas/disponibilidade.</t>
  </si>
  <si>
    <t xml:space="preserve">Preocupações principais; Áreas assinaladas; Contexto do respondente; Evolução percebida; Expectativas e disponibilidade</t>
  </si>
  <si>
    <t xml:space="preserve">anamnese_parental_complementar</t>
  </si>
  <si>
    <t xml:space="preserve">q_anamnese_parental_complementar</t>
  </si>
  <si>
    <t xml:space="preserve">https://correiaricardina-ui.github.io/questionarios/ANAMNESE_PARENTAL_COMPLEMENTAR_v1.html</t>
  </si>
  <si>
    <t xml:space="preserve">AQ Buss-Perry — Agressividade</t>
  </si>
  <si>
    <t xml:space="preserve">Externalização &amp; Comportamento</t>
  </si>
  <si>
    <t xml:space="preserve">Adultos (≥16 anos)</t>
  </si>
  <si>
    <t xml:space="preserve">Auto-relato (29 itens, ~5-8 min) para avaliação multidimensional da agressividade (Buss &amp; Perry, 1992; adaptação portuguesa Cunha &amp; Gonçalves, 2012, n=633 universitários). Quatro subescalas: Agressividade Física (AF, 9 itens), Agressividade Verbal (AV, 5 itens), Raiva/Ira (7 itens), Hostilidade (HO, 8 itens) + Total AQ. Escala Likert 1-5. Itens 9 e 16 invertidos. Classificação em 4 níveis por sexo (Baixa, Média, Elevada, Muito Elevada). Aviso técnico: a subescala Agressividade Verbal tem consistência interna baixa (α=.56) — interpretar com prudência. Os domínios não são visíveis ao paciente durante o preenchimento.</t>
  </si>
  <si>
    <t xml:space="preserve">Agressividade Física (AF); Agressividade Verbal (AV); Raiva/Ira; Hostilidade (HO); Total AQ</t>
  </si>
  <si>
    <t xml:space="preserve">aq_bussperry</t>
  </si>
  <si>
    <t xml:space="preserve">q_aq_bussperry</t>
  </si>
  <si>
    <t xml:space="preserve">https://correiaricardina-ui.github.io/questionarios/AQ_BussPerry_v1.html</t>
  </si>
  <si>
    <t xml:space="preserve">AQ-Child — Quociente de Espectro do Autismo (Versão Criança)</t>
  </si>
  <si>
    <t xml:space="preserve">4–11 anos</t>
  </si>
  <si>
    <t xml:space="preserve">Rastreio de traços do espectro do autismo em crianças (Auyeung, Baron-Cohen, Wheelwright &amp; Allison, 2008; tradução portuguesa Coelho, 2020). Preenchimento por pais/cuidadores · 50 itens · escala Likert 4 pontos (Concordo plenamente · Concordo · Discordo · Discordo totalmente). 24 itens directos + 26 itens reversos. Cinco subescalas (10 itens cada): Habilidades Sociais (S), Atenção Alternante (A), Atenção aos Detalhes (D), Comunicação (C), Imaginação (I). Total = 0–150. Cut-off clínico ≥ 76 (Sens. 95% · Espec. 95%). Médias normativas: controlos M=41,7 (DP=18,6); SA/AAF M=104,8 (DP=15,6); autismo M=103,0 (DP=16,3). Instrumento de triagem — não substitui avaliação clínica nem confere diagnóstico.</t>
  </si>
  <si>
    <t xml:space="preserve">Habilidades Sociais (S); Atenção Alternante (A); Atenção aos Detalhes (D); Comunicação (C); Imaginação (I); Total</t>
  </si>
  <si>
    <t xml:space="preserve">aqchild</t>
  </si>
  <si>
    <t xml:space="preserve">q_aq_child</t>
  </si>
  <si>
    <t xml:space="preserve">https://correiaricardina-ui.github.io/questionarios/AQ_Child_v1.html</t>
  </si>
  <si>
    <t xml:space="preserve">ASEBA — CBCL 1½-5</t>
  </si>
  <si>
    <t xml:space="preserve">Pais, Mãe, Pai, Enc. Educação</t>
  </si>
  <si>
    <t xml:space="preserve">1½–5 anos</t>
  </si>
  <si>
    <t xml:space="preserve">Avaliar problemas emocionais e comportamentais em idade pré-escolar</t>
  </si>
  <si>
    <t xml:space="preserve">Internalizante; Externalizante; Total; Reatividade Emocional; Ansiedade; Queixas Somáticas; Retraimento; Problemas de Sono; Problemas de Atenção; Comportamento Agressivo</t>
  </si>
  <si>
    <t xml:space="preserve">cbcl15</t>
  </si>
  <si>
    <t xml:space="preserve">q_cbcl_15</t>
  </si>
  <si>
    <t xml:space="preserve">https://correiaricardina-ui.github.io/questionarios/CBCL_15_v5.html</t>
  </si>
  <si>
    <t xml:space="preserve">ASEBA — CBCL 6-18</t>
  </si>
  <si>
    <t xml:space="preserve">6–18 anos</t>
  </si>
  <si>
    <t xml:space="preserve">Avaliar problemas emocionais e comportamentais</t>
  </si>
  <si>
    <t xml:space="preserve">Internalizante; Externalizante; Total; Ansiedade/Depressão; Queixas Somáticas; Isolamento; Problemas Sociais; Problemas de Atenção; Comportamento Agressivo; Comportamento de Quebra de Regras</t>
  </si>
  <si>
    <t xml:space="preserve">cbcl</t>
  </si>
  <si>
    <t xml:space="preserve">q_aseba_cbcl</t>
  </si>
  <si>
    <t xml:space="preserve">https://correiaricardina-ui.github.io/questionarios/CBCL_618_v1.html</t>
  </si>
  <si>
    <t xml:space="preserve">ASEBA — TRF 6-18</t>
  </si>
  <si>
    <t xml:space="preserve">Avaliar comportamento em contexto escolar (versão professor)</t>
  </si>
  <si>
    <t xml:space="preserve">Internalizante; Externalizante; Total; Problemas de Atenção; Comportamento Agressivo</t>
  </si>
  <si>
    <t xml:space="preserve">trf</t>
  </si>
  <si>
    <t xml:space="preserve">q_aseba_trf</t>
  </si>
  <si>
    <t xml:space="preserve">https://correiaricardina-ui.github.io/questionarios/TRF_618_v1.html</t>
  </si>
  <si>
    <t xml:space="preserve">ASEBA — YSR 11-18</t>
  </si>
  <si>
    <t xml:space="preserve">11–18 anos</t>
  </si>
  <si>
    <t xml:space="preserve">Auto-avaliação de problemas emocionais e comportamentais</t>
  </si>
  <si>
    <t xml:space="preserve">Internalizante; Externalizante; Total; Ansiedade/Depressão; Isolamento; Queixas Somáticas; Problemas Sociais; Problemas de Atenção; Comportamento Agressivo</t>
  </si>
  <si>
    <t xml:space="preserve">ysr</t>
  </si>
  <si>
    <t xml:space="preserve">q_aseba_ysr</t>
  </si>
  <si>
    <t xml:space="preserve">https://correiaricardina-ui.github.io/questionarios/YSR_1118_v2.html</t>
  </si>
  <si>
    <t xml:space="preserve">BAS-3 — Bateria de Socialização</t>
  </si>
  <si>
    <t xml:space="preserve">Competências Sociais &amp; Assertividade</t>
  </si>
  <si>
    <t xml:space="preserve">Avaliar competências sociais — auto-avaliação (Silva Moreno &amp; Martorell Pallás, 1989/1995; adapt. CEGOC-TEA, 2005)</t>
  </si>
  <si>
    <t xml:space="preserve">Consideração pelos outros (Co); Auto-controlo nas relações sociais (Ac); Isolamento social (Is); Ansiedade social/Timidez (At); Liderança (Li); Sinceridade (S)</t>
  </si>
  <si>
    <t xml:space="preserve">bas3</t>
  </si>
  <si>
    <t xml:space="preserve">q_bas3</t>
  </si>
  <si>
    <t xml:space="preserve">https://correiaricardina-ui.github.io/questionarios/BAS3_v1.html</t>
  </si>
  <si>
    <t xml:space="preserve">BESAA — Escala de Estima Corporal</t>
  </si>
  <si>
    <t xml:space="preserve">Alimentação &amp; Imagem Corporal</t>
  </si>
  <si>
    <t xml:space="preserve">Paciente, Adolescente, Jovem avaliado</t>
  </si>
  <si>
    <t xml:space="preserve">12+ anos</t>
  </si>
  <si>
    <t xml:space="preserve">Avalia a auto-estima corporal em três dimensões: aparência geral, satisfação com o peso e avaliações atribuídas por outros (Mendelson et al., 2001)</t>
  </si>
  <si>
    <t xml:space="preserve">BE-Aparência; BE-Peso; BE-Atribuição</t>
  </si>
  <si>
    <t xml:space="preserve">besaa</t>
  </si>
  <si>
    <t xml:space="preserve">q_besaa</t>
  </si>
  <si>
    <t xml:space="preserve">https://correiaricardina-ui.github.io/questionarios/BESAA_v1.html</t>
  </si>
  <si>
    <t xml:space="preserve">BRIEF — Auto-questionário</t>
  </si>
  <si>
    <t xml:space="preserve">Atenção, PHDA &amp; Funções Executivas</t>
  </si>
  <si>
    <t xml:space="preserve">Avalia funções executivas — versão auto-relato para adolescentes</t>
  </si>
  <si>
    <t xml:space="preserve">Inibição (INHIB); Flexibilidade/Mudança (SHIFT); Controlo Emocional (EC); Monitorização (MON); Memória de Trabalho (WM); Planeamento/Organização (PO); Organização de Materiais (OM); Conclusão de Tarefas (TC); Índice de Regulação Comportamental (IRC); Índice de Metacognição (IM); Índice Global de Funções Executivas (GEF)</t>
  </si>
  <si>
    <t xml:space="preserve">brief_auto</t>
  </si>
  <si>
    <t xml:space="preserve">q_brief_auto</t>
  </si>
  <si>
    <t xml:space="preserve">https://correiaricardina-ui.github.io/questionarios/BRIEF_Autoavaliacao_v2.html</t>
  </si>
  <si>
    <t xml:space="preserve">BRIEF — Pais</t>
  </si>
  <si>
    <t xml:space="preserve">5–18 anos</t>
  </si>
  <si>
    <t xml:space="preserve">Avalia funções executivas em casa — versão pais/cuidadores</t>
  </si>
  <si>
    <t xml:space="preserve">Inibição (INHIB); Flexibilidade/Mudança (SHIFT); Controlo Emocional (ECON); Memória de Trabalho (WM); Planeamento/Organização (PO); Índice de Autorregulação Comportamental (ISCI); Índice de Flexibilidade (FI); Índice de Metacognição Emergente (EMI); Índice Global de Funções Executivas (GEF)</t>
  </si>
  <si>
    <t xml:space="preserve">brief_pais</t>
  </si>
  <si>
    <t xml:space="preserve">q_brief_pais</t>
  </si>
  <si>
    <t xml:space="preserve">https://correiaricardina-ui.github.io/questionarios/BRIEF_Pais_v5.html</t>
  </si>
  <si>
    <t xml:space="preserve">BRIEF — Professores</t>
  </si>
  <si>
    <t xml:space="preserve">Avalia funções executivas em contexto escolar — versão professor</t>
  </si>
  <si>
    <t xml:space="preserve">brief_professores</t>
  </si>
  <si>
    <t xml:space="preserve">q_brief_prof</t>
  </si>
  <si>
    <t xml:space="preserve">https://correiaricardina-ui.github.io/questionarios/BRIEF_Professores_v3.html</t>
  </si>
  <si>
    <t xml:space="preserve">BRIEF Pré-Escolar — Pais</t>
  </si>
  <si>
    <t xml:space="preserve">2–5 anos</t>
  </si>
  <si>
    <t xml:space="preserve">Avalia funções executivas em contexto pré-escolar — versão pais</t>
  </si>
  <si>
    <t xml:space="preserve">brief_pe_pais</t>
  </si>
  <si>
    <t xml:space="preserve">q_brief_pe_pais</t>
  </si>
  <si>
    <t xml:space="preserve">https://correiaricardina-ui.github.io/questionarios/BRIEF_PreEscolar_Pais_v2.html</t>
  </si>
  <si>
    <t xml:space="preserve">BRIEF Pré-Escolar — Professores</t>
  </si>
  <si>
    <t xml:space="preserve">Professor(a), Educador(a)</t>
  </si>
  <si>
    <t xml:space="preserve">Avalia funções executivas em contexto pré-escolar — versão professor/educador</t>
  </si>
  <si>
    <t xml:space="preserve">brief_pe_prof</t>
  </si>
  <si>
    <t xml:space="preserve">q_brief_pe_prof</t>
  </si>
  <si>
    <t xml:space="preserve">https://correiaricardina-ui.github.io/questionarios/BRIEF_PreEscolar_Professores_v2.html</t>
  </si>
  <si>
    <t xml:space="preserve">BSI — Inventário de Sintomas Psicopatológicos</t>
  </si>
  <si>
    <t xml:space="preserve">Risco, Autolesão &amp; Psicopatologia Geral</t>
  </si>
  <si>
    <t xml:space="preserve">Próprio/a, Familiar, Técnico/a</t>
  </si>
  <si>
    <t xml:space="preserve">≥ 13 anos</t>
  </si>
  <si>
    <t xml:space="preserve">Rastreio de sintomatologia psicopatológica em 9 dimensões e 3 índices globais (Derogatis 1982; Canavarro 1999)</t>
  </si>
  <si>
    <t xml:space="preserve">Somatização; Obsessões-Compulsões; Sensibilidade Interpessoal; Depressão; Ansiedade; Hostilidade; Ansiedade Fóbica; Ideação Paranóide; Psicoticismo; Índice Geral de Sintomas (IGS); Total de Sintomas Positivos (TSP); Índice de Sintomas Positivos (ISP)</t>
  </si>
  <si>
    <t xml:space="preserve">bsi</t>
  </si>
  <si>
    <t xml:space="preserve">q_bsi</t>
  </si>
  <si>
    <t xml:space="preserve">https://correiaricardina-ui.github.io/questionarios/BSI_v1.html</t>
  </si>
  <si>
    <t xml:space="preserve">CABS — Comportamento Assertivo (Autorrelato)</t>
  </si>
  <si>
    <t xml:space="preserve">Filho(a)</t>
  </si>
  <si>
    <t xml:space="preserve">8–18 anos</t>
  </si>
  <si>
    <t xml:space="preserve">Avaliar o estilo de resposta social da criança/jovem (assertivo, passivo, agressivo) em 27 situações interpessoais com 5 opções de resposta cada (autorrelato). Cotação por opção (−2 muito passiva a +2 muito agressiva): Score Total de Não Assertividade (0–54), Perfil Passivo, Perfil Agressivo e n.º de respostas assertivas. Faixas criteriais do ficheiro de cotação — sem normas portuguesas estandardizadas.</t>
  </si>
  <si>
    <t xml:space="preserve">Perfil Passivo; Perfil Agressivo; Score Total de Não Assertividade; Respostas Assertivas</t>
  </si>
  <si>
    <t xml:space="preserve">cabs_auto</t>
  </si>
  <si>
    <t xml:space="preserve">q_cabs_auto</t>
  </si>
  <si>
    <t xml:space="preserve">https://correiaricardina-ui.github.io/questionarios/CABS_Autorrelato.html</t>
  </si>
  <si>
    <t xml:space="preserve">CABS — Comportamento Assertivo (Heterorrelato)</t>
  </si>
  <si>
    <t xml:space="preserve">4–18 anos</t>
  </si>
  <si>
    <t xml:space="preserve">Avaliar o estilo de resposta social da criança (assertivo, passivo, agressivo) na perspetiva dos pais/encarregados de educação, em 27 situações interpessoais com 5 opções de resposta cada. Cotação por opção (−2 muito passiva a +2 muito agressiva): Score Total de Não Assertividade (0–54), Perfil Passivo, Perfil Agressivo e n.º de respostas assertivas. Faixas criteriais do ficheiro de cotação — sem normas portuguesas estandardizadas.</t>
  </si>
  <si>
    <t xml:space="preserve">cabs_hetero</t>
  </si>
  <si>
    <t xml:space="preserve">q_cabs_hetero</t>
  </si>
  <si>
    <t xml:space="preserve">https://correiaricardina-ui.github.io/questionarios/CABS_Heterorrelato.html</t>
  </si>
  <si>
    <t xml:space="preserve">CARS2-HP — Espetro do Autismo (Funcionamento Elevado)</t>
  </si>
  <si>
    <t xml:space="preserve">Aplicador clínico</t>
  </si>
  <si>
    <t xml:space="preserve">≥6 anos · QI≥80 · verbal funcional</t>
  </si>
  <si>
    <t xml:space="preserve">Avaliação clínica integrativa da severidade de sinais compatíveis com Perturbação do Espetro do Autismo (PEA) em crianças, adolescentes e adultos com funcionamento elevado: idade cronológica ≥6 anos, estimativa de QI ≥80 e comunicação verbal funcional. Adaptação inspirada (Via B) na CARS2-HF (Schopler, Van Bourgondien, Wellman &amp; Love, 2010, Western Psychological Services), com formulação clínica original em português europeu — conteúdo literário do instrumento de referência NÃO reproduzido. Cotação clínica integrativa por psicólogo após observação directa + anamnese + integração de fontes (parental, educativa). 15 domínios com escala 1.0–4.0 (passos 0.5); soma 15.0–60.0. Pontos de corte (Vaughan, 2011; Dawkins, Meyer &amp; Van Bourgondien, 2016): Mínimo 15-27.5 / Ligeiro a moderado 28-33.5 / Severo 34-60. Sinalização adicional: domínios com cotação ≥3.0 configuram atipicidade clinicamente relevante. Não existem normas portuguesas validadas; finalidade clínica complementar — não substitui avaliação clínica integrada nem instrumentos como ADOS-2, ADI-R, Vineland-3.</t>
  </si>
  <si>
    <t xml:space="preserve">Compreensão socioemocional; Expressão e regulação emocional; Relação com os outros; Uso do corpo; Uso de objetos no jogo e atividade; Adaptação à mudança e interesses restritos; Resposta visual; Resposta auditiva; Resposta gustativa/olfativa/tátil; Medo ou ansiedade; Comunicação verbal; Comunicação não-verbal; Capacidade de pensamento e integração cognitiva; Nível de atividade; Nível e consistência da resposta intelectual</t>
  </si>
  <si>
    <t xml:space="preserve">cars2_hp</t>
  </si>
  <si>
    <t xml:space="preserve">q_cars2_hp</t>
  </si>
  <si>
    <t xml:space="preserve">https://correiaricardina-ui.github.io/questionarios/CARS2-HP_v1.html</t>
  </si>
  <si>
    <t xml:space="preserve">CARS2-QPC — Questionário Parental para Espetro do Autismo</t>
  </si>
  <si>
    <t xml:space="preserve">Mãe, Pai, Encarregado de Educação</t>
  </si>
  <si>
    <t xml:space="preserve">Crianças/Adolescentes</t>
  </si>
  <si>
    <t xml:space="preserve">Questionário parental para avaliação integrativa do Espetro do Autismo (PEA), preenchido por pais/cuidadores principais sobre o comportamento habitual da criança ou adolescente. Adaptação inspirada (Via B) na CARS-2 QPC (Schopler, Van Bourgondien, Wellman &amp; Love, 2010, WPS), com formulação clínica original em PT-PT — conteúdo literário do instrumento de referência NÃO reproduzido. 81 itens distribuídos por 15 domínios; escala Likert 0-4 (Nunca/Raramente/Por vezes/Frequentemente/Sempre) + opção N/A (não aplicável/não observado). Lógica de cotação direccional: 33 itens descrevem comportamento típico esperado (0-1 = preocupante); 48 itens descrevem comportamento atípico (3-4 = preocupante); resposta 2 nunca preocupante; N/A não conta. Saída qualitativa: percentagem de itens preocupantes por domínio (sinalizado ≥50%) + contagem de domínios sinalizados + categoria clínica (≤3 mínima/ligeira · 4-7 moderada · ≥8 marcada). Pais e mãe podem submeter em separado (dedupe por nome_informante). Tempo: 25-40 min. Indicador qualitativo; não substitui observação clínica directa (CARS2-HP/ST) nem instrumentos como ADI-R, ADOS-2.</t>
  </si>
  <si>
    <t xml:space="preserve">Relação com pessoas (6 itens); Imitação (5); Resposta emocional (6); Uso do corpo (5); Uso de objetos (6); Adaptação à mudança (5); Resposta visual (5); Resposta auditiva (5); Resposta gust./olf./tátil (6); Medo ou nervosismo (5); Comunicação verbal (6); Comunicação não-verbal (5); Nível de atividade (5); Resposta intelectual (5); Impressões clínicas globais (6)</t>
  </si>
  <si>
    <t xml:space="preserve">cars2_qpc</t>
  </si>
  <si>
    <t xml:space="preserve">q_cars2_qpc</t>
  </si>
  <si>
    <t xml:space="preserve">https://correiaricardina-ui.github.io/questionarios/CARS2-QPC_v1.html</t>
  </si>
  <si>
    <t xml:space="preserve">CARS2-ST — Espetro do Autismo (Versão Standard)</t>
  </si>
  <si>
    <t xml:space="preserve">&lt;6 anos OU QI≤79 OU verbal limitada/ausente</t>
  </si>
  <si>
    <t xml:space="preserve">Avaliação clínica integrativa da severidade de sinais compatíveis com Perturbação do Espetro do Autismo (PEA) em crianças mais novas ou com maior compromisso funcional: idade cronológica &lt;6 anos, OU estimativa de QI ≤79, OU comunicação verbal limitada/ausente. Adaptação inspirada (Via B) na CARS-2 Standard Form (Schopler, Van Bourgondien, Wellman &amp; Love, 2010, WPS), com formulação clínica original em PT-PT — conteúdo literário do instrumento de referência NÃO reproduzido. Calibrada para valorizar manifestações comportamentais observáveis (motoras, sensoriais, comportamentais), com menor exigência de inferência sobre processos mentais subtis. Inclui dois domínios próprios da versão Standard: Imitação (item 2) e Impressões Clínicas Globais (item 15). Cotação clínica integrativa por psicólogo. 15 domínios com escala 1.0–4.0 (passos 0.5); soma 15.0–60.0. Pontos de corte (Schopler et al., 1980; Chlebowski, Green, Barton &amp; Fein, 2010; Schopler et al., 2010): Mínimo 15-29.5 / Ligeiro a moderado 30-36.5 / Severo 37-60 (cortes mais altos que a CARS2-HP). Sinalização adicional: domínios com cotação ≥3.0 configuram atipicidade clinicamente relevante. Identificação inclui QI estimado e nível de comunicação verbal. Não existem normas portuguesas validadas; finalidade clínica complementar — não substitui avaliação clínica integrada nem instrumentos como ADOS-2 (Toddler/M1/M2), ADI-R, Bayley-III/WPPSI-IV/Leiter-3, Vineland-3.</t>
  </si>
  <si>
    <t xml:space="preserve">Relação com pessoas; Imitação; Resposta emocional; Uso do corpo; Uso de objetos; Adaptação à mudança; Resposta visual; Resposta auditiva; Resposta gustativa/olfativa/tátil; Medo ou nervosismo; Comunicação verbal; Comunicação não-verbal; Nível de atividade; Nível e consistência da resposta intelectual; Impressões clínicas globais</t>
  </si>
  <si>
    <t xml:space="preserve">cars2_st</t>
  </si>
  <si>
    <t xml:space="preserve">q_cars2_st</t>
  </si>
  <si>
    <t xml:space="preserve">https://correiaricardina-ui.github.io/questionarios/CARS2-ST_v1.html</t>
  </si>
  <si>
    <t xml:space="preserve">CCBQ — Comportamentos de Coping em Crianças</t>
  </si>
  <si>
    <t xml:space="preserve">Regulação Emocional &amp; Coping</t>
  </si>
  <si>
    <t xml:space="preserve">Paciente, Criança avaliada, Jovem avaliado</t>
  </si>
  <si>
    <t xml:space="preserve">≥ 6 anos</t>
  </si>
  <si>
    <t xml:space="preserve">Avalia a frequência de utilização de três padrões de coping perante acontecimentos stressantes — Diversão (F-I), Amelioratório (F-II) e Destrutivo (F-III) (Hernandez, 2008 — adaptação PT exploratória)</t>
  </si>
  <si>
    <t xml:space="preserve">F-I Diversão; F-II Amelioratório; F-III Destrutivo; Compósito</t>
  </si>
  <si>
    <t xml:space="preserve">ccbq</t>
  </si>
  <si>
    <t xml:space="preserve">q_ccbq</t>
  </si>
  <si>
    <t xml:space="preserve">https://correiaricardina-ui.github.io/questionarios/CCBQ_v1.html</t>
  </si>
  <si>
    <t xml:space="preserve">CDI-2:SR</t>
  </si>
  <si>
    <t xml:space="preserve">Ansiedade, Depressão &amp; Internalização</t>
  </si>
  <si>
    <t xml:space="preserve">7–17 anos</t>
  </si>
  <si>
    <t xml:space="preserve">Rastreio de sintomatologia depressiva (auto-relato) — Kovacs &amp; MHS Staff (2011)</t>
  </si>
  <si>
    <t xml:space="preserve">Score Total (Total); Problemas Emocionais (EP); Problemas Funcionais (FP); Humor Negativo/Sintomas Físicos (HM/SF); Autoestima Negativa (AE-); Ineficácia (INE); Problemas Interpessoais (PI)</t>
  </si>
  <si>
    <t xml:space="preserve">cdi2sr</t>
  </si>
  <si>
    <t xml:space="preserve">q_cdi2sr</t>
  </si>
  <si>
    <t xml:space="preserve">https://correiaricardina-ui.github.io/questionarios/CDI2_SR_v1.html</t>
  </si>
  <si>
    <t xml:space="preserve">CERQ-18 — Versão Curta</t>
  </si>
  <si>
    <t xml:space="preserve">Auto-relato adolescente/adulto de estratégias cognitivas de regulação emocional — versão curta (18 itens) com normativos portugueses (Soares &amp; Amaral, 2024). 8 estratégias (4 adaptativas + 4 maladaptativas, com Reavaliação+Planeamento fundidas). Tempo de aplicação ~5-8 min.</t>
  </si>
  <si>
    <t xml:space="preserve">Auto-culpabilização; Aceitação; Ruminação; Refocalização Positiva; Reavaliação Positiva e Planeamento; Colocar em Perspetiva; Catastrofização; Culpabilização dos Outros; CERQ-Positivo; CERQ-Negativo</t>
  </si>
  <si>
    <t xml:space="preserve">cerq18</t>
  </si>
  <si>
    <t xml:space="preserve">q_cerq_18</t>
  </si>
  <si>
    <t xml:space="preserve">https://correiaricardina-ui.github.io/questionarios/CERQ_18_v1.html</t>
  </si>
  <si>
    <t xml:space="preserve">CERQ-36 — Versão Completa</t>
  </si>
  <si>
    <t xml:space="preserve">≥ 12 anos</t>
  </si>
  <si>
    <t xml:space="preserve">Auto-relato adolescente/adulto de estratégias cognitivas de regulação emocional — versão completa (36 itens, Garnefski &amp; Kraaij, 2006; adaptação PT Castro et al., 2013). 9 estratégias com normativos por subescala. Resolução clínica máxima — preferir em investigação ou perfis individuais detalhados.</t>
  </si>
  <si>
    <t xml:space="preserve">Auto-culpabilização; Aceitação; Ruminação; Refocalização Positiva; Planeamento; Reavaliação Positiva; Colocar em Perspetiva; Catastrofização; Culpabilização dos Outros; CERQ-Positivo; CERQ-Negativo</t>
  </si>
  <si>
    <t xml:space="preserve">cerq36</t>
  </si>
  <si>
    <t xml:space="preserve">q_cerq_36</t>
  </si>
  <si>
    <t xml:space="preserve">https://correiaricardina-ui.github.io/questionarios/CERQ_36_v1.html</t>
  </si>
  <si>
    <t xml:space="preserve">CERQ-K — Crianças</t>
  </si>
  <si>
    <t xml:space="preserve">9–11 anos</t>
  </si>
  <si>
    <t xml:space="preserve">Auto-relato infantil de estratégias cognitivas de regulação emocional após acontecimentos de vida desagradáveis (Garnefski et al., 2007). 9 estratégias (5 adaptativas + 4 maladaptativas) e 2 factores 2.ª ordem (CERQ-Positivo, CERQ-Negativo). Versão validada para 9-11 anos.</t>
  </si>
  <si>
    <t xml:space="preserve">cerqk</t>
  </si>
  <si>
    <t xml:space="preserve">q_cerq_k</t>
  </si>
  <si>
    <t xml:space="preserve">https://correiaricardina-ui.github.io/questionarios/CERQ_K_v1.html</t>
  </si>
  <si>
    <t xml:space="preserve">ChEAT — Atitudes Alimentares (Crianças)</t>
  </si>
  <si>
    <t xml:space="preserve">8–13 anos</t>
  </si>
  <si>
    <t xml:space="preserve">Rastreio de atitudes e comportamentos alimentares de risco em crianças (Maloney et al., 1988; versão portuguesa Barillari et al., 2011). Auto-resposta de 26 itens (~10 min) com escala de 6 pontos (Sempre/Mto.Freq./Freq.=3, Às Vezes=2, Raramente=1, Nunca=0). Itens 19 e 25 invertidos (0/1/2/2/2/3). Três subescalas: Dieta/Restrição (10 itens, máx 30), Preocupação Alimentar (12 itens, máx 36), Bulimia/Controlo (4 itens, máx 12). Ponto de corte clínico: Total ≥ 20 (risco clínico de perturbação alimentar) — recomenda avaliação especializada. 10–19 = preocupações subclínicas (monitorizar). NUNCA constitui diagnóstico — instrumento de rastreio. Scores e classificações não são visíveis à criança durante o preenchimento.</t>
  </si>
  <si>
    <t xml:space="preserve">Dieta/Restrição; Preocupação Alimentar; Bulimia/Controlo; Total ChEAT</t>
  </si>
  <si>
    <t xml:space="preserve">cheat</t>
  </si>
  <si>
    <t xml:space="preserve">q_cheat</t>
  </si>
  <si>
    <t xml:space="preserve">https://correiaricardina-ui.github.io/questionarios/ChEAT_v1.html</t>
  </si>
  <si>
    <t xml:space="preserve">Checklist Obs. Comportamental — Casa</t>
  </si>
  <si>
    <t xml:space="preserve">Registo diário de comportamento em contexto de casa — comparação com/sem medicação (atenção, regulação emocional, comportamento social, atividade motora, bem-estar, efeitos adversos)</t>
  </si>
  <si>
    <t xml:space="preserve">Atenção &amp; Função Executiva; Regulação Emocional; Comportamento Social; Atividade Motora; Bem-estar; Efeitos Adversos</t>
  </si>
  <si>
    <t xml:space="preserve">obs_phda_casa</t>
  </si>
  <si>
    <t xml:space="preserve">q_obs_phda_casa</t>
  </si>
  <si>
    <t xml:space="preserve">https://correiaricardina-ui.github.io/questionarios/checklist_obs_medicacao_PHDA_casa.html</t>
  </si>
  <si>
    <t xml:space="preserve">Checklist Obs. Comportamental — Escola</t>
  </si>
  <si>
    <t xml:space="preserve">Registo diário de comportamento em contexto escolar — comparação com/sem medicação (atenção, regulação emocional, comportamento social, atividade motora)</t>
  </si>
  <si>
    <t xml:space="preserve">Atenção &amp; Função Executiva; Regulação Emocional; Comportamento Social; Atividade Motora</t>
  </si>
  <si>
    <t xml:space="preserve">obs_phda_escola</t>
  </si>
  <si>
    <t xml:space="preserve">q_obs_phda_escola</t>
  </si>
  <si>
    <t xml:space="preserve">https://correiaricardina-ui.github.io/questionarios/checklist_obs_medicacao_PHDA_escola.html</t>
  </si>
  <si>
    <t xml:space="preserve">CMAS-R</t>
  </si>
  <si>
    <t xml:space="preserve">8–17 anos</t>
  </si>
  <si>
    <t xml:space="preserve">Avaliação da ansiedade manifesta com escala de validade (Mentira) — Reynolds &amp; Richmond (1978)</t>
  </si>
  <si>
    <t xml:space="preserve">Ansiedade Total; Mentira/Validade</t>
  </si>
  <si>
    <t xml:space="preserve">cmasr</t>
  </si>
  <si>
    <t xml:space="preserve">q_cmasr</t>
  </si>
  <si>
    <t xml:space="preserve">https://correiaricardina-ui.github.io/questionarios/CMAS_R_v1.html</t>
  </si>
  <si>
    <t xml:space="preserve">Collins — Silhuetas Corporais</t>
  </si>
  <si>
    <t xml:space="preserve">Paciente, Jovem avaliado</t>
  </si>
  <si>
    <t xml:space="preserve">Crianças / Adolescentes</t>
  </si>
  <si>
    <t xml:space="preserve">Avalia a insatisfação com a imagem corporal através de silhuetas — percepção real vs. ideal (Collins, 1991)</t>
  </si>
  <si>
    <t xml:space="preserve">Silhueta Real; Silhueta Ideal; Insatisfação; Índice de Massa Corporal (IMC)</t>
  </si>
  <si>
    <t xml:space="preserve">collins</t>
  </si>
  <si>
    <t xml:space="preserve">q_collins</t>
  </si>
  <si>
    <t xml:space="preserve">https://correiaricardina-ui.github.io/questionarios/Collins_Silhuetas.html</t>
  </si>
  <si>
    <t xml:space="preserve">COMPA — Adolescente (em relação à Mãe)</t>
  </si>
  <si>
    <t xml:space="preserve">Família &amp; Parentalidade</t>
  </si>
  <si>
    <t xml:space="preserve">12–16 anos</t>
  </si>
  <si>
    <t xml:space="preserve">Perceção do adolescente sobre a comunicação com a mãe — 39 itens</t>
  </si>
  <si>
    <t xml:space="preserve">F1 Disponibilidade Parental; F2 Confiança F→P; F3 Afeto/Apoio; F4 Metacomunicação; F5 Padrão Negativo; Total Positivo</t>
  </si>
  <si>
    <t xml:space="preserve">compa_a_mae</t>
  </si>
  <si>
    <t xml:space="preserve">q_compa_a_mae</t>
  </si>
  <si>
    <t xml:space="preserve">https://correiaricardina-ui.github.io/questionarios/COMPA_A_Mae.html</t>
  </si>
  <si>
    <t xml:space="preserve">COMPA — Adolescente (em relação ao Pai)</t>
  </si>
  <si>
    <t xml:space="preserve">Perceção do adolescente sobre a comunicação com o pai — 39 itens</t>
  </si>
  <si>
    <t xml:space="preserve">compa_a_pai</t>
  </si>
  <si>
    <t xml:space="preserve">q_compa_a_pai</t>
  </si>
  <si>
    <t xml:space="preserve">https://correiaricardina-ui.github.io/questionarios/COMPA_A_Pai.html</t>
  </si>
  <si>
    <t xml:space="preserve">COMPA — Criança (em relação à Mãe)</t>
  </si>
  <si>
    <t xml:space="preserve">7–11 anos</t>
  </si>
  <si>
    <t xml:space="preserve">Perceção da criança sobre a comunicação com a mãe — 16 itens</t>
  </si>
  <si>
    <t xml:space="preserve">F1 Disponibilidade Parental; F2 Afeto/Apoio; Total</t>
  </si>
  <si>
    <t xml:space="preserve">compa_c_mae</t>
  </si>
  <si>
    <t xml:space="preserve">q_compa_c_mae</t>
  </si>
  <si>
    <t xml:space="preserve">https://correiaricardina-ui.github.io/questionarios/COMPA_C_Mae.html</t>
  </si>
  <si>
    <t xml:space="preserve">COMPA — Criança (em relação ao Pai)</t>
  </si>
  <si>
    <t xml:space="preserve">Perceção da criança sobre a comunicação com o pai — 16 itens</t>
  </si>
  <si>
    <t xml:space="preserve">compa_c_pai</t>
  </si>
  <si>
    <t xml:space="preserve">q_compa_c_pai</t>
  </si>
  <si>
    <t xml:space="preserve">https://correiaricardina-ui.github.io/questionarios/COMPA_C_Pai.html</t>
  </si>
  <si>
    <t xml:space="preserve">COMPA — Progenitores</t>
  </si>
  <si>
    <t xml:space="preserve">Progenitores</t>
  </si>
  <si>
    <t xml:space="preserve">Perceção do progenitor sobre a comunicação parento-filial — 44 itens</t>
  </si>
  <si>
    <t xml:space="preserve">F1 Afeto/Apoio; F2 Disponibilidade Parental; F3 Metacomunicação; F4 Confiança P→F; F5 Confiança F→P; Total</t>
  </si>
  <si>
    <t xml:space="preserve">compap</t>
  </si>
  <si>
    <t xml:space="preserve">q_compap</t>
  </si>
  <si>
    <t xml:space="preserve">https://correiaricardina-ui.github.io/questionarios/COMPA_P.html</t>
  </si>
  <si>
    <t xml:space="preserve">Conners 3-P — Pais (Completa)</t>
  </si>
  <si>
    <t xml:space="preserve">Avalia sintomas de PHDA, aprendizagem e comportamento — versão pais completa (110 itens)</t>
  </si>
  <si>
    <t xml:space="preserve">Desatenção (IN); Hiperatividade/Impulsividade (HI); Problemas de Aprendizagem (LP); Funções Executivas (EF); Agressão (AG); Relações com os Pares (PR); Escala DSM — Desatenção (DSMI); Escala DSM — Hiperatividade/Impulsividade (DSMH); Perturbação do Comportamento (Conduta) (CD); Perturbação de Oposição/Desafio (ODD)</t>
  </si>
  <si>
    <t xml:space="preserve">conners3p_full</t>
  </si>
  <si>
    <t xml:space="preserve">q_conners3p_full</t>
  </si>
  <si>
    <t xml:space="preserve">https://correiaricardina-ui.github.io/questionarios/Conners3_Pais_Full.html</t>
  </si>
  <si>
    <t xml:space="preserve">Conners 3-P(S) — Pais (Curta)</t>
  </si>
  <si>
    <t xml:space="preserve">Avalia sintomas de PHDA, aprendizagem e comportamento — versão pais curta (45 itens)</t>
  </si>
  <si>
    <t xml:space="preserve">Desatenção (IN); Hiperatividade/Impulsividade (HI); Problemas de Aprendizagem (LP); Funções Executivas (EF); Agressão (AG); Relações com os Pares (PR)</t>
  </si>
  <si>
    <t xml:space="preserve">conners3ps</t>
  </si>
  <si>
    <t xml:space="preserve">q_conners3ps</t>
  </si>
  <si>
    <t xml:space="preserve">https://correiaricardina-ui.github.io/questionarios/Conners3_Pais_Short.html</t>
  </si>
  <si>
    <t xml:space="preserve">Conners 3-T — Professores (Completa)</t>
  </si>
  <si>
    <t xml:space="preserve">Avalia sintomas de PHDA, aprendizagem e comportamento — versão professores completa (115 itens)</t>
  </si>
  <si>
    <t xml:space="preserve">Desatenção (IN); Hiperatividade/Impulsividade (HI); Aprendizagem e Funções Executivas (LPEF); Agressão (AG); Relações com os Pares (PR); Escala DSM — Desatenção (DSMI); Escala DSM — Hiperatividade/Impulsividade (DSMH); Perturbação do Comportamento (Conduta) (CD); Perturbação de Oposição/Desafio (ODD)</t>
  </si>
  <si>
    <t xml:space="preserve">conners3t_full</t>
  </si>
  <si>
    <t xml:space="preserve">q_conners3t_full</t>
  </si>
  <si>
    <t xml:space="preserve">https://correiaricardina-ui.github.io/questionarios/Conners3_Professores_Full.html</t>
  </si>
  <si>
    <t xml:space="preserve">Conners 3-T(S) — Professores (Curta)</t>
  </si>
  <si>
    <t xml:space="preserve">Avalia sintomas de PHDA, aprendizagem e comportamento — versão professores curta (41 itens)</t>
  </si>
  <si>
    <t xml:space="preserve">Desatenção (IN); Hiperatividade/Impulsividade (HI); Aprendizagem e Funções Executivas (LPEF); Agressão (AG); Relações com os Pares (PR)</t>
  </si>
  <si>
    <t xml:space="preserve">conners3ts</t>
  </si>
  <si>
    <t xml:space="preserve">q_conners3ts</t>
  </si>
  <si>
    <t xml:space="preserve">https://correiaricardina-ui.github.io/questionarios/Conners3_Professores_Short.html</t>
  </si>
  <si>
    <t xml:space="preserve">C-SSRS — Columbia-Suicide Severity Rating Scale</t>
  </si>
  <si>
    <t xml:space="preserve">Clínico</t>
  </si>
  <si>
    <t xml:space="preserve">Crianças / Adolescentes / Adultos</t>
  </si>
  <si>
    <t xml:space="preserve">Avaliação clínica estruturada de ideação e comportamentos suicidas (Posner et al. 2008) — versões Crianças e Adolescentes/JA</t>
  </si>
  <si>
    <t xml:space="preserve">Ideação (Tipo 1–5); Tentativa Real; Tentativa Interrompida; Tentativa Abortada; Actos Preparatórios; Nível de Risco</t>
  </si>
  <si>
    <t xml:space="preserve">cssrs</t>
  </si>
  <si>
    <t xml:space="preserve">q_cssrs</t>
  </si>
  <si>
    <t xml:space="preserve">https://correiaricardina-ui.github.io/questionarios/CSSRS_v1.html</t>
  </si>
  <si>
    <t xml:space="preserve">C-SSRS-A — Risco Suicidário (Adolescente)</t>
  </si>
  <si>
    <t xml:space="preserve">12–18 anos</t>
  </si>
  <si>
    <t xml:space="preserve">Avaliação dimensional do risco suicidário em adolescentes (Ricardina Correia, 2026 · construção original PT-PT inspirada em Posner et al., 2011). Auto-administrada com supervisão clínica · SÓ Autoavaliação (sem heteroavaliação). 17 itens × 2 janelas (Vida + Últimos 3 meses). Bloco A (ideação) níveis ordinais 1-5; Bloco B (intensidade) 5 itens escala 1-5 (soma 5-25, cortes Baixa 5-10/Média 11-17/Alta 18-25); Bloco C (comportamento) Sim/Não; Bloco D (letalidade) 0-5. Classificação hierárquica: Mínimo → Baixo → Moderado → Elevado → Crítico. Não substitui juízo clínico nem versão validada para uso normativo.</t>
  </si>
  <si>
    <t xml:space="preserve">Ideação (Bloco A); Intensidade (Bloco B); Comportamento (Bloco C); Letalidade (Bloco D); Classificação (3 meses + Vida)</t>
  </si>
  <si>
    <t xml:space="preserve">c_ssrs_a</t>
  </si>
  <si>
    <t xml:space="preserve">q_c_ssrs_a</t>
  </si>
  <si>
    <t xml:space="preserve">https://correiaricardina-ui.github.io/questionarios/C-SSRS-A_Adolescente_v1.html</t>
  </si>
  <si>
    <t xml:space="preserve">C-SSRS-DC — Risco Suicidário (Défice Cognitivo)</t>
  </si>
  <si>
    <t xml:space="preserve">Qualquer idade</t>
  </si>
  <si>
    <t xml:space="preserve">Avaliação dimensional do risco suicidário em pessoas com limitação de auto-relato (perturbação do neurodesenvolvimento, demência, lesão cerebral, dificuldade comunicacional). Ricardina Correia (2026) · construção original PT-PT inspirada em Posner et al. (2011). Aplicação por entrevistador com suportes visuais (pictogramas, escala visual de intensidade), linguagem simplificada. Auto + Heteroavaliação por cuidador habitual (heteroavaliação preponderante quando auto-relato não fiável). INOVAÇÃO: Bloco A inclui opção "Não compreende" (regista indeterminação clínica formal — não conta como Sim nem como Não). Bloco B REDUZIDO a 3 itens (Frequência, Controlabilidade, Razões para viver) escala 0-2, soma 0-6 (cortes Baixa 0-2/Média 3-4/Alta 5-6). Classificação hierárquica: Mínimo → Baixo → Moderado → Elevado → Crítico.</t>
  </si>
  <si>
    <t xml:space="preserve">Ideação (Bloco A, c/ "Não compreende"); Intensidade (Bloco B, 3 itens); Comportamento (Bloco C); Letalidade (Bloco D); Classificação integrada Auto+Hetero</t>
  </si>
  <si>
    <t xml:space="preserve">c_ssrs_dc</t>
  </si>
  <si>
    <t xml:space="preserve">q_c_ssrs_dc</t>
  </si>
  <si>
    <t xml:space="preserve">https://correiaricardina-ui.github.io/questionarios/C-SSRS-DC_DeficeCognitivo_v1.html</t>
  </si>
  <si>
    <t xml:space="preserve">C-SSRS-P — Risco Suicidário (Pediátrica)</t>
  </si>
  <si>
    <t xml:space="preserve">6–11 anos</t>
  </si>
  <si>
    <t xml:space="preserve">Avaliação dimensional do risco suicidário em crianças (Ricardina Correia, 2026 · construção original PT-PT inspirada em Posner et al., 2011). Aplicação por entrevistador clínico · 17 itens × 2 janelas (Vida + Últimos 3 meses). Autoavaliação + Heteroavaliação por cuidador (integração final pelo critério mais grave — princípio conservador). Bloco A (ideação) níveis ordinais 1-5; Bloco B (intensidade) 5 itens escala 0-2 (soma 0-10, cortes Baixa 0-3/Média 4-6/Alta 7-10); Bloco C (comportamento) Sim/Não; Bloco D (letalidade) 0-5. Classificação hierárquica: Mínimo → Baixo → Moderado → Elevado → Crítico. Não substitui juízo clínico nem versão validada para uso normativo.</t>
  </si>
  <si>
    <t xml:space="preserve">Ideação (Bloco A); Intensidade (Bloco B); Comportamento (Bloco C); Letalidade (Bloco D); Classificação integrada Auto+Hetero</t>
  </si>
  <si>
    <t xml:space="preserve">c_ssrs_p</t>
  </si>
  <si>
    <t xml:space="preserve">q_c_ssrs_p</t>
  </si>
  <si>
    <t xml:space="preserve">https://correiaricardina-ui.github.io/questionarios/C-SSRS-P_Pediatrica_v1.html</t>
  </si>
  <si>
    <t xml:space="preserve">CTRF-15</t>
  </si>
  <si>
    <t xml:space="preserve">Avalia comportamento em contexto pré-escolar — versão educador</t>
  </si>
  <si>
    <t xml:space="preserve">Score Total</t>
  </si>
  <si>
    <t xml:space="preserve">ctrf15</t>
  </si>
  <si>
    <t xml:space="preserve">q_ctrf_15</t>
  </si>
  <si>
    <t xml:space="preserve">https://correiaricardina-ui.github.io/questionarios/CTRF_15_v2.html</t>
  </si>
  <si>
    <t xml:space="preserve">DERS — Dificuldades de Regulação Emocional</t>
  </si>
  <si>
    <t xml:space="preserve">14 anos+</t>
  </si>
  <si>
    <t xml:space="preserve">Avalia dificuldades multidimensionais na regulação emocional — auto-relato (adolescentes 14–17 e adultos)</t>
  </si>
  <si>
    <t xml:space="preserve">Não-Aceitação; Objetivos; Impulsos; Consciência; Estratégias; Clareza; Total</t>
  </si>
  <si>
    <t xml:space="preserve">ders</t>
  </si>
  <si>
    <t xml:space="preserve">q_ders</t>
  </si>
  <si>
    <t xml:space="preserve">https://correiaricardina-ui.github.io/questionarios/DERS_v1.html</t>
  </si>
  <si>
    <t xml:space="preserve">Diário de Episódios</t>
  </si>
  <si>
    <t xml:space="preserve">Registo inter-sessões de episódios em casa (ansiedade, desregulação, sono, somático, progresso, etc.). Os pais/cuidadores registam, à medida que acontecem, o contexto, a resposta da criança e a resposta dos próprios. Instrumento qualitativo de monitorização — sem cotação normativa; produz apenas síntese descritiva (nº de episódios, frequência por tipo e distribuição de intensidade) e o detalhe integral de cada episódio.</t>
  </si>
  <si>
    <t xml:space="preserve">Nº de episódios; Frequência por tipo; Distribuição de intensidade</t>
  </si>
  <si>
    <t xml:space="preserve">diario_episodios</t>
  </si>
  <si>
    <t xml:space="preserve">q_diario_episodios</t>
  </si>
  <si>
    <t xml:space="preserve">https://correiaricardina-ui.github.io/questionarios/Diario_Episodios_v1.html</t>
  </si>
  <si>
    <t xml:space="preserve">Dinâmica Exploratória de Pensamentos Intrusivos</t>
  </si>
  <si>
    <t xml:space="preserve">7–9 anos</t>
  </si>
  <si>
    <t xml:space="preserve">Protocolo clínico semiestruturado, administrado pela clínica com a criança presente, para explorar e caracterizar pensamentos intrusivos em idade escolar. Eliciação não-sugestiva através de cartões mediadores (vinhetas de outras crianças, apresentados um por ecrã) e escalas visuais (termómetro de intensidade 0–10, escala de frequência e de controlabilidade). Mapeia 8 eixos fenomenológicos (0–3 por eixo; total 0–24 por pensamento) e classifica em 5 padrões: P1 normativo desenvolvimental, P2 intrusão ansiosa pura, P3 suspeita de POC pediátrico, P4 risco auto-agressivo/ideação suicida (override G≥2), P5 intrusão pós-traumática. Inclui rastreio de risco obrigatório (princípios da C-SSRS) e bandeiras de alarme imediato. Baseado em Rachman (1981), Salkovskis (1985), Clark &amp; Rhyno (2005), Shafran et al. (1996), White &amp; Epston (1990), Hames et al. (2012), Posner et al. (2011). Instrumento ad-hoc, não validado psicometricamente — complemento da entrevista clínica; não substitui CY-BOCS, C-SSRS ou UCLA PTSD-RI quando indicados. Gera relatório imprimível (PDF). Corre localmente na sessão, sem sincronização para o Sheet.</t>
  </si>
  <si>
    <t xml:space="preserve">Egodistonia; Frequência; Controlabilidade; Significado; Neutralização; Interferência; Intencionalidade; Comunicação</t>
  </si>
  <si>
    <t xml:space="preserve">depi</t>
  </si>
  <si>
    <t xml:space="preserve">q_depi</t>
  </si>
  <si>
    <t xml:space="preserve">https://correiaricardina-ui.github.io/questionarios/Dinamica_Pensamentos_Intrusivos_v1.html</t>
  </si>
  <si>
    <t xml:space="preserve">DIVA-5</t>
  </si>
  <si>
    <t xml:space="preserve">Paciente, Cônjuge/Parceiro(a), Mãe, Pai, Enc. Educação, Clínico</t>
  </si>
  <si>
    <t xml:space="preserve">5 anos+</t>
  </si>
  <si>
    <t xml:space="preserve">Entrevista diagnóstica semiestruturada para a PHDA segundo o DSM-5 (Kooij &amp; Francken, 2019), nas três versões: DIVA-5 Adultos, Young DIVA-5 (crianças e adolescentes) e DIVA-5 ID (dificuldade intelectual). Os 18 critérios do DSM-5 — 9 de desatenção (A1–A9) e 9 de hiperatividade/impulsividade (H1–H9) — são avaliados em DOIS períodos: o período actual (adultez, Critério A) e a infância dos 5 aos 12 anos (Critério B). APLICAÇÃO A TRÊS INFORMADORES: o próprio (ambas as colunas), o cônjuge ou parceiro(a) (só o período actual) e os pais (só a infância) preenchem em SEPARADO e SEM SE CONSULTAREM, todos com o MESMO código de paciente. BLOQUEIO DURO DE ÂMBITO: cada informador só vê a coluna sobre a qual tem conhecimento direto — a outra não é renderizada e é submetida como não respondida. O próprio responde às duas colunas; o cônjuge ou parceiro(a) apenas ao período actual; mãe, pai, encarregado de educação e outro familiar apenas à infância. Na Young DIVA-5 o mesmo princípio aplica-se às colunas Jovem e Pais/EE. A restrição é estrutural e não uma instrução: com a coluna aberta, um informador bem-intencionado preenche-a a partir de relato em segunda mão, e como o Critério B é condição necessária e a agregação usa a regra «qualquer informador», esse relato entraria exactamente no critério que decide se há ou não apresentação diagnóstica. Custo aceite: um progenitor que convive hoje com a pessoa avaliada tem conhecimento direto do período actual e deixa de o poder registar por esta via. Os papéis Professor e Técnico/Cuidador ficam sem bloqueio, por o seu âmbito depender do caso. O painel agrega as submissões por código e produz uma grelha de convergência de 18 critérios × N informadores, assinalando os critérios em que os informadores divergem. A cotação composta agrega pela regra «qualquer informador» — um critério conta como presente num período se pelo menos um informador o endossou — mantendo sempre visíveis as contagens individuais, porque a divergência entre informadores é informação clínica e não erro de medida (o próprio subestima com frequência a hiperatividade; o parceiro e os pais servem para corroborar). INSTRUMENTO DE CRITÉRIOS, NÃO NORMATIVO: a cotação é contagem de critérios preenchidos face a um limiar (≥5 em cada domínio, ≥6 na Young DIVA-5 abaixo dos 17 anos). Não produz pontuações padronizadas, percentis nem T-scores, e não admite bandas de gravidade. O Critério B é CONDIÇÃO NECESSÁRIA: nenhuma apresentação diagnóstica é devolvida a partir apenas da coluna do período actual. O Critério A tem protecção simétrica: se a coluna do período actual não estiver preenchida, é devolvido INDETERMINADO e nunca «Não preenche critérios» — a submissão dos pais, que só cobre a infância, não pode ser lida como ausência de sintomatologia actual. São devolvidas DUAS LEITURAS EM PARALELO: a regra DSM-5-TR (Critério B ≥ 2, «vários sintomas» antes dos 12 anos) e a regra DIVA-5 formal (Critério B ≥ 5, o mesmo limiar em ambos os períodos). Quando as duas divergem, a sintomatologia de infância situa-se entre os dois limiares e essa divergência é ela própria informação clínica, a explicitar no relatório. A apresentação é SEMPRE PROVISÓRIA: os Critérios C (≥2 contextos), D (interferência) e E (exclusão de outro quadro) não são recolhidos por este formulário e têm de ser estabelecidos em entrevista — nenhuma conclusão diagnóstica pode assentar apenas nesta grelha. O respondente NÃO vê qualquer resultado: o ecrã final não mostra pontuações nem apresentação diagnóstica, e a cópia de segurança em CSV contém apenas as respostas em bruto.</t>
  </si>
  <si>
    <t xml:space="preserve">Desatenção — período actual / adultez (critérios A1–A9; Critério A, limiar ≥5); Desatenção — infância dos 5 aos 12 anos (critérios A1–A9; Critério B); Hiperatividade/Impulsividade — período actual / adultez (critérios H1–H9; Critério A, limiar ≥5); Hiperatividade/Impulsividade — infância dos 5 aos 12 anos (critérios H1–H9; Critério B); Estado do Critério A (não avaliado · parcialmente avaliado · preenchido · não preenchido), com contagem dos itens efectivamente respondidos na coluna do período actual; Estado do Critério B (mesmas quatro categorias), com contagem dos itens respondidos na coluna da infância — a contagem é o que distingue «sintoma ausente» de «período não avaliado»; Apresentação pela regra DSM-5-TR, Critério B ≥ 2 (combinada · predominantemente desatenta · predominantemente hiperativa/impulsiva · não preenche critérios · indeterminado); Apresentação pela regra DIVA-5 formal, Critério B ≥ 5 (mesmas categorias) — leitura mais exigente, apresentada lado a lado com a anterior; Âmbito atribuído por informador (período actual · infância · ambos), aplicado por bloqueio estrutural das colunas no formulário; Grelha de convergência entre informadores — 18 critérios × N informadores, com marcação dos critérios divergentes; Cotação composta por agregação «qualquer informador», calculada em separado para cada um dos dois períodos</t>
  </si>
  <si>
    <t xml:space="preserve">diva5</t>
  </si>
  <si>
    <t xml:space="preserve">q_diva5</t>
  </si>
  <si>
    <t xml:space="preserve">https://correiaricardina-ui.github.io/questionarios/DIVA5_v1.html</t>
  </si>
  <si>
    <t xml:space="preserve">EAFE</t>
  </si>
  <si>
    <t xml:space="preserve">Escola, Motivação &amp; Aprendizagem</t>
  </si>
  <si>
    <t xml:space="preserve">Entrevista de Análise Funcional do Estudo — avalia dificuldades de regulação emocional no estudo</t>
  </si>
  <si>
    <t xml:space="preserve">Défice Executivo (DE); Desmotivação Reativa (DR); Evitamento Emocional (EE); Dependência de Regulação Externa (DRE); Auto-Limitação Protectora (ALP)</t>
  </si>
  <si>
    <t xml:space="preserve">eafe</t>
  </si>
  <si>
    <t xml:space="preserve">q_eafe</t>
  </si>
  <si>
    <t xml:space="preserve">https://correiaricardina-ui.github.io/questionarios/EAFE_v2.html</t>
  </si>
  <si>
    <t xml:space="preserve">EAT-26</t>
  </si>
  <si>
    <t xml:space="preserve">Adolescentes / Adultos</t>
  </si>
  <si>
    <t xml:space="preserve">Rastreio de atitudes e comportamentos alimentares de risco (Garner et al., 1982)</t>
  </si>
  <si>
    <t xml:space="preserve">Dieta (D); Bulimia e Preocupação Alimentar (B); Controlo Oral (OC); Score Total (Total)</t>
  </si>
  <si>
    <t xml:space="preserve">eat26</t>
  </si>
  <si>
    <t xml:space="preserve">q_eat26</t>
  </si>
  <si>
    <t xml:space="preserve">https://correiaricardina-ui.github.io/questionarios/EAT26_v2.html</t>
  </si>
  <si>
    <t xml:space="preserve">ECE-FEA</t>
  </si>
  <si>
    <t xml:space="preserve">≥ 10 anos</t>
  </si>
  <si>
    <t xml:space="preserve">Avalia a função emocional da alimentação — ingestão emocional, controlo, fome, regulação e insight</t>
  </si>
  <si>
    <t xml:space="preserve">Dom. A — Ingestão Emocional; Dom. B — Perda de Controlo; Dom. C — Ingestão sem Fome; Dom. D — Função Reguladora; Dom. E — Consciência/Insight; Índice Global de Alimentação Emocional (IGAE)</t>
  </si>
  <si>
    <t xml:space="preserve">ece_fea</t>
  </si>
  <si>
    <t xml:space="preserve">q_ece_fea</t>
  </si>
  <si>
    <t xml:space="preserve">https://correiaricardina-ui.github.io/questionarios/ECE-FEA.html</t>
  </si>
  <si>
    <t xml:space="preserve">EDE-Q 6.0</t>
  </si>
  <si>
    <t xml:space="preserve">Avalia psicopatologia de perturbações alimentares — restrição, preocupações com alimentação, forma e peso (Fairburn &amp; Beglin, 2008)</t>
  </si>
  <si>
    <t xml:space="preserve">Restraint; Eating Concern; Shape Concern; Weight Concern; Global</t>
  </si>
  <si>
    <t xml:space="preserve">edeq</t>
  </si>
  <si>
    <t xml:space="preserve">q_edeq</t>
  </si>
  <si>
    <t xml:space="preserve">https://correiaricardina-ui.github.io/questionarios/EDEQ_v1.html</t>
  </si>
  <si>
    <t xml:space="preserve">EMP-F — Perfecionismo (Frost)</t>
  </si>
  <si>
    <t xml:space="preserve">Personalidade &amp; Esquemas</t>
  </si>
  <si>
    <t xml:space="preserve">Adolescentes / Adultos (≥ 12 anos)</t>
  </si>
  <si>
    <t xml:space="preserve">Avalia perfecionismo em seis dimensões (Frost et al., 1990) — preocupação com erros, dúvidas sobre ações, expectativas parentais, críticas parentais, padrões pessoais e organização; versão reduzida de 24 itens</t>
  </si>
  <si>
    <t xml:space="preserve">CM — Preocupações com Erros; DA — Dúvidas sobre Ações; PE — Expectativas Parentais; PC — Críticas Parentais; PS — Padrões Pessoais; O — Organização</t>
  </si>
  <si>
    <t xml:space="preserve">emp_f</t>
  </si>
  <si>
    <t xml:space="preserve">q_emp_f</t>
  </si>
  <si>
    <t xml:space="preserve">https://correiaricardina-ui.github.io/questionarios/EMP_F_v1.html</t>
  </si>
  <si>
    <t xml:space="preserve">EMP-H&amp;F — Perfecionismo (Hewitt &amp; Flett)</t>
  </si>
  <si>
    <t xml:space="preserve">Avalia perfecionismo em três dimensões — auto-orientado (PAO), socialmente prescrito (PSP) e orientado para os outros (POO); versão reduzida de 32 itens (Hewitt &amp; Flett, 1991)</t>
  </si>
  <si>
    <t xml:space="preserve">PAO — Auto-Orientado; PSP — Socialmente Prescrito; POO — Orientado para Outros; Total EMP-H&amp;F</t>
  </si>
  <si>
    <t xml:space="preserve">emp_hf</t>
  </si>
  <si>
    <t xml:space="preserve">q_emp_hf</t>
  </si>
  <si>
    <t xml:space="preserve">https://correiaricardina-ui.github.io/questionarios/EMP_HF_v1.html</t>
  </si>
  <si>
    <t xml:space="preserve">EPCAS-PE — Escala Pictórica de Competência Percebida e Aceitação Social</t>
  </si>
  <si>
    <t xml:space="preserve">Autoconceito &amp; Autoestima</t>
  </si>
  <si>
    <t xml:space="preserve">Psicóloga</t>
  </si>
  <si>
    <t xml:space="preserve">4–7 anos (pré-escolar e 1.º/2.º ano)</t>
  </si>
  <si>
    <t xml:space="preserve">Tradução PT-PT da Pictorial Scale of Perceived Competence and Social Acceptance for Young Children, Forma Pré-Escolar/Jardim de Infância (Harter &amp; Pike, 1983/1984), com administração individual pelo examinador: para cada item pictórico a criança escolhe qual das duas crianças ilustradas é mais parecida consigo e indica se é «muito» (círculo grande) ou «um pouco» (círculo pequeno) parecida — cotação 1–4 por item. 30 itens: 24 originais (4 subescalas × 6 itens — Competência Cognitiva, Competência Física, Aceitação pelos Pares, Aceitação Parental) + extensão Aparência Física (6 itens, ilustrações K. Eklund 2021–2022). Médias 1–4 por subescala (admite itens omissos: média sobre itens validamente administrados) e fatores ao nível do item: Competência Geral (Cognitiva+Física) e Aceitação Social (Pares+Parental). Inclui 2 itens de treino não cotados. Bandas exclusivamente descritivas (&lt;2,00 Baixa · 2,00–2,99 Média · ≥3,00 Elevada; sem normas portuguesas) — leitura clínica do psicólogo.</t>
  </si>
  <si>
    <t xml:space="preserve">Competência Cognitiva; Competência Física; Aceitação pelos Pares; Aceitação Parental; Aparência Física; Competência Geral; Aceitação Social</t>
  </si>
  <si>
    <t xml:space="preserve">epcas_pe</t>
  </si>
  <si>
    <t xml:space="preserve">q_epcas_pe</t>
  </si>
  <si>
    <t xml:space="preserve">https://correiaricardina-ui.github.io/questionarios/EPCAS_PE_v1.html</t>
  </si>
  <si>
    <t xml:space="preserve">ERC — Pais/Cuidadores</t>
  </si>
  <si>
    <t xml:space="preserve">3–18 anos</t>
  </si>
  <si>
    <t xml:space="preserve">Avalia a regulação emocional da criança — versão pais/cuidadores</t>
  </si>
  <si>
    <t xml:space="preserve">Labilidade/Negatividade (L/N); Regulação Emocional (RE); Total ERC</t>
  </si>
  <si>
    <t xml:space="preserve">erc_pais</t>
  </si>
  <si>
    <t xml:space="preserve">q_erc_pais</t>
  </si>
  <si>
    <t xml:space="preserve">https://correiaricardina-ui.github.io/questionarios/ERC_Pais_v1.html</t>
  </si>
  <si>
    <t xml:space="preserve">ERC — Professores</t>
  </si>
  <si>
    <t xml:space="preserve">Avalia a regulação emocional da criança — versão professor/educador</t>
  </si>
  <si>
    <t xml:space="preserve">erc_prof</t>
  </si>
  <si>
    <t xml:space="preserve">q_erc_prof</t>
  </si>
  <si>
    <t xml:space="preserve">https://correiaricardina-ui.github.io/questionarios/ERC_Professores_v1.html</t>
  </si>
  <si>
    <t xml:space="preserve">ERICA — Índice de Regulação Emocional (Crianças e Adolescentes)</t>
  </si>
  <si>
    <t xml:space="preserve">9–16 anos</t>
  </si>
  <si>
    <t xml:space="preserve">Avaliação multidimensional da qualidade da regulação emocional em crianças e adolescentes (MacDermott et al., 2010; adaptação PT Reverendo &amp; Machado, 2010). 16 itens de auto-relato em 3 subescalas com inversão automática de 10 itens. Polaridade simplificada: alta = adaptativo. Tempo de aplicação ~4-6 min.</t>
  </si>
  <si>
    <t xml:space="preserve">Controlo Emocional (CE); Autoconsciência Emocional (AE); Responsividade Situacional (RS); ERICA Total</t>
  </si>
  <si>
    <t xml:space="preserve">erica</t>
  </si>
  <si>
    <t xml:space="preserve">q_erica</t>
  </si>
  <si>
    <t xml:space="preserve">https://correiaricardina-ui.github.io/questionarios/ERICA_v1.html</t>
  </si>
  <si>
    <t xml:space="preserve">ERQ-CA — Questionário de Regulação Emocional (Crianças e Adolescentes)</t>
  </si>
  <si>
    <t xml:space="preserve">10–18 anos</t>
  </si>
  <si>
    <t xml:space="preserve">Auto-relato breve (10 itens, ~3-5 min) de duas estratégias do modelo processual de regulação emocional de Gross (1998): Reavaliação Cognitiva (adaptativa, antecedente) e Supressão Expressiva (menos adaptativa, focada na resposta). Adaptação Gullone &amp; Taffe (2012); tradução PT Ana Nunes (sem validação psicométrica formal — uso restrito a investigação). Painel clínico permite alternar entre 6 grupos normativos (Global / etário / sexo).</t>
  </si>
  <si>
    <t xml:space="preserve">Reavaliação Cognitiva (RC); Supressão Expressiva (SE)</t>
  </si>
  <si>
    <t xml:space="preserve">erqca</t>
  </si>
  <si>
    <t xml:space="preserve">q_erq_ca</t>
  </si>
  <si>
    <t xml:space="preserve">https://correiaricardina-ui.github.io/questionarios/ERQ_CA_v1.html</t>
  </si>
  <si>
    <t xml:space="preserve">FACES-IV adap — Coesão e Flexibilidade Familiar</t>
  </si>
  <si>
    <t xml:space="preserve">Mãe, Pai, Filho(a), Cuidador(a), Outro familiar</t>
  </si>
  <si>
    <t xml:space="preserve">≥12 anos</t>
  </si>
  <si>
    <t xml:space="preserve">Avaliação exploratória do funcionamento familiar por autorrelato (42 itens, escala 1-5) em 6 escalas: 2 equilibradas (Coesão Equilibrada, Flexibilidade Equilibrada) e 4 desequilibradas (Desagregada, Emaranhada, Rígida, Caótica). Adaptação inspirada (Via B) no Modelo Circumplexo de Olson (FACES-IV) — NÃO reproduz o instrumento original nem as suas normas. Sem normas portuguesas: resultados descritivos por POMP %, rácios de equilíbrio (Coesão, Flexibilidade e Circumplexo Total) e posicionamento no modelo. A interpretação clínica é da responsabilidade do psicólogo.</t>
  </si>
  <si>
    <t xml:space="preserve">Coesão Equilibrada (CE); Flexibilidade Equilibrada (FE); Desagregada (DES); Emaranhada (EMA); Rígida (RIG); Caótica (CAO); Rácio Circumplexo Total</t>
  </si>
  <si>
    <t xml:space="preserve">faces_iv_adap</t>
  </si>
  <si>
    <t xml:space="preserve">q_facesivadap</t>
  </si>
  <si>
    <t xml:space="preserve">https://correiaricardina-ui.github.io/questionarios/FACES_IV_adap.html</t>
  </si>
  <si>
    <t xml:space="preserve">FAD-60 — Family Assessment Device</t>
  </si>
  <si>
    <t xml:space="preserve">Mãe, Pai, Enc. Educação, Outro familiar</t>
  </si>
  <si>
    <t xml:space="preserve">Família</t>
  </si>
  <si>
    <t xml:space="preserve">Avaliação do funcionamento familiar em 7 subescalas — 60 itens (Epstein et al., 1983)</t>
  </si>
  <si>
    <t xml:space="preserve">Resolução de Problemas (PS); Comunicação (CO); Papéis Familiares (RO); Responsividade Afetiva (AR); Envolvimento Afetivo (AI); Controlo Comportamental (BC); Funcionamento Geral (GF)</t>
  </si>
  <si>
    <t xml:space="preserve">fad_60</t>
  </si>
  <si>
    <t xml:space="preserve">q_fad_60</t>
  </si>
  <si>
    <t xml:space="preserve">https://correiaricardina-ui.github.io/questionarios/FAD_60_v1.html</t>
  </si>
  <si>
    <t xml:space="preserve">FAD-GF — Funcionamento Geral da Família</t>
  </si>
  <si>
    <t xml:space="preserve">Avaliação do funcionamento familiar global — 12 itens (Epstein et al., 1983)</t>
  </si>
  <si>
    <t xml:space="preserve">Score FAD-GF; Classificação</t>
  </si>
  <si>
    <t xml:space="preserve">fad_gf</t>
  </si>
  <si>
    <t xml:space="preserve">q_fad_gf</t>
  </si>
  <si>
    <t xml:space="preserve">https://correiaricardina-ui.github.io/questionarios/FAD_GF_v2.html</t>
  </si>
  <si>
    <t xml:space="preserve">FAS — Autorrelato Adolescência TOC</t>
  </si>
  <si>
    <t xml:space="preserve">11–17 anos</t>
  </si>
  <si>
    <t xml:space="preserve">Autorrelato Adolescência (11-17 anos) · Calvocoressi/Flessner (adaptação Via B PT-EU). Linguagem adolescente formal — o(a) jovem avalia os seus sintomas TOC e a acomodação dos pais. Estrutura completa: Bloco A (16 cat.), Bloco B+C (PAR 5 + MOD 4 + SOF + CON), Bloco D (UP/DC/AENA). Todos os indicadores: Obs/Comp, DS, DOC, PAR, MOD, Total, RAS, IRC. Mesmos alertas (CMO ≥ 3, RAS &gt; 8, IRC ≥ 9). Excepcionalmente útil para articulação com a versão Parental: divergências sistemáticas pais-adolescente sinalizam discordâncias sobre a natureza dos rituais ou sobre o nível de acomodação efectivamente prestada.</t>
  </si>
  <si>
    <t xml:space="preserve">Obs / Comp / DS / DOC; PAR (0-20) / MOD (0-16); Acomodação Total (0-36); SOF, RC, CMO, RAS; UP / DC / AENA; IRC (0-12)</t>
  </si>
  <si>
    <t xml:space="preserve">fas_cr_adolescencia</t>
  </si>
  <si>
    <t xml:space="preserve">q_fas_cr_adolescencia</t>
  </si>
  <si>
    <t xml:space="preserve">https://correiaricardina-ui.github.io/questionarios/FAS_CR_Adolescencia.html</t>
  </si>
  <si>
    <t xml:space="preserve">FAS — Autorrelato Infância TOC</t>
  </si>
  <si>
    <t xml:space="preserve">7–10 anos</t>
  </si>
  <si>
    <t xml:space="preserve">Autorrelato Infância (7-10 anos) · Calvocoressi/Flessner (adaptação Via B PT-EU). Linguagem infantil — a criança avalia as suas preocupações/rituais e a acomodação dos pais. Bloco A — Checklist (16 cat. TOC com linguagem infantil); Bloco B+C (PAR 5 + MOD 4 + SOF + CON); Bloco D — Crenças: UP (item 14), DC (item 15), AENA (item 16). Todos os indicadores TOC: Obs/Comp, DS, DOC, RAS. Adicionalmente IRC (0-12). Alertas: CMO ≥ 3, RAS &gt; 8, IRC ≥ 9 (a criança dá utilidade percebida alta + quer continuidade + baixa autoeficácia para lidar sozinha — dependência cognitiva relativamente à acomodação).</t>
  </si>
  <si>
    <t xml:space="preserve">fas_cr_infancia</t>
  </si>
  <si>
    <t xml:space="preserve">q_fas_cr_infancia</t>
  </si>
  <si>
    <t xml:space="preserve">https://correiaricardina-ui.github.io/questionarios/FAS_CR_Infancia.html</t>
  </si>
  <si>
    <t xml:space="preserve">FAS — Versão Parental (TOC)</t>
  </si>
  <si>
    <t xml:space="preserve">7–18 anos</t>
  </si>
  <si>
    <t xml:space="preserve">Versão Parental · Calvocoressi/Flessner (adaptação Via B PT-EU). Avalia a acomodação familiar aos sintomas obsessivo-compulsivos do(a) filho(a). Bloco A — Checklist sintomático (16 categorias dicotómicas: 8 Obsessões + 8 Compulsões); Bloco B — Acomodação (PAR 5 itens 0-20 + MOD 4 itens 0-16); Bloco C — Sofrimento/Consequências. Indicadores derivados: Obs/Comp (0-8 cada), DS (Diversidade Sintomática 0-16: Focal/Moderada/Alargada/Difusa), DOC (Diferencial Obs−Comp −8 a +8: Pred. Compulsivo/Equilibrado/Pred. Obsessivo), Acomodação Total 0-36, RAS (Razão Acomodação/Sintoma = Total ÷ DS: Dispersa &lt;2.5 / Distribuída ≤5 / Concentrada ≤8 / Hiperconcentrada &gt;8 ⚠). Alertas: CMO ≥ 3, RAS &gt; 8 (perfil "muita acomodação para pouco sintoma", típico de TOC focal). Orienta diagnóstico diferencial e plano terapêutico (ERP com envolvimento parental).</t>
  </si>
  <si>
    <t xml:space="preserve">Obs / Comp (0-8 cada); DS (0-16) / DOC (-8 a +8); PAR (0-20) / MOD (0-16); Acomodação Total (0-36); SOF, RC, CMO; RAS (Total/DS); Categorias presentes</t>
  </si>
  <si>
    <t xml:space="preserve">fas_parental</t>
  </si>
  <si>
    <t xml:space="preserve">q_fas_parental</t>
  </si>
  <si>
    <t xml:space="preserve">https://correiaricardina-ui.github.io/questionarios/FAS_Parental.html</t>
  </si>
  <si>
    <t xml:space="preserve">FASA — Autorrelato Adolescência</t>
  </si>
  <si>
    <t xml:space="preserve">Autorrelato Adolescência (11-17 anos) · Lebowitz et al. (adaptação Via B PT-EU). Linguagem adolescente formal — o(a) jovem avalia o envolvimento dos pais nas suas preocupações ansiosas. 16 itens idênticos em estrutura à versão Infância (PAR, MOD, SOF, CON, Bloco D — UP/DC/AENA). Acomodação Total 0-36. IRC 0-12. Alertas CMO ≥ 3 e IRC ≥ 9. Útil para articular percepções da díade pais-adolescente (comparar com versão Parental quando disponível).</t>
  </si>
  <si>
    <t xml:space="preserve">PAR (0-16); MOD (0-20); Acomodação Total (0-36); SOF, RC, CMO; UP / DC / AENA; IRC (0-12)</t>
  </si>
  <si>
    <t xml:space="preserve">fasa_cr_adolescencia</t>
  </si>
  <si>
    <t xml:space="preserve">q_fasa_cr_adolescencia</t>
  </si>
  <si>
    <t xml:space="preserve">https://correiaricardina-ui.github.io/questionarios/FASA_CR_Adolescencia.html</t>
  </si>
  <si>
    <t xml:space="preserve">FASA — Autorrelato Infância</t>
  </si>
  <si>
    <t xml:space="preserve">Autorrelato Infância (7-10 anos) · Lebowitz et al. (adaptação Via B PT-EU). Linguagem infantil — a criança avalia o envolvimento dos pais nas suas preocupações ansiosas. 16 itens: PAR (1-4, 0-16), MOD (5-9, 0-20), SOF (item 10), CON (11-13), Bloco D — Crenças: UP (Utilidade Percebida, item 14), DC (Desejo de Continuidade, item 15), AENA (Autoeficácia para Não-Acomodação, item 16, direção inversa). Acomodação Total 0-36 (mesmas bandas que Parental). IRC = UP + DC + (4 − AENA), 0-12: Baixa (0-4) / Moderada (5-8) / Elevada (9-12 ⚠). Alertas: CMO ≥ 3, IRC ≥ 9 (dependência cognitiva da acomodação).</t>
  </si>
  <si>
    <t xml:space="preserve">fasa_cr_infancia</t>
  </si>
  <si>
    <t xml:space="preserve">q_fasa_cr_infancia</t>
  </si>
  <si>
    <t xml:space="preserve">https://correiaricardina-ui.github.io/questionarios/FASA_CR_Infancia.html</t>
  </si>
  <si>
    <t xml:space="preserve">FASA — Versão Parental</t>
  </si>
  <si>
    <t xml:space="preserve">2–18 anos</t>
  </si>
  <si>
    <t xml:space="preserve">Versão Parental · Lebowitz et al. (adaptação Via B PT-EU). Avalia o envolvimento dos pais/cuidadores na acomodação familiar aos sintomas ansiosos da criança/adolescente, ao longo do último mês. 13 itens em 4 subescalas: PAR (Participação directa, itens 1-4, 0-16); MOD (Modificação de rotinas, itens 5-9, 0-20); SOF (Sofrimento parental, item 10, 0-4); CON (Consequências da não-acomodação, itens 11-13, 0-4). Acomodação Total 0-36 com bandas: Mínima (0-8), Ligeira/Moderada (9-17), Acentuada (18-26), Severa (27-36). Indicadores complementares: RC (Reatividade, média 11-13) e CMO (Consequência Máxima Observada). Alerta CMO ≥ 3 sinaliza risco de escalada perante não-acomodação. Orienta para intervenção SPACE ou equivalente.</t>
  </si>
  <si>
    <t xml:space="preserve">PAR (0-16); MOD (0-20); Acomodação Total (0-36); SOF (item 10); RC (média 11-13); CMO (máx 11-13)</t>
  </si>
  <si>
    <t xml:space="preserve">fasa_parental</t>
  </si>
  <si>
    <t xml:space="preserve">q_fasa_parental</t>
  </si>
  <si>
    <t xml:space="preserve">https://correiaricardina-ui.github.io/questionarios/FASA_Parental.html</t>
  </si>
  <si>
    <t xml:space="preserve">FSSC-R</t>
  </si>
  <si>
    <t xml:space="preserve">Inventário de medos infantis com 5 fatores e 4 normas — Ollendick (1978/1983)</t>
  </si>
  <si>
    <t xml:space="preserve">Total; F1 Falhanço; F2 Desconhecido; F3 Animais/Fer.; F4 Perigo/Morte; F5 Médico; "Muito"</t>
  </si>
  <si>
    <t xml:space="preserve">fsscr</t>
  </si>
  <si>
    <t xml:space="preserve">q_fsscr</t>
  </si>
  <si>
    <t xml:space="preserve">https://correiaricardina-ui.github.io/questionarios/FSSC_R_v1.html</t>
  </si>
  <si>
    <t xml:space="preserve">GAI — Grelha de Automonitorização Interocetiva</t>
  </si>
  <si>
    <t xml:space="preserve">Paciente (jovem, em sessão)</t>
  </si>
  <si>
    <t xml:space="preserve">Instrumento de automonitorização interocetiva, autorrelato do jovem em sessão (variante de pais prevista). Regista a perceção do próprio corpo na última semana em 7 dimensões (fome, saciedade, sono, cansaço, trânsito intestinal, temperatura, concentração), cada uma cotada por disregulação (0=regulado … 3=mais preocupante), mais um bloco de preocupação com o corpo (lanugo, queda de cabelo, sensação de frio, evitamento de roupa, perceção de magreza, inchaço) e campo de texto livre. Dois índices: Eixo Somático-Regulatório (sono+cansaço+temperatura+concentração, 0–12) e Eixo Apetitivo-Corporal (fome+saciedade+trânsito + preocupação corporal). A dissociação entre eixos (somático regulado / apetitivo-corporal elevado) é o dado clínico central, para acompanhamento longitudinal. Marcadores nutricionais (lanugo, queda de cabelo, frio) são sinalizados à equipa médica, não cotados como gravidade psicológica. Instrumento ad-hoc, não validado psicometricamente — observação, não conclusão; complementa a entrevista clínica e triangula com hetero-relato. Ricardina Correia, 2026.</t>
  </si>
  <si>
    <t xml:space="preserve">Eixo Somático-Regulatório; Eixo Apetitivo-Corporal; Dimensões em alerta; Marcadores nutricionais</t>
  </si>
  <si>
    <t xml:space="preserve">gai</t>
  </si>
  <si>
    <t xml:space="preserve">q_gai</t>
  </si>
  <si>
    <t xml:space="preserve">https://correiaricardina-ui.github.io/questionarios/GAI_Automonitorizacao_Interocetiva_v1.html</t>
  </si>
  <si>
    <t xml:space="preserve">IIM — Adolescentes/Adultos</t>
  </si>
  <si>
    <t xml:space="preserve">Orientação Vocacional &amp; Inteligências</t>
  </si>
  <si>
    <t xml:space="preserve">Auto-relato adolescente/adulto de preferências e competências por inteligência (Gardner, 1983/1995). Aplicação clínica em orientação vocacional, autoconhecimento e identificação de domínios de eleição. Avalia AUTO-PERCEÇÃO — NÃO substitui provas de aptidão.</t>
  </si>
  <si>
    <t xml:space="preserve">Inteligência Linguística (LING); Inteligência Lógico-Matemática (LOGM); Inteligência Espacial (ESPA); Inteligência Musical (MUSI); Inteligência Corporal-Cinestésica (CORP); Inteligência Interpessoal (INTER); Inteligência Intrapessoal (INTRA); Inteligência Naturalista (NATU); Inteligências Académicas (índice) (IIA); Inteligências Estético-Sensoriais (índice) (IIES); Inteligências Pessoais (índice) (IIP); Inteligência Naturalista (índice) (IIN); Índice Geral Multifactorial (IGM); Índice de Diversidade do Perfil (IDE); Discrepância Inter-Intra (DIE); Inteligência Dominante (DOM)</t>
  </si>
  <si>
    <t xml:space="preserve">iimadoladultos</t>
  </si>
  <si>
    <t xml:space="preserve">q_iim_adoladultos</t>
  </si>
  <si>
    <t xml:space="preserve">https://correiaricardina-ui.github.io/questionarios/IIM_AdolAdultos_v1.html</t>
  </si>
  <si>
    <t xml:space="preserve">IIM — Crianças</t>
  </si>
  <si>
    <t xml:space="preserve">8–12 anos</t>
  </si>
  <si>
    <t xml:space="preserve">Auto-relato infantil de preferências e competências por inteligência (Gardner, 1983/1995). Linguagem adaptada à criança. Avalia AUTO-PERCEÇÃO — não capacidade real medida. Orientação para autoconhecimento e identificação de áreas de força.</t>
  </si>
  <si>
    <t xml:space="preserve">iimcriancas</t>
  </si>
  <si>
    <t xml:space="preserve">q_iim_criancas</t>
  </si>
  <si>
    <t xml:space="preserve">https://correiaricardina-ui.github.io/questionarios/IIM_Criancas_v1.html</t>
  </si>
  <si>
    <t xml:space="preserve">IIM — Heterorrelato</t>
  </si>
  <si>
    <t xml:space="preserve">Mãe, Pai, Enc. Educação, Professor(a), Diretor(a) de Turma</t>
  </si>
  <si>
    <t xml:space="preserve">Mapear o perfil de auto-perceção de preferências e competências por inteligência (Gardner, 1983/1995) — versão preenchida por pais/professores. Orientação vocacional, autoconhecimento e identificação de áreas de força. NÃO substitui WISC-V/BAEM/MAT.</t>
  </si>
  <si>
    <t xml:space="preserve">iimhetero</t>
  </si>
  <si>
    <t xml:space="preserve">q_iim_hetero</t>
  </si>
  <si>
    <t xml:space="preserve">https://correiaricardina-ui.github.io/questionarios/IIM_Heterorrelato_v1.html</t>
  </si>
  <si>
    <t xml:space="preserve">IMC-C — Inventário de Maturidade na Carreira (Forma C)</t>
  </si>
  <si>
    <t xml:space="preserve">Jovem avaliado, Paciente</t>
  </si>
  <si>
    <t xml:space="preserve">Ensino Secundário</t>
  </si>
  <si>
    <t xml:space="preserve">Avaliar a maturidade/adaptabilidade vocacional: prontidão para decisões de carreira</t>
  </si>
  <si>
    <t xml:space="preserve">Preocupação; Curiosidade; Confiança; Consulta/Controlo; Escala Total</t>
  </si>
  <si>
    <t xml:space="preserve">imc_c</t>
  </si>
  <si>
    <t xml:space="preserve">q_imc_c</t>
  </si>
  <si>
    <t xml:space="preserve">https://correiaricardina-ui.github.io/questionarios/IMC_C.html</t>
  </si>
  <si>
    <t xml:space="preserve">IPP-R — Interesses e Preferências Profissionais</t>
  </si>
  <si>
    <t xml:space="preserve">≥14 anos</t>
  </si>
  <si>
    <t xml:space="preserve">Avaliar interesses e preferências profissionais em 15 campos vocacionais</t>
  </si>
  <si>
    <t xml:space="preserve">Ciências (CIE); Tecnologias (TEC); Saúde (SAU); Ciências Sociais – Humanidades (CSH); Ciências Sociais – Jurídico (CSJ); Comunicação, Publicidade, Audiovisual (CPA); Educação (EDU); Financeiro, Administrativo, Comercial (FAC); Informática (INF); Agricultura, Pecuária, Ambiente (APA); Expressão Artística – BMA (BMA); Expressão Artística – MDR (MDR); Forças Armadas, Segurança, Proteção (FSP); Desporto (DES); Turismo, Hotelaria, Restauração (THR)</t>
  </si>
  <si>
    <t xml:space="preserve">ippr</t>
  </si>
  <si>
    <t xml:space="preserve">q_ippr</t>
  </si>
  <si>
    <t xml:space="preserve">https://correiaricardina-ui.github.io/questionarios/IPP-R_v1.html</t>
  </si>
  <si>
    <t xml:space="preserve">ISAS — Inventário de Afirmações sobre Autolesão</t>
  </si>
  <si>
    <t xml:space="preserve">Paciente/Adolescente, Adulto</t>
  </si>
  <si>
    <t xml:space="preserve">12–25 anos</t>
  </si>
  <si>
    <t xml:space="preserve">Auto-resposta · Klonsky &amp; Glenn (2009). Caracterização de comportamentos de autolesão não suicida (Secção I — 12 comportamentos + 7 questões contextuais) e identificação funcional das 13 funções subjacentes (Secção II — 39 itens Likert 0-2 organizados em 6 funções intrapessoais e 7 interpessoais). Score por função 0-6 (Baixa 0-2 / Média 3-4 / Alta 5-6). Domínios: Intrapessoal 0-36 (Reg. afecto, Anti-dissociação, Anti-suicídio, Marcar sofrimento, Auto-punição, Endurecimento) e Interpessoal 0-42 (Autonomia, Limites interpessoais, Influência, Vinculação a pares, Vingança, Auto-cuidado, Procura de sensações). TOTAL 0-78 com bandas: Sem investimento 0 / Baixo 1-26 / Moderado 27-52 / Elevado 53-78. Perfis funcionais: Baixo investimento funcional, Intrapessoal predominante, Interpessoal predominante, Misto. Alertas críticos: Anti-suicídio ≥4 (articular com EADRS-A e pedopsiquiatria), Auto-punição ≥4 (trabalho sobre auto-conceito e auto-crítica), Influência interpessoal ≥4 (dinâmica familiar e sinalização).</t>
  </si>
  <si>
    <t xml:space="preserve">Caracterização (Sec. I); 13 funções (Sec. II); Intrapessoal (0-36); Interpessoal (0-42); TOTAL (0-78); Perfil funcional; Top 3 funções; Alertas críticos (AS/AP/IN)</t>
  </si>
  <si>
    <t xml:space="preserve">isas</t>
  </si>
  <si>
    <t xml:space="preserve">q_isas</t>
  </si>
  <si>
    <t xml:space="preserve">https://correiaricardina-ui.github.io/questionarios/ISAS_v1.html</t>
  </si>
  <si>
    <t xml:space="preserve">ISC-24 — Somatização</t>
  </si>
  <si>
    <t xml:space="preserve">Paciente, Criança avaliada, Jovem avaliado, Mãe, Pai, Enc. Educação</t>
  </si>
  <si>
    <t xml:space="preserve">Avalia presença e intensidade de sintomas somáticos nas últimas 2 semanas (24 itens; Ferreira, Martins, Monteiro &amp; Pereira, 2014 — adaptação portuguesa do CSI-24)</t>
  </si>
  <si>
    <t xml:space="preserve">Pontuação Total; Cardiopulmonar; Pseudoneurológico; Gastrointestinal; Dor</t>
  </si>
  <si>
    <t xml:space="preserve">isc24</t>
  </si>
  <si>
    <t xml:space="preserve">q_isc24</t>
  </si>
  <si>
    <t xml:space="preserve">https://correiaricardina-ui.github.io/questionarios/ISC24.html</t>
  </si>
  <si>
    <t xml:space="preserve">ISS-I / ESI — Inventário de Sintomas de Stress Infantil</t>
  </si>
  <si>
    <t xml:space="preserve">6–14 anos</t>
  </si>
  <si>
    <t xml:space="preserve">Auto-relato infantil (33 itens · Likert 0-4 · ~10-15 min) da sintomatologia de stress em 4 domínios: F (Reações Físicas), P (Reações Psicológicas), D (Comp. Depressivo) e PF (Reações Psicofisiológicas). 4 itens sentinela (22, 23, 24, 25 — alerta clínico se ≥ 2). SEM normas portuguesas — leitura criterial (≤25/26-45/46-65/&gt;65 % do máximo) + leitura desenvolvimental por faixa etária (6-8 / 9-11 / 12-14 anos). Lucarelli &amp; Lipp (1998) · adaptação técnica PT-PT.</t>
  </si>
  <si>
    <t xml:space="preserve">Reações Físicas (F); Reações Psicológicas (P); Reações Psic. Comp. Depressivo (D); Reações Psicofisiológicas (PF); Score Total (TOTAL)</t>
  </si>
  <si>
    <t xml:space="preserve">iss_esi</t>
  </si>
  <si>
    <t xml:space="preserve">q_iss_esi</t>
  </si>
  <si>
    <t xml:space="preserve">https://correiaricardina-ui.github.io/questionarios/ISS_ESI_v1.html</t>
  </si>
  <si>
    <t xml:space="preserve">IVP de Super — Inventário de Valores Profissionais</t>
  </si>
  <si>
    <t xml:space="preserve">Ensino Secundário / Adultos</t>
  </si>
  <si>
    <t xml:space="preserve">Avaliar os valores profissionais em 15 dimensões: Criatividade, Altruísmo, Estético, Estimulação Intelectual, Êxito, Independência, Prestígio, Direcção, Económico, Segurança, Ambiente, Rel. Superiores, Rel. Colegas, Variedade, Género de Vida</t>
  </si>
  <si>
    <t xml:space="preserve">Criatividade; Altruísmo; Estético; Estimulação Intelectual; Êxito; Independência; Prestígio; Direcção; Económico; Segurança; Ambiente; Relação com os Superiores; Relação com os Colegas; Variedade; Género de Vida</t>
  </si>
  <si>
    <t xml:space="preserve">ivp_super</t>
  </si>
  <si>
    <t xml:space="preserve">q_ivp_super</t>
  </si>
  <si>
    <t xml:space="preserve">https://correiaricardina-ui.github.io/questionarios/IVP_Super_v1.html</t>
  </si>
  <si>
    <t xml:space="preserve">JTCI — Inventário Júnior de Temperamento e Caráter</t>
  </si>
  <si>
    <t xml:space="preserve">9–18 anos</t>
  </si>
  <si>
    <t xml:space="preserve">Avalia temperamento (NS, HA, RD, P) e caráter (SD, CO) — 92 itens, autorrelato (Mondoni 2010 · Moreira et al. 2012)</t>
  </si>
  <si>
    <t xml:space="preserve">Procura de Novidade (NS); Evitamento do Dano (HA); Dependência da Recompensa (RD); Persistência (P); Autodirecionamento (SD); Cooperação (CO)</t>
  </si>
  <si>
    <t xml:space="preserve">jtci92</t>
  </si>
  <si>
    <t xml:space="preserve">q_jtci92</t>
  </si>
  <si>
    <t xml:space="preserve">https://correiaricardina-ui.github.io/questionarios/JTCI_92.html</t>
  </si>
  <si>
    <t xml:space="preserve">Kidcope — Adolescentes (13–18 anos)</t>
  </si>
  <si>
    <t xml:space="preserve">13–18 anos</t>
  </si>
  <si>
    <t xml:space="preserve">Avalia frequência (0–3) e eficácia percebida (0–4) de estratégias de coping; inclui flags de discrepância Frequência-Eficácia e perfil integrado A-E-D (Spirito, Stark &amp; Williams, 1988)</t>
  </si>
  <si>
    <t xml:space="preserve">Estilo Adaptativo; Estilo Evitativo; Estilo Disfuncional; Índice Global; Flags F-E; Perfil A-E-D</t>
  </si>
  <si>
    <t xml:space="preserve">kidcope_ad</t>
  </si>
  <si>
    <t xml:space="preserve">q_kidcope_ad</t>
  </si>
  <si>
    <t xml:space="preserve">https://correiaricardina-ui.github.io/questionarios/Kidcope_Adolescentes_v1.html</t>
  </si>
  <si>
    <t xml:space="preserve">Kidcope — Crianças (7–12 anos)</t>
  </si>
  <si>
    <t xml:space="preserve">Paciente, Criança avaliada</t>
  </si>
  <si>
    <t xml:space="preserve">7–12 anos</t>
  </si>
  <si>
    <t xml:space="preserve">Avalia estratégias de coping face a situações de stress (uso binário Sim/Não + eficácia 0–2); perfil integrado A-E-D com 27 combinações clínicas (Spirito, Stark &amp; Williams, 1988)</t>
  </si>
  <si>
    <t xml:space="preserve">Estilo Adaptativo; Estilo Evitativo; Estilo Disfuncional; Índice Global; Perfil A-E-D</t>
  </si>
  <si>
    <t xml:space="preserve">kidcope_cr</t>
  </si>
  <si>
    <t xml:space="preserve">q_kidcope_cr</t>
  </si>
  <si>
    <t xml:space="preserve">https://correiaricardina-ui.github.io/questionarios/Kidcope_Criancas_v1.html</t>
  </si>
  <si>
    <t xml:space="preserve">LDS — Desenvolvimento Linguagem</t>
  </si>
  <si>
    <t xml:space="preserve">18–35 meses</t>
  </si>
  <si>
    <t xml:space="preserve">Rastreio do desenvolvimento da linguagem — MacArthur adaptado</t>
  </si>
  <si>
    <t xml:space="preserve">Vocabulário; Comprimento Médio do Enunciado (MLU)</t>
  </si>
  <si>
    <t xml:space="preserve">lds</t>
  </si>
  <si>
    <t xml:space="preserve">q_lds</t>
  </si>
  <si>
    <t xml:space="preserve">https://correiaricardina-ui.github.io/questionarios/LDS_v2.html</t>
  </si>
  <si>
    <t xml:space="preserve">MABC-2 — Lista de Verificação</t>
  </si>
  <si>
    <t xml:space="preserve">Professor(a), Educador(a), Mãe, Pai, Enc. Educação</t>
  </si>
  <si>
    <t xml:space="preserve">5–12 anos</t>
  </si>
  <si>
    <t xml:space="preserve">Rastreio heteroavaliado das dificuldades de coordenação motora no quotidiano (Movement ABC-2 Checklist, Henderson, Sugden &amp; Barnett). Preenchido por adulto que observa a criança: Secção A (movimento em ambiente estático/previsível) e Secção B (movimento em ambiente dinâmico/imprevisível), cada uma 0–3/NO; Secção C regista fatores não motores (Sim/Não). Cotação com imputação por «Não Observado» e semáforo normativo por idade (apenas no painel clínico).</t>
  </si>
  <si>
    <t xml:space="preserve">Secção A — Estático/Previsível; Secção B — Dinâmico/Imprevisível; Total Motor (A+B); Secção C — Fatores não motores</t>
  </si>
  <si>
    <t xml:space="preserve">mabc2_checklist</t>
  </si>
  <si>
    <t xml:space="preserve">q_mabc2_checklist</t>
  </si>
  <si>
    <t xml:space="preserve">https://correiaricardina-ui.github.io/questionarios/MABC2_Checklist_v1.html</t>
  </si>
  <si>
    <t xml:space="preserve">MAP — Adolescência 12–14 anos</t>
  </si>
  <si>
    <t xml:space="preserve">12–14 anos</t>
  </si>
  <si>
    <t xml:space="preserve">Mapeamento parental sistémico — Adolescência 12–14 anos</t>
  </si>
  <si>
    <t xml:space="preserve">Funcionamento Parental; Rotinas; Práticas Educativas</t>
  </si>
  <si>
    <t xml:space="preserve">map_1214</t>
  </si>
  <si>
    <t xml:space="preserve">q_map_1214</t>
  </si>
  <si>
    <t xml:space="preserve">https://correiaricardina-ui.github.io/questionarios/MAP_ParentalAvaliacaoSistemica_1214_v1.html</t>
  </si>
  <si>
    <t xml:space="preserve">MAP — Adolescência 15–18 anos</t>
  </si>
  <si>
    <t xml:space="preserve">15–18 anos</t>
  </si>
  <si>
    <t xml:space="preserve">Mapeamento parental sistémico — Adolescência 15–18 anos</t>
  </si>
  <si>
    <t xml:space="preserve">map_1518</t>
  </si>
  <si>
    <t xml:space="preserve">q_map_1518</t>
  </si>
  <si>
    <t xml:space="preserve">https://correiaricardina-ui.github.io/questionarios/MAP_ParentalAvaliacaoSistemica_1518_v1.html</t>
  </si>
  <si>
    <t xml:space="preserve">MAP — Mapeamento Parental Sistémico</t>
  </si>
  <si>
    <t xml:space="preserve">Mapeamento sistémico do funcionamento parental</t>
  </si>
  <si>
    <t xml:space="preserve">map_parental</t>
  </si>
  <si>
    <t xml:space="preserve">q_map_parental</t>
  </si>
  <si>
    <t xml:space="preserve">https://correiaricardina-ui.github.io/questionarios/MAP_ParentalAvaliacaoSistemica_v1.html</t>
  </si>
  <si>
    <t xml:space="preserve">MAP — Primeira Infância</t>
  </si>
  <si>
    <t xml:space="preserve">Mapeamento parental sistémico — Primeira Infância</t>
  </si>
  <si>
    <t xml:space="preserve">map_pi</t>
  </si>
  <si>
    <t xml:space="preserve">q_map_pi</t>
  </si>
  <si>
    <t xml:space="preserve">https://correiaricardina-ui.github.io/questionarios/MAP_ParentalAvaliacaoSistemica_PI_v1.html</t>
  </si>
  <si>
    <t xml:space="preserve">MBI-SS — Escala de Burnout para Estudantes</t>
  </si>
  <si>
    <t xml:space="preserve">17+ anos</t>
  </si>
  <si>
    <t xml:space="preserve">Avaliar burnout académico: exaustão emocional, descrença e eficácia (Maroco &amp; Tecedeiro, 2009)</t>
  </si>
  <si>
    <t xml:space="preserve">Exaustão Emocional; Descrença; Eficácia Académica</t>
  </si>
  <si>
    <t xml:space="preserve">mbiss</t>
  </si>
  <si>
    <t xml:space="preserve">q_mbiss</t>
  </si>
  <si>
    <t xml:space="preserve">https://correiaricardina-ui.github.io/questionarios/MBI-SS_v1.html</t>
  </si>
  <si>
    <t xml:space="preserve">M-CHAT-R/F — Despiste Precoce de Autismo</t>
  </si>
  <si>
    <t xml:space="preserve">16–30 meses</t>
  </si>
  <si>
    <t xml:space="preserve">Despiste precoce de Perturbação do Espetro do Autismo (PEA) em crianças entre 16 e 30 meses. Modified Checklist for Autism in Toddlers, Revised, with Follow-Up (© 2009 Diana Robins, Deborah Fein, &amp; Marianne Barton) · Tradução PT-PT: Carla Cintrão Almeida · www.mchatscreen.com. Instrumento de 2 etapas preenchido pelos pais com supervisão clínica: Etapa 1 (20 itens Sim/Não) com algoritmo de cotação dirigido por item — items 2/5/12 "Sim"=Falha, restantes "Não"=Falha; categorias Baixo 0-2 / Moderado 3-7 / Alto 8-20. Etapa 2 condicional (só se score 3-7) com entrevista de seguimento estruturada item-a-item; clínico regista Esclarecido (Passa) / Confirmado (Falha) por item; ≥2 confirmados = rastreio positivo. Categorias finais: Baixo · Moderado—Negativo · Moderado—Positivo · Alto. Aviso: instrumento de despiste, NÃO de diagnóstico — qualquer criança com resultado positivo deve ser referenciada para avaliação de diagnóstico e possível sinalização para intervenção precoce (SNIPI, Pediatria do Desenvolvimento, Pedopsiquiatria, HP Coimbra).</t>
  </si>
  <si>
    <t xml:space="preserve">Etapa 1 (20 itens · score 0-20); Etapa 2 condicional (entrevista de seguimento); Comunicação social; Linguagem; Brincadeira simbólica; Comportamentos sensoriais; Comportamentos repetitivos</t>
  </si>
  <si>
    <t xml:space="preserve">m_chat_r_f</t>
  </si>
  <si>
    <t xml:space="preserve">q_m_chat_r_f</t>
  </si>
  <si>
    <t xml:space="preserve">https://correiaricardina-ui.github.io/questionarios/M-CHAT-R-F_v1.html</t>
  </si>
  <si>
    <t xml:space="preserve">MCP Breve — Mapeamento de Configuração Parental</t>
  </si>
  <si>
    <t xml:space="preserve">Mãe, Pai, Madrasta, Padrasto, Enc. Educação, Tutor(a) legal</t>
  </si>
  <si>
    <t xml:space="preserve">3–17 anos</t>
  </si>
  <si>
    <t xml:space="preserve">Instrumento clínico ad-hoc (sem validação psicométrica formal — uso orientativo, articulado com entrevista). Mapeamento BREVE da configuração parental quotidiana em famílias com múltiplos adultos coabitantes: caracterização dos coabitantes (S1), distribuição funcional em 6 situações-chave (S2), autoridade educativa reconhecida (S3, 6 itens Likert) e posição/bem-estar parental do informante (S4, 4 itens Likert). Itens 3, 4 e 5 da S3 e 3 e 4 da S4 são invertidos. Pai e mãe podem submeter em separado (dedupe por nome_informante). Saída clínica: heatmap da distribuição funcional + Média de Autoridade Reconhecida + Média de Bem-Estar Parental Percebido.</t>
  </si>
  <si>
    <t xml:space="preserve">Coabitantes (S1); Distribuição funcional (S2); Autoridade educativa reconhecida (S3); Posição e bem-estar parental (S4); Média Autoridade; Média Bem-Estar</t>
  </si>
  <si>
    <t xml:space="preserve">mcp_breve</t>
  </si>
  <si>
    <t xml:space="preserve">q_mcp_breve</t>
  </si>
  <si>
    <t xml:space="preserve">https://correiaricardina-ui.github.io/questionarios/MCP_Breve.html</t>
  </si>
  <si>
    <t xml:space="preserve">MCP Completo — Mapeamento de Configuração Parental</t>
  </si>
  <si>
    <t xml:space="preserve">Instrumento clínico ad-hoc (sem validação psicométrica formal — uso orientativo, articulado com entrevista). Mapeamento APROFUNDADO da configuração parental e clima educativo em famílias com múltiplos adultos coabitantes: coabitantes (S1, com início e perspectiva de futuro), distribuição funcional (S2, 6 situações), autoridade educativa (S3, 6 itens + resposta aberta), relação afetiva da criança com cada figura adulta (S4, 3 itens × N figuras + duas perguntas qualitativas), acomodação/resposta dos outros adultos a sintomas da criança (S5, 5 itens), posição parental do informante (S6, 4 itens + aberta) e síntese clínica (S7, duas questões abertas: "o que funciona" / "o que mudaria"). Pai e mãe podem submeter em separado (dedupe por nome_informante). Saída clínica: heatmap S2 + mapa relacional S4 por figura + Média Autoridade (S3) + Média Acomodação parcial (S5: itens 1-3) + Média Bem-Estar (S6) + comentários abertos.</t>
  </si>
  <si>
    <t xml:space="preserve">Coabitantes (S1); Distribuição funcional (S2); Autoridade educativa (S3); Relação afetiva por figura (S4); Resposta dos outros / Acomodação (S5); Posição e bem-estar parental (S6); Síntese clínica aberta (S7); Média Autoridade; Média Acomodação; Média Bem-Estar</t>
  </si>
  <si>
    <t xml:space="preserve">mcp_completo</t>
  </si>
  <si>
    <t xml:space="preserve">q_mcp_completo</t>
  </si>
  <si>
    <t xml:space="preserve">https://correiaricardina-ui.github.io/questionarios/MCP_Completo.html</t>
  </si>
  <si>
    <t xml:space="preserve">MDQ — Mood Disorder Questionnaire</t>
  </si>
  <si>
    <t xml:space="preserve">Adultos (≥18 anos)</t>
  </si>
  <si>
    <t xml:space="preserve">Auto-relato breve (15 itens, ~3-5 min) para rastreio de perturbações do espectro bipolar (Hirschfeld et al., 2000; validação PT-BR Gurgel et al., 2012). 13 itens de sintomas maníacos/hipomaníacos + 1 item de co-ocorrência temporal + 1 item de impacto funcional. Classificação principal em 4 níveis (Rastreio Positivo, Sintomatologia Bipolar Incompleta, Zona Subclínica, Rastreio Negativo) e 4 alertas diferenciais (TDAH adulto, Borderline/Cluster B, Características Mistas, Confounding por Substâncias). NUNCA constitui diagnóstico — instrumento de rastreio. Os domínios não são visíveis ao paciente durante o preenchimento.</t>
  </si>
  <si>
    <t xml:space="preserve">Soma P1 (sintomas); Co-ocorrência (P2); Impacto funcional (P3); Activação somática; Cognição acelerada; Expansividade hedónica; Pressão comunicacional; Disforia/Irritabilidade; Desregulação comportamental; Classificação; Alertas Diferenciais</t>
  </si>
  <si>
    <t xml:space="preserve">mdq</t>
  </si>
  <si>
    <t xml:space="preserve">q_mdq</t>
  </si>
  <si>
    <t xml:space="preserve">https://correiaricardina-ui.github.io/questionarios/MDQ_v1.html</t>
  </si>
  <si>
    <t xml:space="preserve">NEO PI-R — Inventário de Personalidade NEO Revisto</t>
  </si>
  <si>
    <t xml:space="preserve">Avaliação dos 5 grandes domínios de personalidade (N, E, O, A, C) e 30 facetas — 240 itens (Costa &amp; McCrae 1992 · Lima &amp; Simões 1997)</t>
  </si>
  <si>
    <t xml:space="preserve">Neuroticismo; Extroversão; Abertura à Experiência; Amabilidade; Conscienciosidade</t>
  </si>
  <si>
    <t xml:space="preserve">neopir</t>
  </si>
  <si>
    <t xml:space="preserve">q_neopir</t>
  </si>
  <si>
    <t xml:space="preserve">https://correiaricardina-ui.github.io/questionarios/NEO_PIR_v1.html</t>
  </si>
  <si>
    <t xml:space="preserve">OCI-CV-R — Sintomatologia Obsessivo-Compulsiva</t>
  </si>
  <si>
    <t xml:space="preserve">Criança/Adolescente, Paciente</t>
  </si>
  <si>
    <t xml:space="preserve">Rastreio de sintomatologia obsessivo-compulsiva pediátrica em 5 dimensões (Abramovitch et al., 2022) — auto-relato com 18 itens; janela do último mês</t>
  </si>
  <si>
    <t xml:space="preserve">VD — Verificação/Dúvida; OBS — Obsessões; LAV — Lavagem; ORD — Ordenação; NEUTR — Neutralização; Total</t>
  </si>
  <si>
    <t xml:space="preserve">ocicvr</t>
  </si>
  <si>
    <t xml:space="preserve">q_ocicvr</t>
  </si>
  <si>
    <t xml:space="preserve">https://correiaricardina-ui.github.io/questionarios/OCI_CV_R_v1.html</t>
  </si>
  <si>
    <t xml:space="preserve">OCI-R — Sintomatologia Obsessivo-Compulsiva (adultos)</t>
  </si>
  <si>
    <t xml:space="preserve">≥18 anos</t>
  </si>
  <si>
    <t xml:space="preserve">Rastreio de sintomatologia obsessivo-compulsiva em adultos em 6 dimensões (Foa et al., 2002 · versão PT: Cardoso, 2015) — auto-relato com 18 itens, escala 0-4; janela do último mês; corte ≥21 sugere provável POC</t>
  </si>
  <si>
    <t xml:space="preserve">Lavagem; Verificação; Ordem; Acumulação; Obsessões; Neutralização; Total</t>
  </si>
  <si>
    <t xml:space="preserve">ocir</t>
  </si>
  <si>
    <t xml:space="preserve">q_ocir</t>
  </si>
  <si>
    <t xml:space="preserve">https://correiaricardina-ui.github.io/questionarios/OCI_R_v1.html</t>
  </si>
  <si>
    <t xml:space="preserve">PAI — Adultos</t>
  </si>
  <si>
    <t xml:space="preserve">18+ anos</t>
  </si>
  <si>
    <t xml:space="preserve">Inventário de Avaliação da Personalidade — Adultos (344 itens, 22 escalas, normas PT Paulino et al. 2024)</t>
  </si>
  <si>
    <t xml:space="preserve">Queixas Somáticas (SOM); Ansiedade (ANX); Perturbações Relacionadas com a Ansiedade (ARD); Depressão (DEP); Mania (MAN); Paranoia (PAR); Esquizofrenia (SCZ); Características Borderline (BOR); Características Antissociais (ANT); Problemas com Álcool (ALC); Problemas com Drogas (DRG); Agressão (AGG); Ideação Suicida (SUI); Stress (STR); Falta de Apoio Social (NON); Rejeição do Tratamento (RXR); Dominância (DOM); Afabilidade (WRM)</t>
  </si>
  <si>
    <t xml:space="preserve">pai</t>
  </si>
  <si>
    <t xml:space="preserve">q_pai_adult</t>
  </si>
  <si>
    <t xml:space="preserve">https://correiaricardina-ui.github.io/questionarios/PAI_adult_final.html</t>
  </si>
  <si>
    <t xml:space="preserve">PAI-A</t>
  </si>
  <si>
    <t xml:space="preserve">Inventário de Avaliação da Personalidade — Adolescente (316 itens, 19 escalas, Morey 2007)</t>
  </si>
  <si>
    <t xml:space="preserve">Inconsistência (validade) (ICN); Infrequência (validade) (INF); Impressão Negativa (validade) (NIM); Impressão Positiva (validade) (PIM); Queixas Somáticas (SOM); Ansiedade (ANS); Depressão (DEP); Mania (MAN); Paranoia (PAR); Esquizofrenia (ESQ); Características Borderline (BPD); Características Antissociais (ANT); Problemas com Álcool (ALC); Problemas com Drogas (DRG); Agressão (AGR); Ideação Suicida (SUI); Stress (STR); Falta de Apoio Social (NON); Rejeição do Tratamento (RXR)</t>
  </si>
  <si>
    <t xml:space="preserve">paia</t>
  </si>
  <si>
    <t xml:space="preserve">q_pai_a</t>
  </si>
  <si>
    <t xml:space="preserve">https://correiaricardina-ui.github.io/questionarios/PAI_A_final.html</t>
  </si>
  <si>
    <t xml:space="preserve">PALS — Aluno (2.º e 3.º ciclo)</t>
  </si>
  <si>
    <t xml:space="preserve">10–14 anos</t>
  </si>
  <si>
    <t xml:space="preserve">Avaliar padrões adaptativos/maladaptativos de motivação académica, eficácia, estratégias e clima familiar — versão adaptada à pré-adolescência (Midgley et al., 2000)</t>
  </si>
  <si>
    <t xml:space="preserve">Orientações pessoais; Clima sala; Eficácia + estratégias; Família; Eixos motivacionais 2×2; Índice de Funcionamento Adaptativo Académico (IFAA); Índice de Risco Motivacional (IRM); Índice de Externalização Académica (IEA); Índice de Discrepância Pessoa-Contexto (Mastery) (IDPCm); Índice de Discrepância Pessoa-Contexto (Performance) (IDPCp)</t>
  </si>
  <si>
    <t xml:space="preserve">palsstudent23c</t>
  </si>
  <si>
    <t xml:space="preserve">q_pals_student_23c</t>
  </si>
  <si>
    <t xml:space="preserve">https://correiaricardina-ui.github.io/questionarios/PALS_Student_2-3ciclo_v1.html</t>
  </si>
  <si>
    <t xml:space="preserve">PALS — Aluno (Secundário)</t>
  </si>
  <si>
    <t xml:space="preserve">14–18 anos</t>
  </si>
  <si>
    <t xml:space="preserve">Avaliar padrões adaptativos/maladaptativos de motivação académica, eficácia, estratégias e clima familiar — inclui foco vocacional (Midgley et al., 2000)</t>
  </si>
  <si>
    <t xml:space="preserve">Orientações pessoais; Clima sala; Eficácia + estratégias; Família; Vocacional; Eixos motivacionais 2×2; Índice de Funcionamento Adaptativo Académico (IFAA); Índice de Risco Motivacional (IRM); Índice de Externalização Académica (IEA); Índice de Discrepância Pessoa-Contexto (Mastery) (IDPCm); Índice de Discrepância Pessoa-Contexto (Performance) (IDPCp)</t>
  </si>
  <si>
    <t xml:space="preserve">palsstudentsec</t>
  </si>
  <si>
    <t xml:space="preserve">q_pals_student_sec</t>
  </si>
  <si>
    <t xml:space="preserve">https://correiaricardina-ui.github.io/questionarios/PALS_Student_Secundario_v1.html</t>
  </si>
  <si>
    <t xml:space="preserve">PALS — Aluno 2.º/3.º Ciclo (Reduzido)</t>
  </si>
  <si>
    <t xml:space="preserve">Versão breve (46 itens) do PALS Aluno 2.º/3.º ciclo — mesmas 18 subescalas, 5 índices e 7 perfis da versão completa, linguagem adaptada à pré-adolescência (Midgley et al., 2000)</t>
  </si>
  <si>
    <t xml:space="preserve">palsstudent23cred</t>
  </si>
  <si>
    <t xml:space="preserve">q_pals_student_23c_red</t>
  </si>
  <si>
    <t xml:space="preserve">https://correiaricardina-ui.github.io/questionarios/PALS_Student_2-3ciclo_Reduzido_v1.html</t>
  </si>
  <si>
    <t xml:space="preserve">PALS — Aluno Secundário (Reduzido)</t>
  </si>
  <si>
    <t xml:space="preserve">Versão breve (46 itens) do PALS Aluno Secundário — mesmas 18 subescalas, 5 índices e 8 perfis da versão completa, inclui foco vocacional (Midgley et al., 2000)</t>
  </si>
  <si>
    <t xml:space="preserve">palsstudentsecred</t>
  </si>
  <si>
    <t xml:space="preserve">q_pals_student_sec_red</t>
  </si>
  <si>
    <t xml:space="preserve">https://correiaricardina-ui.github.io/questionarios/PALS_Student_Secundario_Reduzido_v1.html</t>
  </si>
  <si>
    <t xml:space="preserve">PALS — Parent</t>
  </si>
  <si>
    <t xml:space="preserve">Mapear orientações motivacionais parentais, pressão academica e clima familiar de eficácia/afeto face à escola (Midgley et al., 2000)</t>
  </si>
  <si>
    <t xml:space="preserve">Mastery parental; Performance parental; Eficácia parental; Afeto face à escola; Polaridade de Orientações Parentais (POP); Polaridade do Clima Escolar (perceção parental) (PCEP); Índice de Funcionamento Parental (IFP); Índice de Pressão Académica Parental (IPCA); Índice de Risco de Pressão-Avoidance (IRPA); Índice de Coerência Casa-Escola (Mastery) (ICEFM); Índice de Coerência Casa-Escola (Performance) (ICEFP); Índice de Risco Parental-Familiar (IRPF); Índice de Investimento Parental Adaptativo (IIP); Índice de Pressão Internalizante (IPI); Índice de Discrepância Casa-Escola Global (IDC)</t>
  </si>
  <si>
    <t xml:space="preserve">palsparent</t>
  </si>
  <si>
    <t xml:space="preserve">q_pals_parent</t>
  </si>
  <si>
    <t xml:space="preserve">https://correiaricardina-ui.github.io/questionarios/PALS_Parent_v1.html</t>
  </si>
  <si>
    <t xml:space="preserve">PALS — Parent (Reduzido)</t>
  </si>
  <si>
    <t xml:space="preserve">Versão breve (21 itens) do PALS Parent — mesmas 8 subescalas, 9 índices clínicos e 7 perfis da versão completa, com menor tempo de administração (Midgley et al., 2000)</t>
  </si>
  <si>
    <t xml:space="preserve">palsparentred</t>
  </si>
  <si>
    <t xml:space="preserve">q_pals_parent_red</t>
  </si>
  <si>
    <t xml:space="preserve">https://correiaricardina-ui.github.io/questionarios/PALS_Parent_Reduzido_v1.html</t>
  </si>
  <si>
    <t xml:space="preserve">PALS — Teacher</t>
  </si>
  <si>
    <t xml:space="preserve">Mapear estruturas de meta da sala, abordagens à instrução e eficácia/afeto docente (Midgley et al., 2000)</t>
  </si>
  <si>
    <t xml:space="preserve">Estruturas de meta; Abordagens instrução; Eficácia docente; Afeto profissional; Polaridade do Clima Escolar (PCS); Polaridade do Clima de Instrução (PCI); Índice de Funcionamento Docente (IFD); Índice de Coerência (Mastery) (ICA); Índice de Coerência (Performance) (ICP); Índice de Risco Performance-Avoidance Climático (IRP); Índice de Risco de Burnout Docente (IRBD)</t>
  </si>
  <si>
    <t xml:space="preserve">palsteacher</t>
  </si>
  <si>
    <t xml:space="preserve">q_pals_teacher</t>
  </si>
  <si>
    <t xml:space="preserve">https://correiaricardina-ui.github.io/questionarios/PALS_Teacher_v1.html</t>
  </si>
  <si>
    <t xml:space="preserve">PALS — Teacher (Reduzido)</t>
  </si>
  <si>
    <t xml:space="preserve">Versão breve (20 itens) do PALS Teacher — mesmas 7 subescalas, 5 índices e 6 perfis da versão completa (Midgley et al., 2000)</t>
  </si>
  <si>
    <t xml:space="preserve">palsteacherred</t>
  </si>
  <si>
    <t xml:space="preserve">q_pals_teacher_red</t>
  </si>
  <si>
    <t xml:space="preserve">https://correiaricardina-ui.github.io/questionarios/PALS_Teacher_Reduzido_v1.html</t>
  </si>
  <si>
    <t xml:space="preserve">PPGR-J — Pressão Percebida em Guarda-Redes Jovens</t>
  </si>
  <si>
    <t xml:space="preserve">Atleta, Jovem avaliado, Paciente</t>
  </si>
  <si>
    <t xml:space="preserve">≥ 12 anos (guarda-redes)</t>
  </si>
  <si>
    <t xml:space="preserve">Avalia a vivência multidimensional da pressão de desempenho em guarda-redes jovens (Correia, 2026 — clínico-exploratório, sem validação psicométrica formal)</t>
  </si>
  <si>
    <t xml:space="preserve">AAC — Ativação Ansiogénica; MEF — Medo do Erro; PFE — Pressão Externa; APP — Autoexigência; EEIP — Exposição/Identidade; RPRM — Recuperação Pós-Erro; Score Total (TOTAL); Normalizado 0-100</t>
  </si>
  <si>
    <t xml:space="preserve">ppgrj</t>
  </si>
  <si>
    <t xml:space="preserve">q_ppgrj</t>
  </si>
  <si>
    <t xml:space="preserve">https://correiaricardina-ui.github.io/questionarios/PPGRJ_v1.html</t>
  </si>
  <si>
    <t xml:space="preserve">PS2 — Acompanhamento Escolar</t>
  </si>
  <si>
    <t xml:space="preserve">3–14:11 anos</t>
  </si>
  <si>
    <t xml:space="preserve">Avalia padrões de processamento sensorial em contexto escolar — versão professor</t>
  </si>
  <si>
    <t xml:space="preserve">Procura; Evitamento; Sensibilidade; Registo; Auditivo; Visual; Tátil; Movimento; Comportamento; Fator Escolar 1; Fator Escolar 2; Fator Escolar 3; Fator Escolar 4</t>
  </si>
  <si>
    <t xml:space="preserve">ps2escola</t>
  </si>
  <si>
    <t xml:space="preserve">q_ps2escola</t>
  </si>
  <si>
    <t xml:space="preserve">https://correiaricardina-ui.github.io/questionarios/PS2_Escola_v1.html</t>
  </si>
  <si>
    <t xml:space="preserve">PS2 — Questionário do Cuidador</t>
  </si>
  <si>
    <t xml:space="preserve">Mãe, Pai, Enc. Educação, Cuidador(a)</t>
  </si>
  <si>
    <t xml:space="preserve">Avalia padrões de processamento sensorial em casa — versão cuidadores</t>
  </si>
  <si>
    <t xml:space="preserve">Procura; Evitamento; Sensibilidade; Registo; Auditivo; Visual; Tátil; Movimento; Posição Corporal; Oral; Conduta; Socioemocional; Atenção</t>
  </si>
  <si>
    <t xml:space="preserve">ps2pais</t>
  </si>
  <si>
    <t xml:space="preserve">q_ps2pais</t>
  </si>
  <si>
    <t xml:space="preserve">https://correiaricardina-ui.github.io/questionarios/PS2_Pais_v1.html</t>
  </si>
  <si>
    <t xml:space="preserve">PSI-4 adap — Escala de Avaliação do Stress Parental</t>
  </si>
  <si>
    <t xml:space="preserve">Mãe, Pai, Enc. Educação, Cuidador</t>
  </si>
  <si>
    <t xml:space="preserve">Pais/cuidadores de crianças 0–~12 anos</t>
  </si>
  <si>
    <t xml:space="preserve">Despiste exploratório do stress parental por autorrelato do cuidador (36 itens, escala 1-5) em 3 domínios: Mal-estar Parental, Interação Disfuncional Pais-Criança e Criança Difícil. Adaptação inspirada (Via B) no modelo de Abidin (1990/1995/2012) — NÃO reproduz o PSI-4-SF (PAR, 2012) nem as suas normas/cut-offs. Sem normas portuguesas: resultados descritivos por POMP % e bandas (referenciadas à amplitude teórica), com Índice RD de validade e itens sentinela. A interpretação clínica é da responsabilidade do psicólogo.</t>
  </si>
  <si>
    <t xml:space="preserve">Mal-estar Parental (MP); Interação Disfuncional Pais-Criança (ID); Criança Difícil (CD); Stress Total</t>
  </si>
  <si>
    <t xml:space="preserve">psi4adap</t>
  </si>
  <si>
    <t xml:space="preserve">q_psi4adap</t>
  </si>
  <si>
    <t xml:space="preserve">https://correiaricardina-ui.github.io/questionarios/PSI4_adap.html</t>
  </si>
  <si>
    <t xml:space="preserve">QACSE-C — Competências Socioemocionais (Complementar à BAS-3)</t>
  </si>
  <si>
    <t xml:space="preserve">10–17 anos</t>
  </si>
  <si>
    <t xml:space="preserve">Cobrir as cinco dimensões CASEL ausentes da BAS-3 — auto-relato, complementar (Coelho &amp; Sousa, 2016)</t>
  </si>
  <si>
    <t xml:space="preserve">Autoconsciência Emocional (ACE); Regulação Emocional (RE); Tomada de Perspetiva (TP); Resolução Assertiva de Conflitos (RAC); Tomada de Decisão Responsável (TDR)</t>
  </si>
  <si>
    <t xml:space="preserve">qacse_c</t>
  </si>
  <si>
    <t xml:space="preserve">q_qacse_c</t>
  </si>
  <si>
    <t xml:space="preserve">https://correiaricardina-ui.github.io/questionarios/QACSE_C_v1.html</t>
  </si>
  <si>
    <t xml:space="preserve">QACSE-R — Competências Socioemocionais (reduzida)</t>
  </si>
  <si>
    <t xml:space="preserve">10–16 anos</t>
  </si>
  <si>
    <t xml:space="preserve">Avaliar competências socioemocionais — auto-relato, versão reduzida (Coelho &amp; Sousa, 2020)</t>
  </si>
  <si>
    <t xml:space="preserve">Autocontrolo (AC); Competências Relacionais (CR); Isolamento Social (IS); Ansiedade Social (AS)</t>
  </si>
  <si>
    <t xml:space="preserve">qacse_r</t>
  </si>
  <si>
    <t xml:space="preserve">q_qacse_r</t>
  </si>
  <si>
    <t xml:space="preserve">https://correiaricardina-ui.github.io/questionarios/QACSE_R_v1.html</t>
  </si>
  <si>
    <t xml:space="preserve">QC Coparentalidade — Mãe</t>
  </si>
  <si>
    <t xml:space="preserve">Mãe</t>
  </si>
  <si>
    <t xml:space="preserve">Adultos</t>
  </si>
  <si>
    <t xml:space="preserve">Avalia cooperação, triangulação e conflito coparental — versão mãe</t>
  </si>
  <si>
    <t xml:space="preserve">Cooperação; Triangulação; Conflito</t>
  </si>
  <si>
    <t xml:space="preserve">qc_mae</t>
  </si>
  <si>
    <t xml:space="preserve">q_qc_mae</t>
  </si>
  <si>
    <t xml:space="preserve">https://correiaricardina-ui.github.io/questionarios/QC_Mae.html</t>
  </si>
  <si>
    <t xml:space="preserve">QC Coparentalidade — Pai</t>
  </si>
  <si>
    <t xml:space="preserve">Pai</t>
  </si>
  <si>
    <t xml:space="preserve">Avalia cooperação, triangulação e conflito coparental — versão pai</t>
  </si>
  <si>
    <t xml:space="preserve">qc_pai</t>
  </si>
  <si>
    <t xml:space="preserve">q_qc_pai</t>
  </si>
  <si>
    <t xml:space="preserve">https://correiaricardina-ui.github.io/questionarios/QC_Pai.html</t>
  </si>
  <si>
    <t xml:space="preserve">QEA — Esquemas para Adolescentes</t>
  </si>
  <si>
    <t xml:space="preserve">10–25 anos</t>
  </si>
  <si>
    <t xml:space="preserve">Avalia 18 esquemas precoces mal-adaptativos em adolescentes — auto-relato (Santos, Rijo &amp; Pinto-Gouveia, 2009); ponto de corte clínico: média ≥ 3,5</t>
  </si>
  <si>
    <t xml:space="preserve">Isolamento Social/Alienação (IS); Emaranhamento (EMA); Padrões Excessivos/Rígidos de Realização (PER); Privação Emocional (PE); Abandono (AB); Auto-Punição (AP); Auto-Sacrifício (AS); Vulnerabilidade ao Mal e à Doença (VUL); Desconfiança/Abuso (DA); Inibição Emocional (IEMOC); Subjugação ao Grupo (SUB); Grandiosidade (GR); Fracasso (FR); Dependência/Incompetência Funcional (DEP); Defeito/Incapacidade de ser Amado (DF); Procura de Aprovação/Reconhecimento (REC); Auto-controlo/Auto-disciplina Insuficientes (AI); Pessimismo (PESS); Menos Valia e Desligamento (domínio 2.ª ordem) (MVD); Ligação Excessiva e Vulnerabilidade Pessoal (domínio 2.ª ordem) (LEV); Auto-engrandecimento (domínio 2.ª ordem) (AE); Média Global</t>
  </si>
  <si>
    <t xml:space="preserve">qea</t>
  </si>
  <si>
    <t xml:space="preserve">q_qea</t>
  </si>
  <si>
    <t xml:space="preserve">https://correiaricardina-ui.github.io/questionarios/QEA_questionario.html</t>
  </si>
  <si>
    <t xml:space="preserve">QEDP</t>
  </si>
  <si>
    <t xml:space="preserve">Avalia envolvimento e desenvolvimento parental</t>
  </si>
  <si>
    <t xml:space="preserve">Demandingness; Autonomia; Percepcao</t>
  </si>
  <si>
    <t xml:space="preserve">qedp</t>
  </si>
  <si>
    <t xml:space="preserve">q_qedp</t>
  </si>
  <si>
    <t xml:space="preserve">https://correiaricardina-ui.github.io/questionarios/QEDP_v2.html</t>
  </si>
  <si>
    <t xml:space="preserve">QEE — Questionário Ecológico Escolar</t>
  </si>
  <si>
    <t xml:space="preserve">Professor(a), Diretor(a) de Turma</t>
  </si>
  <si>
    <t xml:space="preserve">Caracterização clínica multi-informador do funcionamento emocional, social e adaptativo em contexto escolar (versão clínica revista, enquadramento bioecológico de Bronfenbrenner + lógica ASEBA). 40 itens fechados + 4 qualitativos.</t>
  </si>
  <si>
    <t xml:space="preserve">Integração e Pertença Social (IPS); Sensibilidade Relacional (SR); Sintomas Internalizantes (SI); Reatividade Comportamental (RC); Pressão de Desempenho e Perfecionismo (PDP); Funcionamento Académico Adaptativo (FAA); Autorregulação e Coping Adaptativo (ACA); Fatores Protetores Contextuais (FPC); Índice Global de Preocupação Clínica (IGPC)</t>
  </si>
  <si>
    <t xml:space="preserve">qeeescola</t>
  </si>
  <si>
    <t xml:space="preserve">q_qee_escola</t>
  </si>
  <si>
    <t xml:space="preserve">https://correiaricardina-ui.github.io/questionarios/QEE_Escola_v1.html</t>
  </si>
  <si>
    <t xml:space="preserve">QEP — Questionário Ecológico Parental</t>
  </si>
  <si>
    <t xml:space="preserve">Caracterização clínica multi-informador do funcionamento emocional, social e adaptativo (versão clínica revista, paralela ao QEE — enquadramento bioecológico + lógica ASEBA). 40 itens fechados + 4 qualitativos.</t>
  </si>
  <si>
    <t xml:space="preserve">Integração Social e Pertença (IPS); Sensibilidade Relacional (SR); Sintomas Internalizantes (SI); Reatividade Comportamental (RC); Pressão de Desempenho e Perfecionismo (PDP); Funcionamento Adaptativo Geral (FAG); Autorregulação e Coping Adaptativo (ACA); Fatores Protetores Familiares (FPF); Índice Global de Preocupação Clínica (IGPC)</t>
  </si>
  <si>
    <t xml:space="preserve">qeppais</t>
  </si>
  <si>
    <t xml:space="preserve">q_qep_pais</t>
  </si>
  <si>
    <t xml:space="preserve">https://correiaricardina-ui.github.io/questionarios/QEP_Pais_v1.html</t>
  </si>
  <si>
    <t xml:space="preserve">RAADS-R</t>
  </si>
  <si>
    <t xml:space="preserve">Avalia sintomas de PEA em adultos — auto-relato (Ritvo et al., 2011)</t>
  </si>
  <si>
    <t xml:space="preserve">Social; Linguagem; Sensoriomotora; Circunscrita; Total</t>
  </si>
  <si>
    <t xml:space="preserve">raadsr</t>
  </si>
  <si>
    <t xml:space="preserve">q_raadsr</t>
  </si>
  <si>
    <t xml:space="preserve">https://correiaricardina-ui.github.io/questionarios/RAADS_R_v1.html</t>
  </si>
  <si>
    <t xml:space="preserve">RBS-R — Comportamentos Repetitivos, Revista</t>
  </si>
  <si>
    <t xml:space="preserve">Mãe, Pai, Enc. Educação, Cuidador, Professor(a), Clínico</t>
  </si>
  <si>
    <t xml:space="preserve">3–70 anos (heteroavaliação)</t>
  </si>
  <si>
    <t xml:space="preserve">Avalia a variedade e severidade de comportamentos repetitivos e rígidos por heteroinformação (43 itens, escala 0-3) em 6 subescalas: Estereotipias Motoras, Autoagressivos, Compulsivos, Ritualísticos, Rigidez Cognitiva/Sameness e Interesses Restritos. Tradução PT-PT de trabalho (não validada); interpretação por percentis relativa a normas clínicas espanholas (Martínez-González &amp; Piqueras, 2019) por grupo de referência (TEA/DI/TEA-DI), seleccionável no detalhe. Sem pontos de corte universais.</t>
  </si>
  <si>
    <t xml:space="preserve">Estereotipias Motoras; Comportamentos Autoagressivos; Comportamentos Compulsivos; Comportamentos Ritualísticos; Rigidez Cognitiva / Sameness; Interesses Restritos; Total</t>
  </si>
  <si>
    <t xml:space="preserve">rbsr</t>
  </si>
  <si>
    <t xml:space="preserve">q_rbsr</t>
  </si>
  <si>
    <t xml:space="preserve">https://correiaricardina-ui.github.io/questionarios/RBS_R.html</t>
  </si>
  <si>
    <t xml:space="preserve">RCADS-25 — Pais/Cuidadores</t>
  </si>
  <si>
    <t xml:space="preserve">Avalia ansiedade e depressão em crianças e adolescentes — versão para pais (25 itens)</t>
  </si>
  <si>
    <t xml:space="preserve">Depressão Major (T) (MDD_T); Ansiedade Total (T) (ANX_T); Score Total (T) (Total_T); Fobia Social (SP); Ansiedade de Separação (SAD); Ansiedade Generalizada (GAD); Perturbação de Pânico (PD); Obsessivo-Compulsivo (OCD)</t>
  </si>
  <si>
    <t xml:space="preserve">rcads_25cg</t>
  </si>
  <si>
    <t xml:space="preserve">q_rcads_25cg</t>
  </si>
  <si>
    <t xml:space="preserve">https://correiaricardina-ui.github.io/questionarios/RCADS25_Pais_v2.html</t>
  </si>
  <si>
    <t xml:space="preserve">RCADS-25 — Youth (Self-Report)</t>
  </si>
  <si>
    <t xml:space="preserve">Avalia ansiedade e depressão em crianças e adolescentes — versão de auto-avaliação (25 itens)</t>
  </si>
  <si>
    <t xml:space="preserve">rcads_25y</t>
  </si>
  <si>
    <t xml:space="preserve">q_rcads_25y</t>
  </si>
  <si>
    <t xml:space="preserve">https://correiaricardina-ui.github.io/questionarios/RCADS25_Youth_v2.html</t>
  </si>
  <si>
    <t xml:space="preserve">RCADS-47 — Pais/Cuidadores</t>
  </si>
  <si>
    <t xml:space="preserve">Avalia ansiedade e depressão em crianças e adolescentes — versão para pais (47 itens)</t>
  </si>
  <si>
    <t xml:space="preserve">Depressão Major (T) (MDD_T); Ansiedade Total (T) (ANX_T); Score Total (T) (Total_T); Fobia Social (SP); Fobia Social (T) (SP_T); Ansiedade de Separação (SAD); Ansiedade de Separação (T) (SAD_T); Ansiedade Generalizada (GAD); Ansiedade Generalizada (T) (GAD_T); Perturbação de Pânico (PD); Perturbação de Pânico (T) (PD_T); Obsessivo-Compulsivo (OCD); Obsessivo-Compulsivo (T) (OCD_T)</t>
  </si>
  <si>
    <t xml:space="preserve">rcads_47cg</t>
  </si>
  <si>
    <t xml:space="preserve">q_rcads_47cg</t>
  </si>
  <si>
    <t xml:space="preserve">https://correiaricardina-ui.github.io/questionarios/RCADS47_Pais_v2.html</t>
  </si>
  <si>
    <t xml:space="preserve">RCADS-47 — Youth (Self-Report)</t>
  </si>
  <si>
    <t xml:space="preserve">Avalia ansiedade e depressão em crianças e adolescentes — versão de auto-avaliação (47 itens)</t>
  </si>
  <si>
    <t xml:space="preserve">rcads_47y</t>
  </si>
  <si>
    <t xml:space="preserve">q_rcads_47y</t>
  </si>
  <si>
    <t xml:space="preserve">https://correiaricardina-ui.github.io/questionarios/RCADS47_Youth_v2.html</t>
  </si>
  <si>
    <t xml:space="preserve">RSES — Auto-Estima de Rosenberg</t>
  </si>
  <si>
    <t xml:space="preserve">12–20 anos</t>
  </si>
  <si>
    <t xml:space="preserve">Avalia a auto-estima global em adolescentes — autorrelato (10 itens, escala 0-3). Versão PT validada para contexto escolar e forense (Pechorro, Marôco, Poiares &amp; Vieira, 2011). Interpretação normativo-referenciada por z-score face ao grupo (Contexto × Sexo) — não existem pontos de corte clínicos portugueses.</t>
  </si>
  <si>
    <t xml:space="preserve">Auto-estima global</t>
  </si>
  <si>
    <t xml:space="preserve">rses</t>
  </si>
  <si>
    <t xml:space="preserve">q_rses</t>
  </si>
  <si>
    <t xml:space="preserve">https://correiaricardina-ui.github.io/questionarios/RSES_v1.html</t>
  </si>
  <si>
    <t xml:space="preserve">SCARED-R — Criança</t>
  </si>
  <si>
    <t xml:space="preserve">Avaliação de perturbações de ansiedade — versão autorrelato</t>
  </si>
  <si>
    <t xml:space="preserve">Pânico; Ansiedade Generalizada; Separação; Fobia Social; Fobia Específica; Obsessivo-Compulsiva; Stress Pós-Traumático; Total</t>
  </si>
  <si>
    <t xml:space="preserve">scared_r_crianca</t>
  </si>
  <si>
    <t xml:space="preserve">q_scared_r_crianca</t>
  </si>
  <si>
    <t xml:space="preserve">https://correiaricardina-ui.github.io/questionarios/SCARED_R_Crianca.html</t>
  </si>
  <si>
    <t xml:space="preserve">SCARED-R — Pais/Cuid.</t>
  </si>
  <si>
    <t xml:space="preserve">Avaliação de perturbações de ansiedade — versão pais/cuidadores</t>
  </si>
  <si>
    <t xml:space="preserve">scared_r_pais</t>
  </si>
  <si>
    <t xml:space="preserve">q_scared_r_pais</t>
  </si>
  <si>
    <t xml:space="preserve">https://correiaricardina-ui.github.io/questionarios/SCARED_R_Pais.html</t>
  </si>
  <si>
    <t xml:space="preserve">SDS — Self-Directed Search (Holland)</t>
  </si>
  <si>
    <t xml:space="preserve">≥13 anos</t>
  </si>
  <si>
    <t xml:space="preserve">Avaliar interesses profissionais RIASEC e gerar Código de Holland para orientação vocacional</t>
  </si>
  <si>
    <t xml:space="preserve">Realista (R); Investigador (I); Artístico (A); Social (S); Empreendedor (E); Convencional (C); Código Holland</t>
  </si>
  <si>
    <t xml:space="preserve">sds_holland</t>
  </si>
  <si>
    <t xml:space="preserve">q_sds_holland</t>
  </si>
  <si>
    <t xml:space="preserve">https://correiaricardina-ui.github.io/questionarios/SDS_Holland.html</t>
  </si>
  <si>
    <t xml:space="preserve">SEQ-C — Autoeficácia para Crianças</t>
  </si>
  <si>
    <t xml:space="preserve">7.º–12.º ano</t>
  </si>
  <si>
    <t xml:space="preserve">Avalia crenças de autoeficácia em três domínios: académico, social e emocional (Nogueira, 2003)</t>
  </si>
  <si>
    <t xml:space="preserve">AE Académica; AE Social; AE Emocional; AE Global</t>
  </si>
  <si>
    <t xml:space="preserve">seqc</t>
  </si>
  <si>
    <t xml:space="preserve">q_seqc</t>
  </si>
  <si>
    <t xml:space="preserve">https://correiaricardina-ui.github.io/questionarios/SEQC_v2.html</t>
  </si>
  <si>
    <t xml:space="preserve">SNAP-IV — Escala de Sintomas de PHDA (Versão Reduzida, DSM-IV)</t>
  </si>
  <si>
    <t xml:space="preserve">Mãe, Pai, Enc. Educação, Professor(a)</t>
  </si>
  <si>
    <t xml:space="preserve">5–11 anos</t>
  </si>
  <si>
    <t xml:space="preserve">Rastreio dimensional dos sintomas de PHDA por heteroavaliação (pais ou professores), 18 itens em escala 0–3 (Não ocorre=0, Um pouco=1, Frequente=2, Muito frequente=3). Métrica = média por item nas dimensões Desatenção (itens 1–9), Hiperatividade-Impulsividade (itens 10–18) e Combinada/PHDA (itens 1–18). O tipo de informante (Pais / Professores) determina os pontos de corte de rastreio de Swanson et al. e as bandas graduadas de Bussing et al. (2008). Resultado exploratório — limiares heurísticos internacionais, sem normas portuguesas; não constitui diagnóstico (a formulação de PHDA exige avaliação multimodal e multi-informante, DSM-5-TR / CID-11). Versão portuguesa: Octávio Moura (2006, 2012).</t>
  </si>
  <si>
    <t xml:space="preserve">Desatenção (itens 1–9); Hiperatividade-Impulsividade (itens 10–18); Combinada / PHDA (itens 1–18)</t>
  </si>
  <si>
    <t xml:space="preserve">snapiv</t>
  </si>
  <si>
    <t xml:space="preserve">q_snapiv</t>
  </si>
  <si>
    <t xml:space="preserve">https://correiaricardina-ui.github.io/questionarios/SNAP_IV_v1.html</t>
  </si>
  <si>
    <t xml:space="preserve">Sociograma · Mapa Social</t>
  </si>
  <si>
    <t xml:space="preserve">Criança/Adolescente, Pais, Mãe, Pai, Enc. Educação, Professor, Diretor de Turma</t>
  </si>
  <si>
    <t xml:space="preserve">Sociograma informal e entrevista ecológica — mapa visual das relações de apoio, afiliação e distância na turma + ecologia da escola (espaços confortáveis vs evitados) + auto-percepção vs percepção atribuída à turma. Baseado em Moreno (1934), Coie &amp; Dodge (1988), Bronfenbrenner (1979), Cillessen &amp; Marks (2011), Resnick et al. (1997) e Hagerty et al. (1992). Não substitui sociometria formal aplicada à turma; serve como ponto de partida para entrevista clínica e observação ecológica.</t>
  </si>
  <si>
    <t xml:space="preserve">Apoio emocional; Pertença e escolha mútua; Distância/Exclusão; Self vs Other; Mapa ecológico; Adultos de referência</t>
  </si>
  <si>
    <t xml:space="preserve">sociograma</t>
  </si>
  <si>
    <t xml:space="preserve">q_sociograma</t>
  </si>
  <si>
    <t xml:space="preserve">https://correiaricardina-ui.github.io/questionarios/SOCIOGRAMA_RC_v1.html</t>
  </si>
  <si>
    <t xml:space="preserve">SPAS — Pais</t>
  </si>
  <si>
    <t xml:space="preserve">3–13 anos</t>
  </si>
  <si>
    <t xml:space="preserve">Avalia ansiedade social em crianças — versão pais</t>
  </si>
  <si>
    <t xml:space="preserve">Ansiedade Generalizada (AG); Ansiedade Social (AS); Ansiedade de Separação (SEP); Medos de Dano Físico (MDF); Obsessivo-Compulsivo (POC); Score Total (Total)</t>
  </si>
  <si>
    <t xml:space="preserve">spas_pais</t>
  </si>
  <si>
    <t xml:space="preserve">q_spas_pais</t>
  </si>
  <si>
    <t xml:space="preserve">https://correiaricardina-ui.github.io/questionarios/SPAS_Pais.html</t>
  </si>
  <si>
    <t xml:space="preserve">SPAS — Professor</t>
  </si>
  <si>
    <t xml:space="preserve">Avalia ansiedade social em crianças — versão professor/educador</t>
  </si>
  <si>
    <t xml:space="preserve">spas_prof</t>
  </si>
  <si>
    <t xml:space="preserve">q_spas_prof</t>
  </si>
  <si>
    <t xml:space="preserve">https://correiaricardina-ui.github.io/questionarios/SPAS_Educador.html</t>
  </si>
  <si>
    <t xml:space="preserve">SPPA — Como é que eu sou? + Importância (Adolescentes)</t>
  </si>
  <si>
    <t xml:space="preserve">Perfil de autoperceção para adolescentes (Self-Perception Profile for Adolescents, Harter 1988/2012) em bateria única: Parte I «Como é que eu sou?» (45 itens, 9 subescalas de 5 itens — 8 domínios específicos + Autoestima Global como dimensão própria; médias 1–4 com pró-rateamento ≥4/5) e Parte II «Qual a importância destas coisas?» (16 itens, 8 áreas; valorizada ≥3). Comparação normativa descritiva com as normas americanas do manual de 2012 (M sexo×ano, DP por ano; idades 13–16 → 8.º–11.º ano EUA; limiares z ±1,0 e ±1,5) e discrepâncias competência−importância (James/Harter) com sinalização de vulnerabilidade da autoestima. Tradução técnica PT-PT sem validação nem normas portuguesas — leitura clínica do psicólogo.</t>
  </si>
  <si>
    <t xml:space="preserve">Escolar; Social; Atlética; Aparência Física; Laboral; Romântica; Comportamento; Amizades Íntimas; Autoestima Global; Importância por área; Discrepâncias C−I</t>
  </si>
  <si>
    <t xml:space="preserve">sppa</t>
  </si>
  <si>
    <t xml:space="preserve">q_sppa</t>
  </si>
  <si>
    <t xml:space="preserve">https://correiaricardina-ui.github.io/questionarios/SPPA.html</t>
  </si>
  <si>
    <t xml:space="preserve">SPPC — Como é que eu sou + Importância (Crianças)</t>
  </si>
  <si>
    <t xml:space="preserve">3.º–8.º ano (normas 9–14 anos)</t>
  </si>
  <si>
    <t xml:space="preserve">Escala de Autoperceção para Crianças (Self-Perception Profile for Children, Harter 2012, rev. 1985) em bateria única: Parte I «Como é que eu sou» (36 itens, 6 subescalas de 6 itens — 5 domínios específicos + Autoestima Global como dimensão própria; médias 1–4 com pró-rateamento ≥4/6) e Parte II «Que importância isto tem para mim?» (10 itens, 5 áreas; valorizada ≥3). Comparação normativa descritiva com as normas do Anexo 2 (M e DP por sexo×idade, 9–14 anos; limiares z ±1,0 e ±1,5), discrepâncias competência−importância (James/Harter) com sinalização de vulnerabilidade da autoestima e comparação criança–professor (|C−P|: &lt;0,5 convergência · 0,5–1,0 ligeira · ≥1,0 marcada) quando existe registo da Escala do Professor. Subescala Social com limitação normativa divulgada (normas 1985 vs itens 2012). Tradução técnica PT-PT sem validação nem normas portuguesas — leitura clínica do psicólogo.</t>
  </si>
  <si>
    <t xml:space="preserve">Competência Escolar; Competência Social; Competência Desportiva; Aparência Física; Comportamento; Autoestima Global; Importância por área; Discrepâncias C−I; Comparação criança–professor</t>
  </si>
  <si>
    <t xml:space="preserve">sppc</t>
  </si>
  <si>
    <t xml:space="preserve">q_sppc</t>
  </si>
  <si>
    <t xml:space="preserve">https://correiaricardina-ui.github.io/questionarios/SPPC_Bateria.html</t>
  </si>
  <si>
    <t xml:space="preserve">SPPC — Escala de Avaliação do Professor (Crianças)</t>
  </si>
  <si>
    <t xml:space="preserve">3.º–8.º ano</t>
  </si>
  <si>
    <t xml:space="preserve">Escala de Avaliação do Professor paralela ao Self-Perception Profile for Children (Harter, 2012): 15 itens sobre a competência REAL da criança segundo o juízo independente do(a) professor(a), em 5 domínios de 3 itens (médias 1–4 com pró-rateamento ≥2/3) — Competência Escolar, Social, Desportiva, Aparência Física e Comportamento. A Autoestima Global não é avaliada por observadores externos. Sem normas: leitura exclusivamente descritiva. Inclui comparação criança–professor por domínio quando existe registo SPPC do mesmo código (|C−P|: &lt;0,5 convergência · 0,5–1,0 discrepância ligeira · ≥1,0 marcada) — índice de convergência de perspetivas, não medida de validade nem indicador de distorção por parte da criança. Tradução técnica PT-PT sem validação.</t>
  </si>
  <si>
    <t xml:space="preserve">Competência Escolar; Competência Social; Competência Desportiva; Aparência Física; Comportamento; Comparação criança–professor</t>
  </si>
  <si>
    <t xml:space="preserve">sppc_professor</t>
  </si>
  <si>
    <t xml:space="preserve">q_sppc_professor</t>
  </si>
  <si>
    <t xml:space="preserve">https://correiaricardina-ui.github.io/questionarios/SPPC_Professor.html</t>
  </si>
  <si>
    <t xml:space="preserve">SPPCS — Perfil de Autoperceção para Estudantes Universitários</t>
  </si>
  <si>
    <t xml:space="preserve">Ensino superior (17–23 anos)</t>
  </si>
  <si>
    <t xml:space="preserve">Perfil de Autoperceção para Estudantes Universitários (Self-Perception Profile for College Students, Neemann &amp; Harter, 2012) em bateria única de 98 itens: «Como Eu Sou» (54 itens, 13 subescalas — Competência no Trabalho, Competência Escolar, Aceitação Social, Aparência Física, Relação com os Pais, Amizades Íntimas, Capacidade Intelectual, Moralidade, Relações Amorosas, Humor, Criatividade, Competência Atlética + Autoestima Global como dimensão própria de 6 itens; médias 1–4), «Classificações de Importância» (24 itens, 12 domínios) e «As Pessoas na Minha Vida» (20 itens, 5 fontes de apoio social — Amigo Íntimo, Mãe, Pai, Professores, Organizações Académicas). Classificações descritivas por valores z face às normas norte-americanas por sexo (N=300; sem normas portuguesas). Discrepância competência−importância (modelo de James/Harter) calculada apenas nos domínios com importância = 4. Tradução técnica PT-PT para uso clínico exploratório e investigação — leitura clínica do psicólogo.</t>
  </si>
  <si>
    <t xml:space="preserve">Competência no Trabalho; Competência Escolar; Aceitação Social; Aparência Física; Relação com os Pais; Amizades Íntimas; Capacidade Intelectual; Moralidade; Relações Amorosas; Humor; Criatividade; Competência Atlética; Autoestima Global; Importância por domínio; Discrepância C−I; Apoio Social Percebido</t>
  </si>
  <si>
    <t xml:space="preserve">sppcs</t>
  </si>
  <si>
    <t xml:space="preserve">q_sppcs</t>
  </si>
  <si>
    <t xml:space="preserve">https://correiaricardina-ui.github.io/questionarios/SPPCS_v1.html</t>
  </si>
  <si>
    <t xml:space="preserve">SPP-LD — Como Eu Sou + Importância (DAE)</t>
  </si>
  <si>
    <t xml:space="preserve">3.º–8.º ano (8–15 anos)</t>
  </si>
  <si>
    <t xml:space="preserve">Perfil de Autoperceção para Alunos com Dificuldades de Aprendizagem Específicas (Self-Perception Profile for Learning Disabled Students, Renick &amp; Harter, 1988/2012) em bateria única: «Como Eu Sou» (46 itens, 10 subescalas — 5 escolares: Capacidade Intelectual Geral, Leitura, Escrita, Ortografia, Matemática; + Atlética, Social, Aparência Física, Conduta + Autoestima Global como dimensão própria; médias 1–4 com máximo de 1 omisso por subescala), «Com Quem Me Comparei» (9 áreas; grupo de comparação social — sala de apoio vs aulas regulares — variável crítica de interpretação nesta população) e Escala de Importância (18 itens, 9 domínios). Sem normas: bandas descritivas do manual (&lt;2,00 baixa · 2,00–3,75 média · &gt;3,75 elevada) e referências americanas meramente comparativas (DAE pública/privada/desenvolvimento típico). Discrepâncias competência−importância (James) só nos domínios com importância ≥3,0, com soma, média e sinalização de vulnerabilidade. Aplicável também a alunos com desenvolvimento típico. Tradução técnica PT-PT (Via A) sem validação nem normas portuguesas — leitura clínica do psicólogo.</t>
  </si>
  <si>
    <t xml:space="preserve">Capacidade Intelectual Geral; Competência em Leitura; Competência em Escrita; Competência em Ortografia; Competência em Matemática; Competência Atlética; Competência Social; Aparência Física; Conduta Comportamental; Autoestima Global; Importância por domínio; Discrepâncias C−I; Grupo de comparação social</t>
  </si>
  <si>
    <t xml:space="preserve">sppld</t>
  </si>
  <si>
    <t xml:space="preserve">q_sppld</t>
  </si>
  <si>
    <t xml:space="preserve">https://correiaricardina-ui.github.io/questionarios/SPPLD_Bateria.html</t>
  </si>
  <si>
    <t xml:space="preserve">SRS-2 — Pais/Cuid.</t>
  </si>
  <si>
    <t xml:space="preserve">Avalia responsividade social — versão pais/cuidadores</t>
  </si>
  <si>
    <t xml:space="preserve">Consciência Social (PERC); Cognição Social (COG); Comunicação Social (COM); Motivação Social (MOT); Maneirismos/Interesses Restritos e Repetitivos (PRR); Índice de Comunicação e Interação Social (DSM-5) (CIS); Score Total (Total)</t>
  </si>
  <si>
    <t xml:space="preserve">srs2_pais</t>
  </si>
  <si>
    <t xml:space="preserve">q_srs2_pais</t>
  </si>
  <si>
    <t xml:space="preserve">https://correiaricardina-ui.github.io/questionarios/SRS2_IE_Pais_v1.html</t>
  </si>
  <si>
    <t xml:space="preserve">SRS-2 — Professor</t>
  </si>
  <si>
    <t xml:space="preserve">Avalia responsividade social — versão professor</t>
  </si>
  <si>
    <t xml:space="preserve">srs2_prof</t>
  </si>
  <si>
    <t xml:space="preserve">q_srs2_prof</t>
  </si>
  <si>
    <t xml:space="preserve">https://correiaricardina-ui.github.io/questionarios/SRS2_IE_Prof_v1.html</t>
  </si>
  <si>
    <t xml:space="preserve">STAIC C-2 (A-Traço)</t>
  </si>
  <si>
    <t xml:space="preserve">Rastreio de ansiedade-traço (auto-relato) — Spielberger et al. (1973) / Dias &amp; Gonçalves (1999)</t>
  </si>
  <si>
    <t xml:space="preserve">Total; Z-Spielberger; Z-Biaggio; Z-D&amp;G PT</t>
  </si>
  <si>
    <t xml:space="preserve">staicc2</t>
  </si>
  <si>
    <t xml:space="preserve">q_staicc2</t>
  </si>
  <si>
    <t xml:space="preserve">https://correiaricardina-ui.github.io/questionarios/STAIC_C2_v1.html</t>
  </si>
  <si>
    <t xml:space="preserve">STAXI-NA — Inventário de Expressão de Raiva Estado-Traço (Crianças e Adolescentes)</t>
  </si>
  <si>
    <t xml:space="preserve">Auto-relato (32 itens, ~8-12 min) das dimensões emocional e expressiva da raiva (Del Barrio, Aluja &amp; Spielberger, 2004; tradução PT Ana Nunes — sem validação psicométrica formal). 8 subescalas em 4 escalas globais: Estado de Raiva, Raiva-Traço, Expressão da Raiva, Controlo da Raiva (adaptativa). Estrutura paginada em 3 partes com escalas de resposta distintas (Estado actual / Habitual / Quando-zangado). Normativos brasileiros (Costa &amp; Frizzo, 2012) — referência aproximativa. Tipologia clínica diferencial {Adaptativo, Risco Global, Externalização, Traço Contido, Défice de Controlo, Típico}.</t>
  </si>
  <si>
    <t xml:space="preserve">Sentimentos de Raiva (SR); Raiva Física e Verbal (RFV); Temperamento de Raiva (TR); Raiva Reativa (RR); Expressão da Raiva — Out (EROUT); Expressão da Raiva — In (ERIN); Controlo da Raiva — Out (CROUT); Controlo da Raiva — In (CRIN); Estado de Raiva (Global); Raiva-Traço (Global); Expressão da Raiva (Global); Controlo da Raiva (Global)</t>
  </si>
  <si>
    <t xml:space="preserve">staxina</t>
  </si>
  <si>
    <t xml:space="preserve">q_staxi_na</t>
  </si>
  <si>
    <t xml:space="preserve">https://correiaricardina-ui.github.io/questionarios/STAXI_NA_v1.html</t>
  </si>
  <si>
    <t xml:space="preserve">SWAN</t>
  </si>
  <si>
    <t xml:space="preserve">Pais, Mãe, Pai, Enc. Educação, Professor(a)</t>
  </si>
  <si>
    <t xml:space="preserve">Avaliar sintomas de PHDA em contexto dimensional</t>
  </si>
  <si>
    <t xml:space="preserve">Desatenção; Hiperatividade-Impulsividade</t>
  </si>
  <si>
    <t xml:space="preserve">swan</t>
  </si>
  <si>
    <t xml:space="preserve">q_swan</t>
  </si>
  <si>
    <t xml:space="preserve">https://correiaricardina-ui.github.io/questionarios/SWAN_v1.html</t>
  </si>
  <si>
    <t xml:space="preserve">TAS-20</t>
  </si>
  <si>
    <t xml:space="preserve">Avaliar alexitimia (dificuldade em identificar e descrever emoções)</t>
  </si>
  <si>
    <t xml:space="preserve">Dificuldade em Identificar Sentimentos (F1); Dificuldade em Descrever Sentimentos (F2); Pensamento Orientado para o Exterior (F3); Total</t>
  </si>
  <si>
    <t xml:space="preserve">tas20</t>
  </si>
  <si>
    <t xml:space="preserve">q_tas20</t>
  </si>
  <si>
    <t xml:space="preserve">https://correiaricardina-ui.github.io/questionarios/TAS20_v7.html</t>
  </si>
  <si>
    <t xml:space="preserve">UCLA-PTSD Adaptado — Rastreio de PSPT Pediátrica</t>
  </si>
  <si>
    <t xml:space="preserve">Trauma &amp; Stress</t>
  </si>
  <si>
    <t xml:space="preserve">7–11 anos (estendível 3–18)</t>
  </si>
  <si>
    <t xml:space="preserve">Instrumento clínico ad-hoc (sem validação psicométrica formal — uso orientativo, articulado com entrevista clínica). Adaptação inspirada (Via B do protocolo) operacionalizando os critérios A–H do DSM-5-TR para Perturbação de Stress Pós-Traumático pediátrica, com formulação original em português europeu — NÃO constitui reprodução do UCLA PTSD Reaction Index for DSM-5 (Steinberg, Brymer, Pynoos et al.). Cotação clínica integrativa por psicólogo. Estrutura em 8 módulos: M1 Exposição (Critério A — 13 tipos de eventos sim/não + idade na altura), Evento Índice (tipo, idade, modalidade, descrição), M2 Intrusão (5 itens B Likert 0-4), M3 Evitamento (2 itens C), M4 Cognição/humor (7 itens D), M5 Ativação (6 itens E), M6 Dissociação (2 itens — especificador), M7 Duração F + Início H em meses, M8 Interferência funcional G (5 domínios). Total sintomático = B+C+D+E (0-80). Bandas: Mínima 0-19 / Ligeira 20-34 / Moderada 35-49 / Severa 50-80. Regra DSM-5-TR cumprida = A+B+C+D+E+F+G todos positivos. Especificadores: dissociativo (Dis1 ou Dis2 ≥ 2) e expressão tardia (início ≥ 6 meses). Padrões T1-T5 com hipótese clínica e ação sugerida. Não substitui o UCLA PTSD-RI, o CAPS-CA-5 ou outros instrumentos validados.</t>
  </si>
  <si>
    <t xml:space="preserve">Exposição (Critério A); Evento Índice; Intrusão (B); Evitamento (C); Cognição/humor (D); Ativação (E); Dissociação (especificador); Duração e Início (F, H); Interferência funcional (G); Total sintomático; Banda; Padrão T1–T5; Regra DSM-5-TR</t>
  </si>
  <si>
    <t xml:space="preserve">ucla_ptsd_adaptado</t>
  </si>
  <si>
    <t xml:space="preserve">q_ucla_ptsd_adaptado</t>
  </si>
  <si>
    <t xml:space="preserve">https://correiaricardina-ui.github.io/questionarios/UCLA_PTSD_Adaptado.html</t>
  </si>
  <si>
    <t xml:space="preserve">CSHQ-PT — Hábitos de Sono da Criança (Pais)</t>
  </si>
  <si>
    <t xml:space="preserve">Sono</t>
  </si>
  <si>
    <t xml:space="preserve">2–10 anos</t>
  </si>
  <si>
    <t xml:space="preserve">Rastreio dos hábitos e problemas de sono por heteroavaliação parental (33 itens, escala de frequência). Cotação em 8 subescalas + Índice de Perturbação do Sono (IPS). Ponto de corte da validação portuguesa: IPS ≥ 48 = rastreio positivo (Silva et al., 2013). Rastreio, não diagnóstico.</t>
  </si>
  <si>
    <t xml:space="preserve">Resistência em ir para a cama; Início do sono; Duração do sono; Ansiedade associada ao sono; Despertares noturnos; Parassónias; Perturbação respiratória do sono; Sonolência diurna; Índice de Perturbação do Sono (IPS)</t>
  </si>
  <si>
    <t xml:space="preserve">cshq_pt_pais</t>
  </si>
  <si>
    <t xml:space="preserve">q_cshq_pt_pais</t>
  </si>
  <si>
    <t xml:space="preserve">https://correiaricardina-ui.github.io/questionarios/CSHQ_PT_Pais_v1.html</t>
  </si>
  <si>
    <t xml:space="preserve">SSR-PT — Auto-Relato sobre o Sono</t>
  </si>
  <si>
    <t xml:space="preserve">Auto-relato dos hábitos e problemas de sono (itens cotados 4–26, escala de frequência). Cotação em 7 subescalas + Total SSR. Cut-off Total &gt; 41 = perturbação global do sono (Owens et al., 2000). Rastreio, não diagnóstico; integrar com relato parental (ex. CSHQ-PT).</t>
  </si>
  <si>
    <t xml:space="preserve">Resistência ao Deitar; Início do Sono; Duração do Sono; Ansiedade do Sono; Despertares Noturnos; Parassónias; Sonolência Diurna; Total SSR</t>
  </si>
  <si>
    <t xml:space="preserve">ssr_pt</t>
  </si>
  <si>
    <t xml:space="preserve">q_ssr_pt</t>
  </si>
  <si>
    <t xml:space="preserve">https://correiaricardina-ui.github.io/questionarios/SSR_PT_v1.html</t>
  </si>
  <si>
    <t xml:space="preserve">TS-OC · Parte I — Gravidade de Tiques (YGTSS)</t>
  </si>
  <si>
    <t xml:space="preserve">Mãe, Pai, Enc. Educação, Paciente</t>
  </si>
  <si>
    <t xml:space="preserve">Lista de sintomas de tiques + escala de gravidade (Yale Global Tic Severity Scale; Leckman et al., 1989). Cotação descritiva das dimensões motora e fónica em duas janelas — Atual (últimos 7 dias) e Pior fase — com Total de Tiques (0–50), Comprometimento (0–50) e Pontuação Global (0–100). Aplicação com apoio familiar; cotação final confirmada pelo/a psicólogo/a em entrevista. Rastreio/monitorização, não diagnóstico.</t>
  </si>
  <si>
    <t xml:space="preserve">Subtotal Motor; Subtotal Fónico; Total de Tiques; Comprometimento; Pontuação Global YGTSS</t>
  </si>
  <si>
    <t xml:space="preserve">tsoc_ygtss</t>
  </si>
  <si>
    <t xml:space="preserve">q_tsoc_ygtss</t>
  </si>
  <si>
    <t xml:space="preserve">https://correiaricardina-ui.github.io/questionarios/TSOC_YGTSS_v1.html</t>
  </si>
  <si>
    <t xml:space="preserve">A-DES — Escala de Experiências Dissociativas em Adolescentes</t>
  </si>
  <si>
    <t xml:space="preserve">Rastreio dimensional de experiências dissociativas por auto-relato do adolescente (30 itens, escala 0–10). Métrica = média global + 5 domínios (Amnésia; Despersonalização/Desrealização; Absorção; Alteração de Identidade; Transversal). Ponto de corte orientador: média ≥ 4,0 = dissociação clinicamente significativa; 3,0–3,9 = moderada. Instrumento de rastreio/orientação, não diagnóstico — integrar sempre com entrevista clínica, observação e história de vida.</t>
  </si>
  <si>
    <t xml:space="preserve">Amnésia; Despersonalização/Desrealização; Absorção; Alteração de Identidade; Transversal; Média Global A-DES</t>
  </si>
  <si>
    <t xml:space="preserve">ades</t>
  </si>
  <si>
    <t xml:space="preserve">q_ades</t>
  </si>
  <si>
    <t xml:space="preserve">https://correiaricardina-ui.github.io/questionarios/A_DES_v1.html</t>
  </si>
  <si>
    <t xml:space="preserve">ACE-Q — Experiências Adversas na Infância · Autorrelato (Adolescente)</t>
  </si>
  <si>
    <t xml:space="preserve">Rastreio de experiências adversas na infância por autorrelato do adolescente (18 itens, escala de frequência 0–2). Adaptação clínica da ACE-Q (Felitti et al., 1998) / ACE-IQ (WHO, 2010) para 6 domínios. Pontuação total 0–36 com bandas orientadoras (0–8 baixa; 9–18 moderada; &gt;18 elevada) e classificação por domínio. Instrumento de rastreio/orientação, não diagnóstico — integrar sempre com entrevista clínica e história de vida. Os domínios e a pontuação não são visíveis ao respondente.</t>
  </si>
  <si>
    <t xml:space="preserve">Relações familiares e ambiente emocional; Instabilidade familiar; Experiências de perda; Experiências de insegurança ou ameaça; Experiências sociais difíceis; Experiência emocional interna</t>
  </si>
  <si>
    <t xml:space="preserve">aceq_adol</t>
  </si>
  <si>
    <t xml:space="preserve">q_aceq_adol</t>
  </si>
  <si>
    <t xml:space="preserve">https://correiaricardina-ui.github.io/questionarios/ACE-Q_Adolescente.html</t>
  </si>
  <si>
    <t xml:space="preserve">ACE-Q — Experiências Adversas na Infância · Cuidador</t>
  </si>
  <si>
    <t xml:space="preserve">Rastreio de experiências adversas na infância por relato do cuidador (15 itens, escala de frequência 0–2). Adaptação clínica da ACE-Q (Felitti et al., 1998) e da versão pediátrica PEARLS (Brar et al., 2021) para 6 domínios. Pontuação total 0–30 com bandas orientadoras (0–6 baixa exposição; 7–14 moderada; ≥15 significativa) e classificação por domínio. Instrumento de rastreio/orientação, não diagnóstico — integrar sempre com entrevista clínica e história de vida. Os domínios e a pontuação não são visíveis ao respondente.</t>
  </si>
  <si>
    <t xml:space="preserve">Ambiente emocional familiar; Instabilidade familiar; Experiências de perda; Segurança e proteção; Experiências sociais difíceis; Eventos stressantes significativos</t>
  </si>
  <si>
    <t xml:space="preserve">aceq_cuid</t>
  </si>
  <si>
    <t xml:space="preserve">q_aceq_cuid</t>
  </si>
  <si>
    <t xml:space="preserve">https://correiaricardina-ui.github.io/questionarios/ACE-Q_Cuidador.html</t>
  </si>
  <si>
    <t xml:space="preserve">Entrevista adaptada CAARMS — Experiências Psicóticas Atenuadas, Dissociação e Funcionamento</t>
  </si>
  <si>
    <t xml:space="preserve">Psicóloga (aplicação clínica)</t>
  </si>
  <si>
    <t xml:space="preserve">Adolescentes / jovens</t>
  </si>
  <si>
    <t xml:space="preserve">Entrevista semiestruturada aplicada pela psicóloga (Avaliação Fenomenológica de Experiências Psicóticas Atenuadas, Dissociação e Funcionamento Subjetivo). Adaptação inspirada (Via B) nos domínios do CAARMS (Yung, McGorry et al., 2005), com formulação original em português europeu — NÃO constitui reprodução do CAARMS. Orientadora e descritiva, não diagnóstica: não classifica risco (UHR/APS/BLIPS). 10 domínios com cotação estruturada 0/1/2 (típico–preservado / intermédio / marcado–ausente); campos vazios cotam 0. A aplicação regista as respostas fluidas ditas pelo próprio, a cotação de cada item e observações qualitativas; o painel apresenta o perfil por domínio, o Índice Global de Alteração Dimensional (IGAD = média dos 10 índices; IGAD bruto = soma/54×100) e um painel de sinalização (11 marcadores Alto/Médio). Bandas orientadoras do IGAD: &lt;34 Mínima / 34–66 Moderada / ≥67 Elevada. Instrumento orientativo, a integrar sempre com entrevista clínica, observação e história de vida. Os domínios e a pontuação não são visíveis ao respondente.</t>
  </si>
  <si>
    <t xml:space="preserve">Experiências percetivas atípicas; Pensamento, fluência e organização cognitiva; Ideias de referência, desconfiança e hipervigilância; Self, corpo e experiências dissociativas; Experiência emocional e afetividade; Funcionamento global e esforço subjetivo; Narrativa subjetiva e organização do discurso; Qualidade de contacto e presença relacional; Insight, significado e medos implícitos; Coerência interna e continuidade do self; IGAD (Índice Global de Alteração Dimensional)</t>
  </si>
  <si>
    <t xml:space="preserve">caarms_adap</t>
  </si>
  <si>
    <t xml:space="preserve">q_caarms_adap</t>
  </si>
  <si>
    <t xml:space="preserve">https://correiaricardina-ui.github.io/questionarios/Entrevista_CAARMS_adap.html</t>
  </si>
  <si>
    <t xml:space="preserve">Prova «O Cuidar e a Integridade do Corpo»</t>
  </si>
  <si>
    <t xml:space="preserve">Idade escolar (≈ 6–11 anos)</t>
  </si>
  <si>
    <t xml:space="preserve">Prova projetiva integrada de story-stems abertos (instrumento original de Ricardina Correia, 2026), de aplicação exclusiva pela psicóloga, para avaliação idiográfica e qualitativa do cuidar, da integridade corporal, do coping e das figuras cuidadoras em idade escolar (≈6–11 anos). Administração não-diretiva: não nomear «medo/dor/doença/hospital» antes da criança; sondas condicionais só se o tema emergir; registo do verbatim, hesitações, evitamentos e pedidos de tranquilização; desenho opcional. Leitura descritiva (não-normativa, não-cotação): posicionamento 1 (adaptativo) → 5 (vulnerabilidade) nos eixos, mais reparação relacional no desfecho. Instrumento orientativo, a integrar sempre com entrevista clínica, observação e história de vida. Os eixos e o posicionamento não são visíveis ao respondente.</t>
  </si>
  <si>
    <t xml:space="preserve">Integridade corporal; Cuidado e dependência; Coping / resolução (padrão predominante + secundário); Figuras cuidadoras (+ reparação relacional no desfecho)</t>
  </si>
  <si>
    <t xml:space="preserve">cuidar_corpo</t>
  </si>
  <si>
    <t xml:space="preserve">q_cuidar_corpo</t>
  </si>
  <si>
    <t xml:space="preserve">https://correiaricardina-ui.github.io/questionarios/Prova_Cuidar_Integridade_Corpo_v1.html</t>
  </si>
  <si>
    <t xml:space="preserve">CSAS — Escala de Ansiedade de Separação para Crianças (Criança)</t>
  </si>
  <si>
    <t xml:space="preserve">8–11 anos</t>
  </si>
  <si>
    <t xml:space="preserve">Autorrelato de sintomas de ansiedade de separação (20 itens, 4 fatores). Corte total ≥ 68 orientativo (norma espanhola, não portuguesa; Méndez et al., 2014).</t>
  </si>
  <si>
    <t xml:space="preserve">Preocupação com a separação (cognitivo); Mal-estar da separação (psicofisiológico); Oposição à separação (comportamental); Calma na separação (fator positivo, invertido no cálculo — itens 3, 8, 12, 15, 19); Total (20–100)</t>
  </si>
  <si>
    <t xml:space="preserve">csas</t>
  </si>
  <si>
    <t xml:space="preserve">q_csas</t>
  </si>
  <si>
    <t xml:space="preserve">https://correiaricardina-ui.github.io/questionarios/CSAS_v1.html</t>
  </si>
  <si>
    <t xml:space="preserve">CSAS-P — Escala de Ansiedade de Separação para Crianças · Versão Pais</t>
  </si>
  <si>
    <t xml:space="preserve">Heterorrelato parental de ansiedade de separação (20 itens, 4 fatores). Sem ponto de corte; leitura principal por fator (z vs norma parental espanhola, não portuguesa; Méndez et al., 2022).</t>
  </si>
  <si>
    <t xml:space="preserve">Preocupação; Oposição; Calma (fator positivo/protetor — leitura inversa); Mal-estar (norma com efeito de chão — ler com cautela); Total orientativo = Preocupação + Oposição + Mal-estar + (30 − Calma)</t>
  </si>
  <si>
    <t xml:space="preserve">csas_p</t>
  </si>
  <si>
    <t xml:space="preserve">q_csas_p</t>
  </si>
  <si>
    <t xml:space="preserve">https://correiaricardina-ui.github.io/questionarios/CSAS_P_v1.html</t>
  </si>
  <si>
    <t xml:space="preserve">SGRS — Sohn Grayson Rating Scale</t>
  </si>
  <si>
    <t xml:space="preserve">Mãe, Pai, Enc. Educação, Professor(a), Educador(a), Psicóloga</t>
  </si>
  <si>
    <t xml:space="preserve">Rastreio e sistematização da observação de comportamentos associados a PEA de alto funcionamento (Sohn &amp; Grayson, 2005). 58 itens · 6 domínios · Likert 1–4 (1 = Não é verdade · 2 = Raramente · 3 = Às vezes · 4 = Frequentemente) · SEM itens invertidos · amplitude 58–232 (o mínimo é 58 e não 0). Admite pais, professor e clínico em paralelo — o painel calcula a concordância inter-informantes (amplitude entre médias/item: ≥1,00 discrepância assinalável · ≥0,50 ligeira). Total bruto só é válido com 58/58 itens; com omissos apresenta estimativa prorrateada (média/item × 58), rotulada como exploratória. NÃO existem normas portuguesas — versão portuguesa é tradução de trabalho, sem adaptação transcultural nem validação psicométrica. Bandas globais dos autores (58–89 Muito baixa · 90–118 Baixa · 119–149 Média a moderada · 150–177 Moderada a alta · 178–207 Alta a muito alta · 208–232 Muito alta), sem derivação empírica publicada nem estudos independentes de fidelidade/validade/sensibilidade/especificidade. Classificação por domínio = convenção descritiva sem base normativa (média/item: 1,00–1,74 mínima · 1,75–2,49 ligeira · 2,50–3,24 moderada · 3,25–4,00 elevada) — PENDENTE DE RATIFICAÇÃO. Instrumento de rastreio: não estabelece nem exclui diagnóstico de PEA e não substitui avaliação diagnóstica multimodal. Terminologia original («Síndrome de Asperger», «PDD de alto funcionamento») é anterior ao DSM-5-TR/CID-11 — reportar em nomenclatura atual (PEA com especificadores de gravidade). Cautelas: Discurso e Linguagem pesa 38 % dos itens (22/58); Comportamento Motor tem só 2 itens (média instável); itens G02 (memorização) e L13 (vocabulário) descrevem competências mas são cotados na mesma direção.</t>
  </si>
  <si>
    <t xml:space="preserve">Comportamento Social (14 itens; 14–56) — amizades, iniciativa de jogo, jogo imaginativo e repetitivo, contacto ocular, expressões faciais/linguagem corporal, multidões, perspetiva do outro, compreensão e expressão emocional, espaço pessoal, regras de jogo; Comportamento (8 itens; 8–32) — medos incomuns, interesses obsessivos/ritualismo, pensamento dicotómico, hábitos alimentares, comportamentos persistentes, rigidez a mudanças/transições, perfecionismo, ansiedade; Discurso e Linguagem (22 itens; 22–88) — uso peculiar de palavras, não pedir explicação/ajuda, humor e provocações, iniciar e manter conversa recíproca, interesse pelo outro, discurso adultificado, comentários embaraçosos, perguntas e tópicos obsessivos, vocabulário, linguagem social, pronomes, prosódia/volume, linguagem em scripts, literalidade, ideia principal, rituais verbais, gestos, manutenção do tópico; Cognição (7 itens; 7–28) — conceitos abstratos, memorização, motricidade fina, literalidade do comportamento dos outros, generalização da aprendizagem, distratibilidade, atenção sustentada; Perceção Sensorial (5 itens; 5–20) — sensibilidade invulgar a ruídos, cheiros, paladares, texturas e toque; Comportamento Motor (2 itens; 2–8) — movimentos repetidos/estereotipados, dificuldades motoras; Pontuação Global (58–232) — bandas de probabilidade dos autores.</t>
  </si>
  <si>
    <t xml:space="preserve">sgrs</t>
  </si>
  <si>
    <t xml:space="preserve">q_sgrs</t>
  </si>
  <si>
    <t xml:space="preserve">https://correiaricardina-ui.github.io/questionarios/SGRS_v1.html</t>
  </si>
  <si>
    <t xml:space="preserve">AIS-8 — Escala de Insónia de Atenas</t>
  </si>
  <si>
    <t xml:space="preserve">Rastreio de insónia clinicamente significativa e monitorização da evolução (Soldatos, Dikeos &amp; Paparrigopoulos, 2000, 2003). Autorrelato, 8 itens, escala ordinal 0–3, período de referência: último mês. Estrutura em dois blocos: itens 1–5 sono noturno (AIS-5) e itens 6–8 consequências diurnas. Todos os itens directos — sem itens invertidos e sem ponderações; total = soma dos 8 itens (0–24). Ponto de corte total ≥ 6 (sensibilidade 93%, especificidade 85%, 90% de classificação correta; regressão logística contra diagnóstico CID-10 de insónia não orgânica, amostra clínica adulta grega — NÃO validado em adolescentes). Bandas descritivas de gravidade de Okajima et al. (2020), critério ISI, amostra comunitária adulta japonesa — estatuto descritivo/exploratório. NÃO existem normas portuguesas e a formulação PT-PT dos itens não corresponde a uma versão portuguesa validada: comparações com dados normativos internacionais exigem reserva. Instrumento de rastreio e monitorização — não estabelece diagnóstico isoladamente: um resultado abaixo do ponto de corte não exclui perturbação do sono e um resultado acima não a confirma. Em adolescentes, integrar sempre com hábitos, rotinas e higiene do sono, ansiedade e ruminação pré-sono, impacto escolar e emocional, e discrepâncias pais ↔ autorrelato; quando indicado, complementar com diário de sono e avaliação médica.</t>
  </si>
  <si>
    <t xml:space="preserve">Índice noturno — AIS-5 (itens 1–5; 0–15) — sintomatologia noturna: dificuldade em adormecer (indução), despertares durante a noite (manutenção), acordar mais cedo do que desejado (despertar final), duração total do sono e qualidade global do sono; Índice diurno (itens 6–8; 0–9) — repercussão diurna: sensação de bem-estar durante o dia, funcionamento diário (atenção, energia, desempenho) e sonolência durante o dia; Total AIS-8 (0–24) — soma directa dos 8 itens; Banda descritiva de gravidade — 0–5 Ausência de insónia · 6–9 Insónia ligeira · 10–15 Insónia moderada · 16–24 Insónia grave (Okajima et al., 2020; leitura exploratória em adolescentes); Rastreio (ponto de corte ≥ 6) — positivo/negativo face ao ponto de corte de Soldatos et al. (2003). Indicadores auxiliares descritivos, sem estatuto diagnóstico: nº de itens com resposta ≥ 2 (extensão da sintomatologia) e nº de itens com resposta = 3 (intensidade máxima referida); perfil dimensional por comparação da % do máximo entre índice noturno e índice diurno (diferença ≥ 20 pontos percentuais = predomínio relativo).</t>
  </si>
  <si>
    <t xml:space="preserve">ais8</t>
  </si>
  <si>
    <t xml:space="preserve">q_ais8</t>
  </si>
  <si>
    <t xml:space="preserve">https://correiaricardina-ui.github.io/questionarios/AIS_8_v1.html</t>
  </si>
  <si>
    <t xml:space="preserve">GAD-7 — Escala de Ansiedade Generalizada</t>
  </si>
  <si>
    <t xml:space="preserve">Rastreio da gravidade sintomática de ansiedade generalizada e monitorização da evolução (Spitzer, Kroenke, Williams &amp; Löwe, 2006). Autorrelato, 7 itens, escala ordinal 0–3, período de referência: últimos 14 dias; aplicação individual ou coletiva em 2–3 minutos; heteroaplicação admissível em caso de limitação de literacia, registando-se essa condição. Instrumento UNIDIMENSIONAL: total = soma directa dos 7 itens (0–21), sem subescalas, sem itens invertidos e sem ponderações (ACP em Sousa et al., 2015; AFE em Leite &amp; Faro, 2022, 62,8% de variância explicada) — os agrupamentos de conteúdo são meramente descritivos e não têm estatuto psicométrico. Ponto de corte operacional ≥ 10 (Spitzer et al., 2006: sensibilidade 89%, especificidade 82%). Bandas de gravidade descritiva 0–4 · 5–9 · 10–14 · 15–21 da amostra original norte-americana, replicadas na literatura subsequente. NÃO EXISTEM NORMAS PORTUGUESAS (percentis ou pontuações padronizadas): os limiares 5/10/15 são bandas descritivas e não limiares diagnósticos — «Ansiedade grave» descreve intensidade sintomática, não é atribuição nosológica. A validação portuguesa de referência (Sousa et al., 2015; artigo em acesso aberto CC-BY) foi conduzida em amostra clínica psiquiátrica adulta (78,8% mulheres, idade média 52,2 anos) — a generalização a populações não clínicas, a outros escalões etários e a contexto pediátrico exige prudência; Gonçalves (2019, validação portuguesa 6–16 anos) reporta prevalência com base num valor superior a 11, não coincidente com o corte adulto de 10. Instrumento de RASTREIO: não constitui, por si, instrumento de diagnóstico e não substitui a entrevista clínica nem o exame do estado mental — um total elevado é inespecífico e sobrepõe-se a sintomatologia depressiva (r = 0,450 com a subescala de depressão da HADS) e um total baixo não exclui perturbação de ansiedade. Estatuto de acesso: VIA A — instrumento legalmente acessível, reproduzido com atribuição (família PHQ/GAD, autorização expressa de reprodução, tradução e distribuição).</t>
  </si>
  <si>
    <t xml:space="preserve">Total GAD-7 (0–21) — soma directa dos 7 itens; instrumento unidimensional, NÃO calcula subescalas. Banda de gravidade descritiva — 0–4 Ansiedade mínima (sintomatologia ansiosa ausente ou residual no período de referência) · 5–9 Ansiedade leve (intensidade ligeira, abaixo do limiar de rastreio) · 10–14 Ansiedade moderada (intensidade moderada, acima do limiar de rastreio) · 15–21 Ansiedade grave (intensidade elevada, acima do limiar de rastreio) — limiares de Spitzer et al. (2006), NÃO são normas portuguesas. Rastreio (ponto de corte ≥ 10) — positivo/negativo face ao ponto de corte operacional, editável. Validade do protocolo — regra de dados em falta (decisão interna documentada; a escala original não a define): itens não respondidos são excluídos do denominador e NUNCA cotados como zero (0 é resposta substantiva, «Nunca»); com 6 itens respondidos o total é estimado por prorata — ARRED(soma ÷ n × 7; 0) — e sinalizado como estimativa; com menos de 6 o protocolo é inválido e não é gerada interpretação. Indicadores auxiliares descritivos, sem estatuto diagnóstico: % da pontuação máxima; nº de itens com pontuação ≥ 2 (sintoma referido em mais de metade dos dias); item de pontuação mais elevada (o primeiro, em caso de empate). Agrupamentos de conteúdo MERAMENTE DESCRITIVOS (sem estatuto de subescala; sem cotação própria): apreensão/tensão nervosa (item 1); cognitivo — incontrolabilidade da preocupação (item 2); cognitivo — preocupação excessiva e multifocal (item 3); somático — tensão/dificuldade de relaxamento (item 4); somático-motor — inquietação (item 5); irritabilidade (item 6); apreensão antecipatória (item 7). Nota: a versão em uso omite o item 8 canónico (dificuldade causada pelos problemas), que não é cotado mas informa a apreciação da incapacidade funcional.</t>
  </si>
  <si>
    <t xml:space="preserve">gad7</t>
  </si>
  <si>
    <t xml:space="preserve">q_gad7</t>
  </si>
  <si>
    <t xml:space="preserve">https://correiaricardina-ui.github.io/questionarios/GAD7_v1.html</t>
  </si>
  <si>
    <t xml:space="preserve">SMQ — Questionário de Mutismo Seletivo (Pais)</t>
  </si>
  <si>
    <t xml:space="preserve">Quantificação da frequência de fala por contexto, da interferência funcional associada e monitorização da mudança em resposta a intervenção (Bergman, Keller, Piacentini &amp; Bergman, 2008). Relato parental, 23 itens. Itens 1–17: escala ordinal de frequência 0–3 (Nunca · Raramente · Frequentemente · Sempre), período de referência: últimas duas semanas; itens 18–23: escala de interferência/desconforto 0–3 (Nada · Um pouco · Moderadamente · Muito), que NÃO integra a pontuação de sintomas. ATENÇÃO — ESCALA INVERSA: pontuações mais BAIXAS indicam MENOR frequência de fala e, portanto, MAIOR gravidade sintomática. Métrica primária: média por escala (0–3); métrica secundária: soma prorrateada (média × nº nominal de itens). Os itens 12 e 17 admitem legitimamente «Não aplicável» (ausência de ama/cuidador; ausência de atividades extraescolares) e são excluídos de numerador e denominador. NÃO é instrumento de diagnóstico e não gera pontos de corte diagnósticos; não existem normas portuguesas — todos os limiares utilizados são exploratórios. Não discrimina de forma fiável o mutismo seletivo da perturbação de ansiedade social isolada.</t>
  </si>
  <si>
    <t xml:space="preserve">Escola (itens 1–6; média 0–3; N mín. 5 de 6; referência DT ≥ 2,50) — frequência de fala com colegas, professores e perante a turma. · Casa/Família (itens 7–12; N mín. 4 de 6; referência DT ≥ 2,50) — fala com familiares coabitantes e não coabitantes, ao telefone e com cuidadores; é estruturalmente a subescala menos afetada, pelo que valores baixos exigem reformulação da hipótese. · Social (itens 13–17; N mín. 3 de 5; referência DT ≈ 2,00, estruturalmente MAIS BAIXA — comparar contra 2,50 produziria sobreidentificação sistemática) — fala com desconhecidos, profissionais de saúde, funcionários e em atividades extraescolares. · TOTAL SMQ (itens 1–17; N mín. 13 de 17; invalidado se qualquer subescala não for cotada). · Escala de sintomas em métrica de soma (0–51) — rastreio: ≤ 14 positivo com especificidade máxima · ≤ 38 positivo (sensibilidade 100%, especificidade 74,3%) · &gt; 38 negativo. ADVERTÊNCIA: o corte de 13 citado na literatura secundária refere-se à cotação INVERTIDA do estudo neerlandês e NÃO se aplica à cotação original — o equivalente correto é 38. · Interferência funcional na criança (itens 18–21; N mín. 3 de 4). · Desconforto da criança (item 22). · Desconforto do cuidador (item 23). · Índice global de interferência (itens 18–23; soma 0–18; escala autónoma, α = 0,81). · IDC — Índice de Discrepância Contextual (média Casa/Família − média Escola; construção própria; interpretável apenas com média Escola &lt; 2,00; a classificação «Restrição extensiva ao contexto familiar» com média Casa &lt; 1,50 tem precedência sobre a magnitude do IDC). · Discrepância Social − Escola. · Concordância inter-informante na subescala Escola (calculada automaticamente a partir da versão Professores do mesmo código: &lt; 0,50 elevada · 0,50–0,99 moderada · ≥ 1,00 discrepância relevante). Bandas descritivas da média (0–3): 0–0,49 Fala ausente ou quase ausente · 0,50–0,99 Fala muito reduzida · 1,00–1,49 Fala reduzida · 1,50–1,99 Fala inconsistente · 2,00–2,49 Fala frequente · 2,50–3,00 Fala consistente.</t>
  </si>
  <si>
    <t xml:space="preserve">smq_pais</t>
  </si>
  <si>
    <t xml:space="preserve">q_smq_pais</t>
  </si>
  <si>
    <t xml:space="preserve">https://correiaricardina-ui.github.io/questionarios/SMQ_Pais_v1.html</t>
  </si>
  <si>
    <t xml:space="preserve">SMQ — Questionário de Mutismo Seletivo (Professores)</t>
  </si>
  <si>
    <t xml:space="preserve">Quantificação da frequência de fala do aluno em contexto escolar e da interferência percebida pelo professor, com utilização preferencial na monitorização da mudança (Bergman, Keller, Piacentini &amp; Bergman, 2008). Relato do professor/educador, 11 itens. Itens 1–6: escala ordinal de frequência 0–3 (Nunca · Raramente · Frequentemente · Sempre), período de referência: últimas duas semanas — conteúdos item a item idênticos aos itens 1–6 da versão parental, o que torna a comparação inter-informante metodologicamente limpa; itens a–e: escala de interferência/desconforto 0–3. ATENÇÃO — ESCALA INVERSA: pontuações mais BAIXAS indicam MENOR frequência de fala e MAIOR gravidade. LIMITE DE ALCANCE: esta versão contém 6 itens de frequência e 5 de interferência, diferindo do School Speech Questionnaire publicado — os resultados das duas versões NÃO são permutáveis, e o rastreio por métrica de soma (≤ 38/51) aplica-se exclusivamente à versão parental de 17 itens. Sozinha não estabelece o padrão situacional que define o mutismo seletivo (Critério A do DSM-5-TR), por observar um único contexto: exige a versão parental ao lado.</t>
  </si>
  <si>
    <t xml:space="preserve">Escola — professor (itens 1–6; média 0–3; soma prorrateada 0–18; N mín. 5 de 6; referência DT ≥ 2,50, aplicada por analogia à cotação escolar por professor) — fala com colegas próximos e com a maioria dos colegas, resposta a questões do professor, iniciativa de questionar, fala com professores e funcionários, e fala em grupo ou perante a turma. Âncoras clínicos: nas amostras clínicas de mutismo seletivo os valores de base situam-se consistentemente abaixo de 1,00 e, após intervenção, tipicamente entre 1 e 2; Bergman et al. (2008) reportaram valores ≥ 2,50 num pequeno grupo referenciado por outras perturbações de ansiedade (n = 18), o que sustenta a especificidade desta subescala. · Interferência funcional percebida (itens a–c; N mín. 2 de 3) — interferência na escola, nas situações sociais e na vida do aluno em geral. · Desconforto do aluno (item d). · Desconforto do próprio professor (item e) — reportado separadamente por não constituir o mesmo constructo. · Concordância inter-informante na subescala Escola (calculada automaticamente a partir da versão Pais do mesmo código; o professor observa o contexto diretamente, o relato parental sobre a escola é indireto: &lt; 0,50 concordância elevada · 0,50–0,99 moderada · ≥ 1,00 discrepância relevante). NOTA: os itens de interferência NÃO são sobreponíveis entre versões (a parental tem 4 itens funcionais, incluindo relações familiares; esta tem 3), pelo que apenas a subescala Escola é comparada entre informantes. Bandas descritivas da média (0–3): 0–0,49 Fala ausente ou quase ausente · 0,50–0,99 Fala muito reduzida · 1,00–1,49 Fala reduzida · 1,50–1,99 Fala inconsistente · 2,00–2,49 Fala frequente · 2,50–3,00 Fala consistente.</t>
  </si>
  <si>
    <t xml:space="preserve">smq_prof</t>
  </si>
  <si>
    <t xml:space="preserve">q_smq_prof</t>
  </si>
  <si>
    <t xml:space="preserve">https://correiaricardina-ui.github.io/questionarios/SMQ_Professores_v1.html</t>
  </si>
  <si>
    <t xml:space="preserve">QCVE-P — Comportamento Verbal em Contexto Escolar (Professor)</t>
  </si>
  <si>
    <t xml:space="preserve">Professor(a), Educador(a), Diretor(a) de Turma</t>
  </si>
  <si>
    <t xml:space="preserve">Mede a frequência do comportamento verbal do/a aluno/a em contexto escolar, desagregada por interlocutor e por grau de exposição comunicativa, na avaliação e no seguimento do mutismo seletivo. Instrumento ORIGINAL de Ricardina Correia (2026), Via B, inspirado no modelo estrutural do School Speech Questionnaire (Bergman, Piacentini &amp; McCracken, 2002) — não é tradução nem adaptação autorizada, e não é permutável com o SMQ. Informante: docente com contacto regular. Janela: último mês. 8 a 12 minutos. ATENÇÃO: sem normas portuguesas — bandas exploratórias, de ancoragem analógica; instrumento de gravidade e de mudança, NÃO de diagnóstico.</t>
  </si>
  <si>
    <t xml:space="preserve">E1 — Comunicação verbal com pares (itens 1–4; média 0–3). E2 — Comunicação verbal com adultos da escola (itens 5–8; média 0–3). E3 — Comunicação verbal em situações de exposição (itens 9–12; média 0–3). Total ECV — média das três médias de subescala (0–3); ESCALA INVERSA: mais baixo = menos fala = maior gravidade; bandas 0,00–0,50 ausente ou vestigial · 0,51–1,00 muito restrito · 1,01–1,75 restrito · 1,76–2,49 parcialmente estabelecido · 2,50–3,00 ajustado ao contexto. IRV — Índice de Restrição Verbal (3 − Total ECV), orientado à gravidade. ICNV — Índice de Comunicação Não Verbal (itens 13–16; média 0–3), índice AUTÓNOMO, nunca somado à ECV. IIF — Índice de Interferência Funcional (itens 17–20; média 0–3), escala de direção INVERTIDA e índice AUTÓNOMO, nunca somado à ECV. Bloco contextual (Parte IV) não cotado, mas condicionante da validade da leitura. «SO» excluído do numerador e do denominador; subescala válida com ≥3 de 4 itens; com exactamente 3 marca estimativa exploratória; com ≤2 é INVÁLIDA e nunca cotada a zero.</t>
  </si>
  <si>
    <t xml:space="preserve">qcvep_prof</t>
  </si>
  <si>
    <t xml:space="preserve">q_qcvep_prof</t>
  </si>
  <si>
    <t xml:space="preserve">https://correiaricardina-ui.github.io/questionarios/QCVEP_Prof_v1.html</t>
  </si>
  <si>
    <t xml:space="preserve">CBQ-SF — Children’s Behavior Questionnaire (Forma Breve)</t>
  </si>
  <si>
    <t xml:space="preserve">3–7 anos</t>
  </si>
  <si>
    <t xml:space="preserve">Avalia o temperamento infantil em 15 escalas e 3 dimensões, por hétero-relato do cuidador principal (94 itens, Likert 1–7 com opção NA). Sem normas portuguesas — leitura descritiva e ipsativa, sem valor diagnóstico autónomo. ⚠ «Não aplicável» (NA) e omissos são tratados como dados em falta e excluídos do denominador, nunca cotados 0: divergência deliberada face a Lopes (2011), que cotou NA com o valor 0 e assim enviesou sistematicamente as médias para baixo (anomalia A-03 do livro de cotação). Consequência: os resultados obtidos por esta via NÃO são directamente comparáveis com os do estudo português de validação. ⚠ Item 50 — a versão portuguesa lê «Prefere atividades calmas E jogos ativos», quando o original é «prefers quiet activities TO active games»: a conjunção inverte o sentido da afirmação. Item invertido da escala Nível de Atividade, mantido fiel ao protocolo traduzido (sem correcção unilateral, à semelhança das anomalias A-01 a A-05); ponderar esta limitação na leitura isolada do item e da escala.</t>
  </si>
  <si>
    <t xml:space="preserve">Extroversão / Surgência (dimensão, Modelo A: NA + AE + EIP + IM + SG − TI). Afetividade Negativa (IF + DE + ME + TR − SLR). Controlo por Esforço (FA + CI + BIP + SP). Extroversão variante restrita, 4 escalas (Putnam &amp; Rothbart, 2006). Modelo B português (Lopes, 2011), complementar: Extroversão PT, Afetividade Negativa PT, Controlo por Esforço PT. 15 escalas: Nível de Atividade (7 itens); Irritação / Frustração (6); Aproximação / Entusiasmo (6); Foco Atencional (6); Desconforto (6); Sensibilidade / Limiar de Resposta (6); Medo (6); Elevada Intensidade de Prazer (6); Impulsividade (6); Controlo Inibido (6); Baixa Intensidade de Prazer (8); Sensibilidade Percetiva (6); Tristeza (7); Timidez (6); Sorrisos / Gargalhadas (6). Cotação por MÉDIA na métrica 1–7 (ponto neutro = 4); NA e omissos excluídos do denominador. SEM normas portuguesas: bandas descritivas, leitura preferencial por perfil ipsativo intraindividual.</t>
  </si>
  <si>
    <t xml:space="preserve">cbqsf</t>
  </si>
  <si>
    <t xml:space="preserve">q_cbqsf</t>
  </si>
  <si>
    <t xml:space="preserve">https://correiaricardina-ui.github.io/questionarios/CBQ_SF_v1.html</t>
  </si>
  <si>
    <t xml:space="preserve">QRF-C — Questionário de Relação Fraterna (Criança)</t>
  </si>
  <si>
    <t xml:space="preserve">8–16 anos</t>
  </si>
  <si>
    <t xml:space="preserve">Descreve a perceção da criança sobre a relação com um irmão específico e sobre a parcialidade parental percebida (43 itens, autorrelato, métrica 1–5). Instrumento ORIGINAL de Ricardina Correia (Via B), inspirado no modelo estrutural de Furman &amp; Buhrmester (1985): NÃO é o SRQ, não é tradução do SRQ e não é equivalente ao SRQ. SEM aferição portuguesa e SEM estudo psicométrico próprio — não existem normas, percentis, pontuações T nem pontos de corte clínicos; todas as bandas são descritivas e ancoradas na métrica de resposta. Leituras válidas: discrepância intradiádica (os dois irmãos respondem sobre a mesma relação), discrepância entre informadores e medida repetida intraindividual. Uma aplicação = uma díade: com dois irmãos, atribuir dois protocolos.</t>
  </si>
  <si>
    <t xml:space="preserve">Calor / Proximidade (dimensão: Companheirismo + Intimidade + Afeto e conduta prossocial + Admiração dirigida; exige 3 das 4 escalas). Conflito (Discussão + Antagonismo + Competição; exige 2 das 3). Estatuto / Poder relativo (diferencial com sinal preservado: média de Cuidado prestado e Dominância exercida menos média de Cuidado recebido e Dominância sofrida; amplitude −4 a +4, positivo = polo no próprio; exige as 4 escalas). Intensidade do estatuto (média das quatro escalas do bloco II). Rivalidade (máximo das magnitudes de parcialidade percebida; amplitude 0 a 2; média retida como auxiliar). Parcialidade percebida — Figura parental 1 (direção = média dos itens menos 3, amplitude −2 a +2; magnitude = valor absoluto). Parcialidade percebida — Figura parental 2 (idem). Configuração da parcialidade (sem parcialidade relevante / unifigural / bifigural). Assimetria interparental (direção Figura 1 menos direção Figura 2). Legitimidade do tratamento diferencial — Figura 1 (moderador autónomo, fora das dimensões). Legitimidade do tratamento diferencial — Figura 2 (idem). Satisfação com a relação fraterna (âncora avaliativa global). Importância atribuída à relação fraterna (âncora avaliativa global). Índices de controlo: invariância de resposta (desvio-padrão zero = protocolo não interpretável), variabilidade reduzida, tendência de resposta extrema e centralização no ponto médio.</t>
  </si>
  <si>
    <t xml:space="preserve">qrfc</t>
  </si>
  <si>
    <t xml:space="preserve">q_qrfc</t>
  </si>
  <si>
    <t xml:space="preserve">https://correiaricardina-ui.github.io/questionarios/QRFC_v1.html</t>
  </si>
  <si>
    <t xml:space="preserve">QCF-P — Questionário de Comportamento Fraterno (Parental)</t>
  </si>
  <si>
    <t xml:space="preserve">Descreve o comportamento observável de cada filho em relação aos irmãos e o tratamento diferencial relatado pelo progenitor (29 itens por filho, até 4 filhos descritos lado a lado no mesmo protocolo, métrica de frequência 1–5). Contrapartida parental do QRF-C. Instrumento ORIGINAL de Ricardina Correia (Via B), inspirado na estrutura de seis fatores do Sibling Inventory of Behavior: NÃO é o SIB, não é tradução do SIB e não é equivalente ao SIB. SEM aferição portuguesa e SEM estudo psicométrico próprio — não existem normas, percentis, pontuações T nem pontos de corte clínicos. NENHUM VALOR DESCREVE A QUALIDADE DO EXERCÍCIO PARENTAL: descreve o comportamento relatado dos filhos entre si e a estrutura da descrição feita por este informador. Um progenitor por protocolo: numa família com dois progenitores, uma ronda completa são dois protocolos, preenchidos separadamente e sem consulta mútua. Mínimo de dois filhos identificados.</t>
  </si>
  <si>
    <t xml:space="preserve">Companheirismo (itens 1–4). Empatia (5–8). Ensino / Tutoria (9–12). Rivalidade (13–16) — atenção: aqui designa comportamento rivalitário observado, e não a parcialidade parental percebida do QRF-C; a contrapartida real é a Competição (E11). Agressão (17–20). Evitamento (21–24) — sem contrapartida no QRF-C. Polo positivo e Polo negativo (índices auxiliares descritivos, não fatores: o modelo de dois fatores não ajusta no referencial de origem, CFI = 0,607). Tratamento diferencial (25–27, sem prorating): direção com sinal preservado (−2 a +2, positivo = este filho recebe mais do que os irmãos) e magnitude, a partir de atenção, carinho e permissividade. Perceção estimada pelo progenitor (item 28) e Legitimidade estimada (item 29). Índice de simetria descritiva entre filhos (média das seis amplitudes máx−mín). Coerência espelho (só com exatamente dois filhos). Perfil de fratria (onde o diferencial se concentra). Convergência com o QRF-C, sempre por diferença e nunca por soma, incluindo triangulação relatado · percebido · estimado. Índices de controlo: invariância, variabilidade reduzida, tendência extrema, centralização e indiferenciação entre colunas.</t>
  </si>
  <si>
    <t xml:space="preserve">qcfp</t>
  </si>
  <si>
    <t xml:space="preserve">q_qcfp</t>
  </si>
  <si>
    <t xml:space="preserve">https://correiaricardina-ui.github.io/questionarios/QCFP_v1.html</t>
  </si>
  <si>
    <t xml:space="preserve">CAPS-22 — Escala de Perfecionismo de Crianças e Adolescentes (Autorrelato)</t>
  </si>
  <si>
    <t xml:space="preserve">Avalia o perfecionismo auto-orientado e o perfecionismo socialmente prescrito por autorrelato da criança ou adolescente (22 itens, escala 1–5, administração assistida com leitura dos itens em voz alta; 10 a 15 minutos). Flett, Hewitt, Boucher, Davidson &amp; Munro (1997/2001) e Flett et al. (2016) — Via A, distribuição oficial pelos autores (Perfectionism and Psychotherapy Lab, UBC). O articulado utilizado é TRADUÇÃO TÉCNICA DE TRABALHO a partir da versão oficial de 22 itens e NÃO a versão validada de Bento, Pereira, Saraiva &amp; Macedo (2014), cuja amostra abrangeu apenas adolescentes de 14 a 18 anos. NÃO existem pontos de corte clínicos publicados para a CAPS, em nenhuma versão, nem normas portuguesas para idade escolar: as bandas são DESCRITIVAS e derivam de norma comunitária canadiana de 6–12 anos, sem estudo de invariância de medida para a população portuguesa. Norma primária por sexo, norma mista sempre calculada em paralelo. Tolerância de 2 omissões por subescala com prorrateio automático; acima disso o índice é declarado INVÁLIDO. Confirmar sempre a compreensão dos itens invertidos 3, 9 e 18 por reformulação da criança. Advertência desenvolvimental: em idade escolar precoce um SPP baixo ou médio NÃO permite excluir um sistema de expectativas ativo — um SPP elevado é achado forte e interpretável, um SPP não elevado é inconclusivo.</t>
  </si>
  <si>
    <t xml:space="preserve">Perfecionismo auto-orientado, SOP (itens 1, 2, 4, 6, 7, 9*, 11, 14, 16, 18*, 20, 22; amplitude 12–60; norma por sexo e norma mista; z, T, percentil e banda descritiva). Perfecionismo socialmente prescrito, SPP (itens 3*, 5, 8, 10, 12, 13, 15, 17, 19, 21; amplitude 10–50; norma por sexo e norma mista). Total (todos os 22 itens; amplitude 22–110; sem norma publicada). SOP prorrateado (10 itens diretos prorrateados a 12; itens invertidos tratados como omissão; índice secundário sem norma própria). SPP prorrateado (9 itens diretos prorrateados a 10). SOP prorrateado excluindo também o item 4 (9 itens; índice exploratório: o item 4 apresenta correlação item-total corrigida inferior a .30). Forma curta SOP-SF (itens 1, 2, 7, 16; amplitude 4–20; tolerância zero; comparável ao SOP-PR na métrica de resposta). Forma curta SPP-SF (itens 5, 8, 13, 15, 21; amplitude 5–25; tolerância zero; comparável ao SPP-PR). Índice R — discriminação entre resposta coerente e resposta literal aos itens invertidos, por proximidade a duas predições concorrentes (Δ observado versus Δ predito sob não processamento da negação; zona de indeterminação quando a média dos itens diretos se situa entre 2,75 e 3,25; estado NÃO APLICÁVEL quando todos os invertidos estão omissos). Verificações determinísticas de validade: resposta uniforme (desvio-padrão intra-protocolo igual a zero), resposta concentrada em extremos (≥ 90% em 1 ou 5) e omissões acima da tolerância. Configuração SOP × SPP (SOP elevado / SPP não elevado; SOP e SPP elevados; SPP elevado / SOP não elevado; nenhuma dimensão elevada), com leitura descritiva associada. Bandas descritivas comuns a todos os índices normalizados: marcadamente abaixo do esperado (z &lt; −1), abaixo do esperado (−1 a −0,5), dentro do esperado (−0,5 a 1), acima do esperado (1 a 1,5), elevado (1,5 a 2), muito elevado (z ≥ 2). * item invertido, cotação 6 − bruto.</t>
  </si>
  <si>
    <t xml:space="preserve">caps22</t>
  </si>
  <si>
    <t xml:space="preserve">q_caps22</t>
  </si>
  <si>
    <t xml:space="preserve">https://correiaricardina-ui.github.io/questionarios/CAPS22_Crianca_v1.html</t>
  </si>
  <si>
    <t xml:space="preserve">CAPS-PR — Perfecionismo da Criança (Heterorrelato Parental)</t>
  </si>
  <si>
    <t xml:space="preserve">Recolhe a descrição parental do perfecionismo da criança (9 itens, escala 1–5, tolerância zero a omissões), com correspondência item a item à CAPS-22 para triangulação na métrica de resposta. Bento Teixeira, Pereira &amp; Macedo (2025), Psychologica, 68, e068004 — Via A, publicação em acesso aberto; articulado em tradução técnica de trabalho, harmonizada com a da CAPS-22. A referência (M/DP) provém de uma subamostra de reteste de conveniência (n = 64, 83% mães, duas escolas privadas de Coimbra) e NÃO CONSTITUI NORMA; as bandas não são equiparáveis às do CAPS-criança. Os valores da tabela principal do artigo foram descartados por inconsistência de desvio-padrão. ESTATUTO DO INDICADOR: o SPP-PR NÃO é indicador do perfecionismo socialmente prescrito da criança — correlaciona-se com o perfecionismo do próprio informante (r = .472 com o seu SOP; r = .376 com o seu SPP) e não com o SPP autorrelatado pela criança (r = .127, n.s.). Apenas o SOP-PR é lido como observação do comportamento da criança. Cada progenitor preenche um protocolo independente, sem consulta mútua: respostas combinadas anulam o valor da comparação entre informantes.</t>
  </si>
  <si>
    <t xml:space="preserve">Perfecionismo socialmente prescrito relatado pelo progenitor, SPP-PR (itens 1 a 5; amplitude 5–25; referência provisória M = 13,52, DP = 4,58, n = 64) — indicador do informante e não da criança. Perfecionismo auto-orientado observado pelo progenitor, SOP-PR (itens 6 a 9; amplitude 4–20; referência provisória M = 13,86, DP = 3,31) — único índice do instrumento lido como observação do comportamento da criança. Total (PR) (amplitude 9–45; referência provisória M = 27,38, DP = 6,50; compósito de leitura apenas descritiva). POMP por índice (percentagem da amplitude máxima possível), para comparação entre formas de comprimento diferente. Correspondência item a item com a CAPS-22 — PR1↔13, PR2↔15, PR3↔8, PR4↔21, PR5↔5 (bloco SPP); PR6↔1, PR7↔2, PR8↔7, PR9↔16 (bloco SOP) — permitindo comparar criança e progenitor na métrica de resposta: SOP-PR ÷ 4 versus SOP-SF ÷ 4 e SPP-PR ÷ 5 versus SPP-SF ÷ 5, com Δ inferior a 1 ponto a indicar convergência dentro da mesma categoria de resposta. Bandas descritivas: marcadamente abaixo do esperado, abaixo do esperado, dentro do esperado, acima do esperado, elevado, muito elevado — calculadas sobre referência provisória, nunca sobre norma.</t>
  </si>
  <si>
    <t xml:space="preserve">caps_pr</t>
  </si>
  <si>
    <t xml:space="preserve">q_caps_pr</t>
  </si>
  <si>
    <t xml:space="preserve">https://correiaricardina-ui.github.io/questionarios/CAPS_PR_Pais_v1.html</t>
  </si>
  <si>
    <t xml:space="preserve">PDRA-9/C — Perfil Diferencial da Restrição Alimentar (Criança)</t>
  </si>
  <si>
    <t xml:space="preserve">8–14 anos</t>
  </si>
  <si>
    <t xml:space="preserve">Traça o perfil diferencial das três apresentações da ARFID em autorrelato: evitação por propriedades sensoriais, desinteresse/apetite reduzido e receio de consequências aversivas (9 itens, 3 por dimensão, escala 0–3). Instrumento ORIGINAL de construção inspirada (Via B): NÃO é a NIAS (Zickgraf &amp; Ellis, 2018), não é tradução da NIAS e os resultados não são comparáveis com dados obtidos com a NIAS. Sem normas portuguesas e sem estudo psicométrico próprio. Cotação em Índice de Endossamento (IE, 0–100 %); a saída primária é a CONFIGURAÇÃO (quantas e quais dimensões salientes), não o nível absoluto. Total calculado mas NÃO interpretado como gravidade. Limiares racionais e exploratórios (saliência 40 %, tendência 12 pp, dominância 23 pp), não pontos de corte. Regra de precedência: o índice de dominância só é leitura diferencial com uma única dimensão saliente. Sem prorrateio — um omisso invalida a dimensão. ASSIMETRIA PROBATÓRIA: uma não-elevação documenta a não-endossação por aquele informante, não a ausência do fenómeno. Sustenta o diferencial ENTRE apresentações da ARFID; não discrimina ARFID de outras perturbações alimentares. Aplicar SEMPRE antes da Forma P.</t>
  </si>
  <si>
    <t xml:space="preserve">Seletividade sensorial, S (evitação determinada pelas propriedades sensoriais do alimento; neofobia); Apetite e interesse pelo alimento, A (interesse reduzido, ausência de sinal de fome, saciedade precoce); Receio de consequências aversivas, R (antecipação de engasgamento, vómito ou desconforto gastrintestinal); Índice de Endossamento (IE) por dimensão, 0–100 %; Banda descritiva do IE (mínimo · ligeiro · moderado · acentuado · máximo); Configuração (sem dimensão saliente · isolada · mista) — saída primária; Delta de dominância (IE da seletividade menos o máximo das outras duas dimensões); Total (calculado, não interpretado como gravidade); Validade do protocolo (dimensões invalidadas por omissão)</t>
  </si>
  <si>
    <t xml:space="preserve">pdra9_c</t>
  </si>
  <si>
    <t xml:space="preserve">q_pdra9_c</t>
  </si>
  <si>
    <t xml:space="preserve">https://correiaricardina-ui.github.io/questionarios/PDRA9_C_v1.html</t>
  </si>
  <si>
    <t xml:space="preserve">PDRA-9/P — Perfil Diferencial da Restrição Alimentar (Parental)</t>
  </si>
  <si>
    <t xml:space="preserve">Traça o perfil diferencial das três apresentações da ARFID em heterorrelato parental (9 itens, 3 por dimensão, escala 0–5, referência: últimos 3 meses). Instrumento ORIGINAL de construção inspirada (Via B): NÃO é a NIAS (Zickgraf &amp; Ellis, 2018) nem tradução da NIAS. Sem normas portuguesas e sem estudo psicométrico próprio. Mesma arquitetura de cotação da Forma C. O par C+P produz o ÍNDICE DE DIVERGÊNCIA por dimensão (limiar 25 pp), que é a informação mais sensível do instrumento: na dimensão do receio o conteúdo antecipatório é experiência interna e o heterorrelato parental subestima-o de forma sistemática, pelo que a direção criança &gt; progenitor é teoricamente esperada e constitui informação clínica, não erro de medida. ASSIMETRIA PROBATÓRIA máxima nesta forma na dimensão do receio: um valor baixo documenta a não-observabilidade do receio pelo progenitor, não a sua ausência.</t>
  </si>
  <si>
    <t xml:space="preserve">Seletividade sensorial, S (evitação determinada pelas propriedades sensoriais do alimento; neofobia); Apetite e interesse pelo alimento, A (interesse reduzido, ausência de sinal de fome, saciedade precoce); Receio de consequências aversivas, R (antecipação de engasgamento, vómito ou desconforto gastrintestinal); Índice de Endossamento (IE) por dimensão, 0–100 %; Banda descritiva do IE (mínimo · ligeiro · moderado · acentuado · máximo); Configuração (sem dimensão saliente · isolada · mista) — saída primária; Delta de dominância (IE da seletividade menos o máximo das outras duas dimensões); Total (calculado, não interpretado como gravidade); Validade do protocolo (dimensões invalidadas por omissão); Índice de divergência entre informantes (Forma P menos Forma C), calculado por dimensão</t>
  </si>
  <si>
    <t xml:space="preserve">pdra9_p</t>
  </si>
  <si>
    <t xml:space="preserve">q_pdra9_p</t>
  </si>
  <si>
    <t xml:space="preserve">https://correiaricardina-ui.github.io/questionarios/PDRA9_P_v1.html</t>
  </si>
  <si>
    <t xml:space="preserve">GCSA — Grelha de Caracterização da Seletividade Alimentar</t>
  </si>
  <si>
    <t xml:space="preserve">Documenta a fenomenologia da seletividade alimentar, o perfil sensorial extra-alimentar, o impacto participativo e a acomodação familiar (98 itens: 86 em escala de frequência 0–3 e 12 dicotómicos). Instrumento de construção INTERNA (Via C): os itens dos seis blocos de observação foram redigidos de raiz em português europeu a partir dos domínios cobertos pela Escala de Avaliação do Comportamento Alimentar (LABIRINTO), sem reprodução literal de itens, instruções ou material protegido; o sistema de cotação, o modelo interpretativo e a estrutura dimensional são construções originais. SEM aferição normativa, SEM pontuação clínica e SEM pontos de corte. Cotação em dois descritores complementares por subdimensão, ambos 0–100: índice de densidade (intensidade média dos indicadores) e índice de saliência (proporção de indicadores estabelecidos como padrão, descritor primário). As bandas do índice de saliência (0–20, 20–40, 40–65, 65–100) organizam a leitura e NÃO classificam gravidade. SEM índice global: a média das 15 subdimensões achata perfis com elevação isolada, pelo que a saída primária é a CONFIGURAÇÃO relativa entre domínios. Prorrateio de omissos até 20 % por subdimensão; acima do limiar a dimensão é devolvida como não interpretável, e subdimensões com menos de 5 itens não admitem qualquer omisso. Dimensões com 2 ou 3 itens (3B, 4C, 6B, 7A, 7B) têm granularidade grosseira: ler sempre com a contagem absoluta de itens salientes. Nenhum valor é devolvido à família — para quem preenche, a grelha mantém-se o registo qualitativo que declara ser. Cada progenitor preenche um protocolo independente: a grelha convida ao registo de leituras divergentes em vez do consenso prévio, e a divergência é tratada como dado clínico, não como erro de preenchimento.</t>
  </si>
  <si>
    <t xml:space="preserve">Exigência de propriedades sensoriais, 3A (marca, temperatura, cor, consistência, ponto de cozedura); Aversão ao contacto e à mistura, 3B (alimentos que se tocam, texturas na mesma garfada); Recusa por categoria e restrição de repertório, 3C (carne, peixe, fruta, legumes, categorias inteiras); Rigidez ritualística, 4A (disposição no prato, lugar fixo, utensílios fixos); Desregulação comportamental à mesa, 4B (cuspir, não permanecer sentado, irritabilidade); Resposta aversiva física, 4C (vómito às refeições, enjoo ao ver comida diferente); Hiper-reatividade e evitação sensorial, 6A (ruído, cheiro, toque, textura, luz — extra-alimentar); Procura sensorial, 6B (mastigar objetos, movimento intenso, pressão profunda) — ortogonal a 6A, nunca somada; Dificuldade instrumental, 7A (talheres, entornar, necessidade de ajuda física); Dependência regulatória, 7B (presença e atenção do adulto durante a refeição); Restrição participativa, 8A (refeitório, visitas de estudo, festas, casa de outros, restaurantes, comida de terceiros, atividades abandonadas); Acomodação — participação direta, ACO-P (refeição diferente, compra específica, remoção do prato, alimentação assistida); Acomodação — modificação de rotinas, ACO-R (horários, ementa, compras, saídas e férias); Acomodação — facilitação da evitação, ACO-E (supressão da oferta de alimentos novos, evitação de contextos); Consequências da não acomodação, ACO-C (resposta da criança à não cedência e cedência subsequente do adulto); Marcadores de preservação, 3D (sabores intensos aceites, apetite e prazer no que aceita) — reportado em separado, indicador de recurso terapêutico; Impacto no cuidador, ACO-D (preocupação, tensão às refeições, discordância entre adultos) — reportado em separado, informação de planeamento; Competência mastigatória, M-COMP e Segurança na deglutição, M-SEG (bloco 02) — relato médico, contagem descritiva sem índice; Sintomatologia digestiva funcional, D-FUNC e Diagnósticos estabelecidos, D-DIAG (bloco 05) — relato médico, contagem descritiva sem índice; Sinalizadores clínicos: segurança na deglutição, ingestão de não alimentos, crescimento e peso, preocupação com a imagem corporal, receio de consequências aversivas; Descritores de configuração do perfil: dimensões interpretáveis, dimensões na banda superior, dimensões sem indicadores salientes, índice de saliência máximo e mínimo, amplitude e dimensão predominante; Índice de divergência entre informantes, por subdimensão e por contagem de itens divergentes</t>
  </si>
  <si>
    <t xml:space="preserve">gcsa</t>
  </si>
  <si>
    <t xml:space="preserve">q_gcsa</t>
  </si>
  <si>
    <t xml:space="preserve">https://correiaricardina-ui.github.io/questionarios/GCSA_v1.html</t>
  </si>
  <si>
    <t xml:space="preserve">GCSA — Diário de Alimentação de Sete Dias</t>
  </si>
  <si>
    <t xml:space="preserve">Registo prospetivo de sete dias das refeições e do repertório alimentar aceite, preenchido no próprio dia (35 slots: 7 dias × 5 refeições, mais o repertório). Módulo de diário da GCSA, e a fonte de informação quantitativa mais robusta do instrumento, por não assentar em estimativa retrospetiva. Produz nove indicadores descritivos de amplitude e de concentração do repertório. A literatura refere com frequência repertórios inferiores a vinte alimentos como marcador de seletividade significativa: esse valor NÃO é operacionalizado como limiar, por não existirem normas portuguesas para amplitude de repertório nesta faixa etária e por a sua conversão em ponto de corte contrariar o estatuto declarado do instrumento. Os indicadores são apresentados como contagens, para leitura clínica integrada. Enviar sempre em conjunto com a grelha principal, pedindo que seja a última secção a preencher, e incluir pelo menos um dia de fim de semana e, se possível, um dia com refeição fora de casa.</t>
  </si>
  <si>
    <t xml:space="preserve">Refeições com registo, de 35 possíveis; Refeições com recusa registada; Taxa de recusa, em percentagem das refeições com registo; Refeições fora de casa; Alimentos distintos aceites ao longo dos sete dias (amplitude do repertório); Núcleo estável: alimentos presentes em quatro ou mais dias (componente rígida e previsível do repertório); Proporção do repertório em núcleo estável (grau de concentração; proporção elevada com repertório reduzido caracteriza padrão de rotação fixa); Média de alimentos distintos por dia com registo (variedade diária efetiva, distinta da amplitude acumulada); Distribuição de alimentos distintos por dia, com distinção entre dia de escola e fim de semana</t>
  </si>
  <si>
    <t xml:space="preserve">gcsa_diario</t>
  </si>
  <si>
    <t xml:space="preserve">q_gcsa_diario</t>
  </si>
  <si>
    <t xml:space="preserve">https://correiaricardina-ui.github.io/questionarios/GCSA_Diario_v1.html</t>
  </si>
  <si>
    <t xml:space="preserve">SIAS · SPS — Escalas de Ansiedade Social</t>
  </si>
  <si>
    <t xml:space="preserve">Próprio</t>
  </si>
  <si>
    <t xml:space="preserve">14–99 anos</t>
  </si>
  <si>
    <t xml:space="preserve">Distingue a ansiedade de INTERAÇÃO social (SIAS, 19 itens, amplitude 0–76; itens 8 e 10 invertidos, valor cotado = 4 menos valor bruto) da ansiedade de ESCRUTÍNIO ou desempenho (SPS, 20 itens, amplitude 0–80; nenhum item invertido), em autorrelato numa escala 0–4 (0 = não é nada característico da minha maneira de ser; 4 = extremamente característico). As duas escalas são sempre aplicadas em conjunto e partilham a mesma aba do Sheet. O RESULTADO PRINCIPAL é a média por item de cada escala e o CONTRASTE entre ambas (SPS menos SIAS, amplitude −4 a +4), que documenta a dissociação intraindividual entre os dois eixos; os totais são secundários. A leitura privilegia a média por item por ser independente do número de itens: a SIAS circula em versões de 19 e de 20 itens, com amplitudes diferentes (0–76 e 0–80), pelo que os totais publicados não são directamente comparáveis entre si. SEM normas portuguesas e SEM pontos de corte nacionais. Os marcadores internacionais são indicativos, apresentam dispersão considerável entre estudos (SIAS 34 a 43; SPS 24 a 27), derivam integralmente de amostras ADULTAS e NÃO são interpretáveis em respondentes com menos de 18 anos; abaixo dos 14 anos estas escalas não são o instrumento indicado. Limite de 2 omissos por escala (convenção operacional, cerca de 10 por cento dos itens, sem base empírica publicada): acima do limite a média e o contraste são devolvidos como não interpretáveis, nunca como zero. A atribuição de um padrão de leitura ao contraste é CLÍNICA e não está automatizada. Todo o apuramento é descritivo; a interpretação clínica é da exclusiva responsabilidade do psicólogo responsável pela avaliação.</t>
  </si>
  <si>
    <t xml:space="preserve">Ansiedade em situações de interação social, SIAS (média por item 0–4; total 0–76) — falar com figuras de autoridade, manter contacto visual, falar de si próprio, conversar com pessoas pouco conhecidas, discordar, interagir em grupo; Ansiedade de escrutínio ou fobia social, SPS (média por item 0–4; total 0–80) — ser observado a escrever, a comer, a beber, a andar na rua, receio de corar, de tremer, de perder o controlo, de atrair as atenções, falar à frente de outros; Contraste entre as médias por item (SPS menos SIAS, −4 a +4) — saída primária do instrumento, documenta a dissociação entre os dois eixos; Estado do protocolo por escala (completo; omissos dentro do limite de 2; omissos acima do limite, não interpretável); Posição descritiva face aos marcadores internacionais — SIAS 34 (Brown et al., 1997) e 43 (uso corrente na literatura); SPS 24 (Heimberg et al., 1992) e 27 (Peters, 2000); Grelha de leitura do contraste — escrutínio circunscrito; ansiedade social generalizada; ansiedade não organizada no eixo social; padrão atípico a reavaliar — leitura clínica, NÃO automatizada</t>
  </si>
  <si>
    <t xml:space="preserve">sias_sps</t>
  </si>
  <si>
    <t xml:space="preserve">q_sias_sps</t>
  </si>
  <si>
    <t xml:space="preserve">https://correiaricardina-ui.github.io/questionarios/SIAS_SPS_v1.html</t>
  </si>
  <si>
    <t xml:space="preserve">BAI — Inventário de Ansiedade de Beck</t>
  </si>
  <si>
    <t xml:space="preserve">Próprio, Mãe, Pai</t>
  </si>
  <si>
    <t xml:space="preserve">13–99 anos</t>
  </si>
  <si>
    <t xml:space="preserve">Mede a intensidade dos sintomas de ansiedade sentidos durante a última semana, incluindo o dia de hoje, em autorrelato de 21 itens numa escala 0–3 (0 = absolutamente não; 1 = levemente, não me incomodou muito; 2 = moderadamente, foi muito desagradável mas pude suportar; 3 = gravemente, dificilmente pude suportar). Total 0–63, com limiares de Beck e Steer (1990/1993): 0–7 mínima, 8–15 ligeira, 16–25 moderada, 26–63 grave. A validação portuguesa (Quintão, Delgado e Prieto, 2013) confirma estrutura UNIDIMENSIONAL, pelo que apenas o total tem cotação normativa; os quatro agrupamentos de sintomas são exploratórios, as alocações de itens divergem entre estudos e são apresentados em escala descritiva azul, sem juízo de gravidade. O instrumento sobrerrepresenta deliberadamente a componente SOMÁTICA da ansiedade, o que o torna útil para discriminar ansiedade de depressão mas insuficiente como medida isolada de ansiedade cognitiva ou de preocupação. É de autopreenchimento e mede a ansiedade de QUEM PREENCHE: aplicado a um progenitor, o resultado descreve o progenitor e não a criança; o código do paciente identifica o processo, não o sujeito da medida. Entre aplicações, apenas diferenças iguais ou superiores a 7 pontos constituem mudança fiável (índice de mudança fiável, Seggar et al., 2002); variações menores situam-se dentro do erro de medida. Instrumento proprietário (© Beck / Psychological Corporation), tradução portuguesa autorizada. Resultado isolado não é diagnóstico.</t>
  </si>
  <si>
    <t xml:space="preserve">Total BAI (0–63) — única saída com cotação normativa; limiares 0–7 mínima, 8–15 ligeira, 16–25 moderada, 26–63 grave; Agrupamento subjetivo, 7 itens (0–21) — incapaz de relaxar, medo que aconteça o pior, aterrorizado, nervoso, medo de perder o controlo, medo de morrer, assustado; Agrupamento neurofisiológico, 6 itens (0–18) — tremores nas pernas e nas mãos, trémulo, sem equilíbrio, sensação de sufocação, dificuldade de respirar; Agrupamento autonómico, 4 itens (0–12) — palpitação ou aceleração do coração, sensação de calor, indigestão ou desconforto abdominal, rosto afogueado; Agrupamento de pânico, 4 itens (0–12) — dormência ou formigamento, atordoado ou tonto, sensação de desmaio, suor não devido ao calor; Comparação longitudinal pelo índice de mudança fiável (diferença igual ou superior a 7 pontos entre aplicações)</t>
  </si>
  <si>
    <t xml:space="preserve">bai</t>
  </si>
  <si>
    <t xml:space="preserve">q_bai</t>
  </si>
  <si>
    <t xml:space="preserve">https://correiaricardina-ui.github.io/questionarios/BAI_v1.html</t>
  </si>
  <si>
    <t xml:space="preserve">BDI-II — Inventário de Depressão de Beck II</t>
  </si>
  <si>
    <t xml:space="preserve">Mede a gravidade dos sintomas depressivos sentidos durante as duas últimas semanas, incluindo o dia de hoje, em autorrelato de 21 grupos de afirmações cotados 0–3. Total 0–63, com limiares de Beck, Steer e Brown (1996): 0–13 mínima, 14–19 ligeira, 20–28 moderada, 29–63 grave. Versão portuguesa de Quelhas Martins e Coelho (Faculdade de Medicina do Porto, 2000). Numa amostra comunitária portuguesa a média foi 11,01 (desvio-padrão 9,15; N = 2401; Oliveira-Brochado, Simões e Paúl, 2014): referência DESCRITIVA de enquadramento, nunca convertida em percentil nem em score padronizado. O ITEM 9 (pensamentos ou desejos suicidas) constitui sinalizador clínico próprio: qualquer cotação igual ou superior a 1 exige avaliação directa de ideação e risco, independentemente do total, e é registada em coluna separada no Sheet para permitir filtragem. Os grupos 16 (sono) e 18 (apetite) têm 7 opções cotadas 0-1-1-2-2-3-3, em que aumento e diminuição pontuam igual mas são clinicamente opostos: o sistema guarda a opção assinalada e não apenas a pontuação. As duas dimensões bifatoriais não têm cotação normativa própria e existem modelos factoriais alternativos, pelo que são apresentadas em escala descritiva azul. Assume o formulário BDI-II, cujos itens e ordem diferem do BDI original. É de autopreenchimento e mede a depressão de QUEM PREENCHE: aplicado a um progenitor, o resultado descreve o progenitor e não a criança. Instrumento proprietário (© Beck / Psychological Corporation). Resultado isolado não é diagnóstico.</t>
  </si>
  <si>
    <t xml:space="preserve">Total BDI-II (0–63) — única saída com cotação normativa; limiares 0–13 mínima, 14–19 ligeira, 20–28 moderada, 29–63 grave; Dimensão cognitivo-afetiva, itens 1 a 13 (0–39) — tristeza, pessimismo, fracassos passados, perda de prazer, sentimentos de culpa, sentimentos de punição, autodepreciação, autocriticismo, pensamentos ou desejos suicidas, choro, agitação, perda de interesse, indecisão; Dimensão somática, itens 14 a 21 (0–24) — sentimentos de inutilidade, perda de energia, alterações no padrão de sono, irritabilidade, alterações no apetite, dificuldades de concentração, cansaço ou fadiga, perda de interesse sexual; Predomínio relativo entre as duas dimensões (cognitivo-afetivo, somático ou equilibrado) — descritor de configuração, sem cotação normativa própria; Sinalizador clínico — item 9, pensamentos ou desejos suicidas: qualquer cotação igual ou superior a 1 exige avaliação directa de ideação e risco, independentemente do total; Referência comunitária portuguesa para enquadramento descritivo: média 11,01, desvio-padrão 9,15 (Oliveira-Brochado, Simões e Paúl, 2014)</t>
  </si>
  <si>
    <t xml:space="preserve">bdi2</t>
  </si>
  <si>
    <t xml:space="preserve">q_bdi2</t>
  </si>
  <si>
    <t xml:space="preserve">https://correiaricardina-ui.github.io/questionarios/BDI2_v1.html</t>
  </si>
  <si>
    <t xml:space="preserve">PSWQ — Questionário de Preocupação do Estado da Pensilvânia</t>
  </si>
  <si>
    <t xml:space="preserve">18–99 anos</t>
  </si>
  <si>
    <t xml:space="preserve">Mede a preocupação enquanto TRAÇO — intensidade, generalização e incontrolabilidade — em autorrelato de 16 itens numa escala 1–5; não avalia o conteúdo temático da preocupação. Itens 1, 3, 8, 10 e 11 invertidos, pelo que o mínimo empírico do total é 36 e o máximo 60. Âncora normativa primária: comunidade portuguesa de Oliveira et al. (2021). Critério c de significância clínica 57,40 → 58; mudança fiável a partir de 8 pontos (RCI 95% = 7,93). Os cortes internacionais 45/62/65 são apenas marcadores comparativos, nunca critério de classificação. Mede a preocupação de QUEM PREENCHE; validado para adultos (≥ 18 anos) — em idade pediátrica usar o PSWQ-C.</t>
  </si>
  <si>
    <t xml:space="preserve">Total PSWQ (16–80; mínimo empírico 36, máximo empírico 60) — z e percentil face à comunidade portuguesa de Oliveira et al. (2021), n = 256, M = 50,91, DP = 9,86; Banda descritiva de posicionamento normativo (marcadamente abaixo, abaixo, dentro do intervalo médio comunitário, acima, marcadamente acima da média comunitária); Escala Positiva PSWQ-11, 11 itens diretos (11–55) — norma de Freitas (2017), n = 90, M = 34,79, DP = 8,74; Bloco de itens invertidos em métrica bruta, F2b, 5 itens (5–25) — norma de Freitas (2017), M = 12,06, DP = 4,11; valores mais BAIXOS indicam maior preocupação; Bloco de itens invertidos em métrica cotada, F2c (5–25) — 30 − F2b, apenas para conferência da soma; Média por item (1,00–5,00); Posicionamento comparativo noutras distribuições de referência (clínica portuguesa, comunidade portuguesa secundária, não clínica dos EUA, Perturbação de Ansiedade Generalizada agregada); Sinalizador clínico — critério c de Jacobson &amp; Truax (57,40 → 58); Sinalizador de aplicabilidade — alerta etário automático abaixo dos 18 anos; Indicador exploratório de coerência entre blocos, |z(F1) + z(F2b)|, limiar 2,00; Monitorização longitudinal pelo índice de mudança fiável (Δ ≥ 8 pontos; RCI 95% = 7,93)</t>
  </si>
  <si>
    <t xml:space="preserve">pswq</t>
  </si>
  <si>
    <t xml:space="preserve">q_pswq</t>
  </si>
  <si>
    <t xml:space="preserve">https://correiaricardina-ui.github.io/questionarios/PSWQ_v1.html</t>
  </si>
  <si>
    <t xml:space="preserve">BRIEF-A — Autorrelato</t>
  </si>
  <si>
    <t xml:space="preserve">18–90 anos</t>
  </si>
  <si>
    <t xml:space="preserve">Avalia o funcionamento executivo no quotidiano do adulto em 75 itens, numa escala de frequência de três pontos (Nunca = 1; Às vezes = 2; Frequentemente = 3), reportada ao último mês. RECOLHE EXCLUSIVAMENTE PONTUAÇÕES BRUTAS, por resposta e por escala: nove escalas clínicas, os índices BRI, MI e GEC, e as duas escalas de validade. Por decisão clínica NÃO converte para T-score nem para percentil — a leitura normativa, que depende da idade e do sexo, é feita manualmente nas tabelas do manual a partir da folha de cotação exportada em PDF, que traz as colunas T e Percentil em branco. Os itens 10, 27, 38, 48 e 59 pertencem à escala de Infrequência e não entram em nenhuma escala clínica (70 itens clínicos + 5 de validade). No painel, escalas e índices são apresentados em escala descritiva azul, com a posição do valor bruto dentro da amplitude possível; o vermelho fica reservado aos dois sinalizadores binários de validade. T ≥ 65 é o limiar tradicionalmente considerado clinicamente elevado no BRIEF-A, mas essa leitura só existe depois da conversão manual. Instrumento proprietário (Roth, Isquith e Gioia, 2005; PAR). Resultado isolado não é diagnóstico. Versão de AUTORRELATO: descreve o funcionamento executivo tal como o próprio o relata.</t>
  </si>
  <si>
    <t xml:space="preserve">Inibição (8 itens, 8–24); Flexibilidade (6 itens, 6–18); Controlo Emocional (10 itens, 10–30); Automonitorização (6 itens, 6–18); Iniciativa (8 itens, 8–24); Memória de Trabalho (8 itens, 8–24); Planificação/Organização (10 itens, 10–30); Monitorização da Tarefa (6 itens, 6–18); Organização de Materiais (8 itens, 8–24); BRI — Índice de Regulação Comportamental (Inibição + Flexibilidade + Controlo Emocional + Automonitorização; 30 itens, 30–90); MI — Índice de Metacognição (Iniciativa + Memória de Trabalho + Planificação/Organização + Monitorização da Tarefa + Organização de Materiais; 40 itens, 40–120); GEC — Composto Executivo Global (BRI + MI; 70 itens, 70–210); Infrequência — escala de validade (5 itens: 10, 27, 38, 48 e 59; 0–5; 0–2 aceitável, ≥3 sinaliza padrão de resposta infrequente); Inconsistência — escala de validade (10 pares de itens equivalentes: 2–41, 25–49, 28–42, 33–72, 34–63, 44–61, 46–56, 52–75, 60–74, 64–70; soma das diferenças absolutas, 0–20; 0–7 aceitável, ≥8 sinaliza inconsistência)</t>
  </si>
  <si>
    <t xml:space="preserve">brief_a_auto</t>
  </si>
  <si>
    <t xml:space="preserve">q_brief_a_auto</t>
  </si>
  <si>
    <t xml:space="preserve">https://correiaricardina-ui.github.io/questionarios/BRIEF_A_Autorrelato_v1.html</t>
  </si>
  <si>
    <t xml:space="preserve">BRIEF-A — Informante</t>
  </si>
  <si>
    <t xml:space="preserve">Mãe, Pai, Outro</t>
  </si>
  <si>
    <t xml:space="preserve">Avalia o funcionamento executivo no quotidiano do adulto em 75 itens, numa escala de frequência de três pontos (Nunca = 1; Às vezes = 2; Frequentemente = 3), reportada ao último mês. RECOLHE EXCLUSIVAMENTE PONTUAÇÕES BRUTAS, por resposta e por escala: nove escalas clínicas, os índices BRI, MI e GEC, e as duas escalas de validade. Por decisão clínica NÃO converte para T-score nem para percentil — a leitura normativa, que depende da idade e do sexo, é feita manualmente nas tabelas do manual a partir da folha de cotação exportada em PDF, que traz as colunas T e Percentil em branco. Os itens 10, 27, 38, 48 e 59 pertencem à escala de Infrequência e não entram em nenhuma escala clínica (70 itens clínicos + 5 de validade). No painel, escalas e índices são apresentados em escala descritiva azul, com a posição do valor bruto dentro da amplitude possível; o vermelho fica reservado aos dois sinalizadores binários de validade. T ≥ 65 é o limiar tradicionalmente considerado clinicamente elevado no BRIEF-A, mas essa leitura só existe depois da conversão manual. Instrumento proprietário (Roth, Isquith e Gioia, 2005; PAR). Resultado isolado não é diagnóstico. Versão de INFORMANTE: preenchida por alguém que conhece bem a pessoa avaliada (cônjuge, familiar, amigo ou cuidador), paralela ao autorrelato item a item, para triangulação entre a descrição do próprio e a do informante.</t>
  </si>
  <si>
    <t xml:space="preserve">brief_a_inf</t>
  </si>
  <si>
    <t xml:space="preserve">q_brief_a_inf</t>
  </si>
  <si>
    <t xml:space="preserve">https://correiaricardina-ui.github.io/questionarios/BRIEF_A_Informante_v1.html</t>
  </si>
  <si>
    <t xml:space="preserve">ESS — Escala de Sonolência de Epworth</t>
  </si>
  <si>
    <t xml:space="preserve">Rastreio da sonolência diurna excessiva por autorrelato (Johns, 1991; versão portuguesa CEISUC/LEPS, 2001). 8 itens, escala ordinal 0–3, todos directos — sem itens invertidos e sem ponderações; total = soma simples (0–24). Mede a propensão média para ADORMECER em situações quotidianas de baixa e média ativação, tomando como referência o modo de vida habitual no período recente: não mede fadiga, cansaço subjetivo, sonolência momentânea no ato de resposta nem qualidade do sono. Coexistem três sistemas interpretativos e nenhum foi suprimido: Sistema A como referência primária (0–7 sonolência normal · 8–10 sonolência média · 11–15 sonolência excessiva moderada · 16–24 sonolência excessiva grave); critério dicotómico impresso no formulário da versão portuguesa, total ≥ 10; bandas de Johns (0–5 · 6–10 · 11–12 · 13–15 · 16–24). Os dois primeiros divergem EXCLUSIVAMENTE na pontuação 10, em que o Sistema A mantém «Sonolência média» e o critério português é positivo — divergência assinalada automaticamente e não resolvida pelo sistema (anomalia A-01); a escolha da referência a reportar é clínica. NÃO existem normas portuguesas por idade e sexo: não são gerados percentis nem T-scores (anomalia A-04). Validada para ADULTOS (≥ 18 anos) — abaixo dos 18 usar a ESS-CHAD (Janssen et al., 2017); o painel emite alerta etário automático. Instrumento de autopreenchimento: mede a sonolência de QUEM PREENCHE, pelo que aplicada a um progenitor descreve o progenitor e não a criança — o código do paciente identifica o processo, não o sujeito da medida. Completude: 8/8 itens para protocolo válido (R3); com 6 ou 7 itens gera estimativa pró-rateada [(soma / n) × 8, arredondada], exploratória e não comparável a normas (R4); abaixo de 6 itens não produz pontuação (R5); o item 8 (ao volante) pressupõe a condição de condutor e, em não condutores, fica em branco com pró-rateio e comparabilidade «Limitada» (R6). Medida de RASTREIO: não diagnostica apneia obstrutiva do sono, narcolepsia, hipersonolência idiopática nem privação crónica de sono, e não substitui a avaliação médica do sono nem o estudo polissonográfico — uma pontuação baixa não exclui patologia do sono e uma pontuação elevada não estabelece a sua etiologia.</t>
  </si>
  <si>
    <t xml:space="preserve">Pontuação total ESS (0–24) — única saída com cotação; instrumento unidimensional, sem subescalas; Classificação pelo Sistema A, referência primária (0–7 sonolência normal · 8–10 sonolência média · 11–15 sonolência excessiva moderada · 16–24 sonolência excessiva grave); Critério dicotómico da versão portuguesa CEISUC/LEPS (2001), coincidente com o critério original de Johns (1991) — total ≥ 10 indica sonolência diurna excessiva; Bandas de referência de Johns, Sistema C (0–5 normal baixa · 6–10 normal elevada · 11–12 excessiva ligeira · 13–15 excessiva moderada · 16–24 excessiva grave), reportadas em paralelo para rastreabilidade bibliográfica; Concordância entre sistemas — assinala a divergência única na pontuação 10 (anomalia A-01), sem a resolver; Natureza da pontuação — distinção entre valor observado (8/8 itens) e estimativa pró-rateada (6–7 itens), esta última não comparável a normas; Validade do protocolo — regras R3 (8/8 válido), R4 (6–7 itens, pró-rateio), R5 (&lt; 6 itens, sem pontuação) e R6 (item 8 não aplicável a não condutores); Comparabilidade normativa — «Aplicável» apenas com protocolo completo e item 8 aplicável, caso contrário «Limitada» ou «Não aplicável»; Agrupamento descritivo exploratório G1, situações de baixa ativação (itens 1–5; 0–15) — estritamente descritivo, sem normas nem pontos de corte (R7), não reportar como subescala; Agrupamento descritivo exploratório G2, situações de ativação intermédia a elevada (itens 6–8; 0–9) — estritamente descritivo, sem normas nem pontos de corte (R7), não reportar como subescala; Diferencial G2 − G1 (médias por item) — valor positivo indica propensão a adormecer também em situações de maior ativação; indicador descritivo, sem ponto de corte; Indicadores de padrão — pontuação máxima num item, número de itens cotados em 3, em ≥ 2 e em 0; Sinalizador descritivo de contexto de veículo (soma dos itens 4 e 8 ≥ 4, de um máximo de 6) — orienta a entrevista quanto a segurança rodoviária e não constitui juízo sobre aptidão para conduzir; Sinalizador de aplicabilidade etária — alerta automático quando a idade de quem responde é inferior a 18 anos.</t>
  </si>
  <si>
    <t xml:space="preserve">ess</t>
  </si>
  <si>
    <t xml:space="preserve">q_ess</t>
  </si>
  <si>
    <t xml:space="preserve">https://correiaricardina-ui.github.io/questionarios/ESS_Epworth_v1.html</t>
  </si>
  <si>
    <t xml:space="preserve">STOP-BANG — Rastreio de Risco de Apneia Obstrutiva do Sono</t>
  </si>
  <si>
    <t xml:space="preserve">Rastreio do RISCO de síndrome de apneia obstrutiva do sono por acumulação de oito fatores binários — quatro sintomáticos (bloco STOP: ressonar, cansaço ou sonolência diurna, apneias observadas, hipertensão arterial) e quatro objetivos (bloco BANG: índice de massa corporal, idade, perímetro cervical, sexo). Total 0–8, soma simples e sem ponderações. ⚠ NÃO é um formulário auto-administrado: o STOP-BANG é um instrumento PROPRIETÁRIO (Frances Chung e University Health Network, Toronto; www.stopbang.ca) e a ficha foi construída em VIA A-RESTRITA — reproduz apenas as designações dos domínios do acrónimo e os critérios operacionais objetivos, que constituem factos clínicos e não expressão protegida, e NÃO reproduz os enunciados dos itens. A ampla circulação pública do questionário não equivale a licença de redistribuição, e a publicação da validação portuguesa (Reis et al., 2015) não transfere direitos sobre o instrumento. Opera em complemento do formulário original em uso no serviço, do qual o profissional transcreve as quatro respostas do bloco STOP; os quatro indicadores do bloco BANG são derivados automaticamente dos dados clínicos brutos (idade, sexo, peso, altura, perímetro cervical), com os critérios IMC &gt; 35 kg/m², idade &gt; 50 anos, perímetro cervical acima do limiar e sexo masculino. O perímetro cervical é cotado por DOIS critérios em paralelo: o critério português, &gt; 40 cm e indiferenciado por sexo (Reis et al., 2015, e versão original de 2008), que constitui a pontuação PRINCIPAL, e o critério da versão atual do detentor, masculino ≥ 43 cm e feminino ≥ 41 cm, que funciona como verificação de concordância — a divergência entre os dois totais é assinalada e NÃO é resolvida automaticamente, cabendo ao clínico a escolha do critério a reportar. Classificação em dois níveis: bandas do documento-fonte (0–2 risco baixo · 3–4 risco intermédio · ≥ 5 risco elevado) e, sobre estas, o refinamento da faixa intermédia de Chung, Abdullah &amp; Liao (Chest, 2016), que reclassifica como risco elevado as pontuações 3–4 com STOP ≥ 2 e pelo menos um de IMC, perímetro cervical ou sexo masculino positivos. As probabilidades previstas provêm de regressão logística numa amostra portuguesa de clínica do sono (Reis et al., 2015) e existem publicadas apenas para as pontuações 3 a 6 (qualquer grau) e 6 a 8 (forma grave); as restantes apresentam «n.d.», sem qualquer interpolação — e, tratando-se de uma população com prevalência de base elevada, a sua transposição para rastreio comunitário ou cuidados de saúde primários SOBRESTIMA o risco. ⚠ Validado exclusivamente em população ADULTA (≥ 18 anos): os critérios «idade &gt; 50» e «IMC &gt; 35» carecem de significado em idade pediátrica, onde os preditores de apneia obstrutiva são distintos (hipertrofia adenoamigdalina como fator dominante); o ficheiro bloqueia a introdução de idades inferiores a 18 anos. ⚠ Índice FORMATIVO de acumulação de fatores de risco e não escala reflexiva de um construto latente: os oito indicadores são causas do estatuto de risco e não manifestações de uma dimensão comum, pelo que os coeficientes de consistência interna (alfa, ómega) e a análise fatorial dos itens são metodologicamente inaplicáveis, e não existem subescalas — STOP e BANG são blocos de contagem. ⚠ Instrumento de RASTREIO: sensibilidade elevada (93,4% para IAH ≥ 5 no ponto de corte ≥ 3) e especificidade baixa (48,9% no mesmo corte), pelo que se destina a EXCLUIR com segurança e não a confirmar — uma classificação de risco elevado indica probabilidade acrescida e justifica referenciação para avaliação especializada, não estabelecendo por si o diagnóstico, que exige estudo do sono.</t>
  </si>
  <si>
    <t xml:space="preserve">Pontuação total pelo critério português (0–8) — saída principal; soma dos oito indicadores binários, sem ponderações; Subtotal do bloco STOP, itens 1–4, indicadores sintomáticos (0–4) — bloco de contagem, NÃO subescala; Subtotal do bloco BANG, itens 5–8, indicadores objetivos (0–4) — bloco de contagem, NÃO subescala; Cotação item a item — Ressonar (S), Cansaço ou sonolência diurna (T), Apneias observadas (O), Hipertensão arterial (P), Índice de massa corporal (B), Idade (A), Perímetro cervical (N), Sexo (G); Índice de massa corporal derivado automaticamente do peso e da altura (kg/m²), com o critério operacional &gt; 35; Cotação paralela do perímetro cervical — critério português &gt; 40 cm indiferenciado por sexo (principal) e critério da University Health Network, masculino ≥ 43 cm e feminino ≥ 41 cm (verificação); Pontuação total pelo critério UHN (0–8) — cálculo paralelo, exclusivamente para verificação de concordância; Concordância entre critérios de perímetro cervical — assinala a divergência quando os dois totais diferem, sem a resolver; Nível 1 · Banda de risco do documento-fonte (0–2 risco baixo · 3–4 risco intermédio · ≥ 5 risco elevado); Nível 2 · Classificação final com refinamento da faixa intermédia (Chung, Abdullah &amp; Liao, 2016) — pontuação 3–4 com STOP ≥ 2 e IMC, perímetro cervical ou sexo masculino positivos passa a «Risco elevado (reclassificado)»; Classificação paralela pelo critério UHN — mesmas bandas aplicadas ao total do critério diferenciado por sexo; Probabilidade prevista de SAOS de qualquer grau (Reis et al., 2015) — publicada apenas para as pontuações 3 a 6 (64%, 80%, 90%, 95%); restantes «n.d.», sem interpolação; Probabilidade prevista de SAOS grave, IAH ≥ 30 (Reis et al., 2015) — publicada apenas para as pontuações 6 a 8 (46%, 61%, 73%); restantes «n.d.», sem interpolação; Elegibilidade etária — sinalizador de bloqueio automático abaixo dos 18 anos, por o instrumento não estar validado em idade pediátrica; Estado do protocolo — a cotação só é produzida com a totalidade dos dados clínicos objetivos e das quatro respostas do bloco STOP.</t>
  </si>
  <si>
    <t xml:space="preserve">stopbang</t>
  </si>
  <si>
    <t xml:space="preserve">q_stopbang</t>
  </si>
  <si>
    <t xml:space="preserve">https://correiaricardina-ui.github.io/questionarios/STOPBANG_v1.html</t>
  </si>
  <si>
    <t xml:space="preserve">EII-27 · Forma A — Escala de Intolerância à Incerteza (versão longa, adultos)</t>
  </si>
  <si>
    <t xml:space="preserve">Mede a INTOLERÂNCIA À INCERTEZA — o conjunto de crenças negativas segundo as quais a ambiguidade é inaceitável, ameaçadora e geradora de sofrimento, independentemente da probabilidade objetiva de um desfecho negativo. Autorrelato de 27 itens numa escala 1–5 (1 = nada característico de mim → 5 = totalmente característico de mim), TODOS no sentido directo: não existe um único item invertido. Total 27–135, com estrutura bifatorial de Sexton &amp; Dugas (2009) — F1 «a incerteza tem implicações negativas comportamentais e auto-referentes» (15 itens, 15–75) e F2 «a incerteza é injusta e estraga tudo» (12 itens, 12–60). Sendo a versão de 12 itens um subconjunto ESTRITO desta (itens 7, 8, 9, 10, 11, 12, 15, 18, 19, 20, 21 e 25), uma só administração devolve também as três escalas curtas derivadas — EII-12 Total, Ansiedade Prospetiva e Ansiedade Inibitória. Construto TRANSDIAGNÓSTICO, central no modelo cognitivo da ansiedade generalizada de Dugas e Ladouceur e associado à perturbação obsessivo-compulsiva, à ansiedade social, ao pânico, à ansiedade de doença, às perturbações do comportamento alimentar e à sintomatologia depressiva; não constitui, em si, critério de diagnóstico de qualquer entidade do DSM-5-TR ou da CID-11. ⚠ Tradução técnica de trabalho para português europeu (Via A), SEM retroversão independente, SEM painel de peritos, SEM pré-teste cognitivo e SEM estudo psicométrico em amostra nacional: fidelidade, validade e estrutura fatorial não estão verificadas nesta versão. ⚠ NÃO existem normas portuguesas e NÃO são aplicados pontos de corte — toda a leitura é feita em POMP, percentagem da amplitude teórica, com bandas descritivas por quintis que situam a pontuação no intervalo possível do instrumento e NÃO medem gravidade clínica. ⚠ Instrumento desenvolvido e normalizado em população ADULTA: a Forma J é adaptação de registo linguístico para os 12–17 anos, sem estudo de equivalência de medida, pelo que as pontuações das duas formas não são comparáveis entre si e a forma deve manter-se constante ao longo do acompanhamento do mesmo caso</t>
  </si>
  <si>
    <t xml:space="preserve">Total EII-27 (27–135) — pontuação global de intolerância à incerteza; reportada em POMP e banda descritiva, sem norma e sem ponto de corte; Fator 1 — a incerteza tem implicações negativas comportamentais e auto-referentes (15 itens, 15–75; itens 1, 2, 3, 9, 12, 13, 14, 15, 16, 17, 20, 22, 23, 24, 25); inclui o eixo auto-referente (competência pessoal, comparação social, confiança em si) que NÃO está representado na versão curta; Fator 2 — a incerteza é injusta e estraga tudo (12 itens, 12–60; itens 4, 5, 6, 7, 8, 10, 11, 18, 19, 21, 26, 27); EII-12 Total derivada (12–60) — calculada automaticamente a partir dos itens 7, 8, 9, 10, 11, 12, 15, 18, 19, 20, 21 e 25 da versão longa; Ansiedade Prospetiva derivada (7 itens, 7–35) — orientação apreensiva para o futuro: necessidade de antecipação, de previsibilidade e de informação completa; Ansiedade Inibitória derivada (5 itens, 5–25) — paralisação da ação, adiamento e evitamento perante a ambiguidade; POMP por escala (0–100) — (pontuação − mínimo) ÷ (máximo − mínimo) × 100; métrica comum que permite comparar escalas de amplitudes diferentes, transformação linear e integralmente reversível, sem qualquer pressuposto normativo; Banda descritiva por quintis da amplitude teórica — Muito baixa (0–20) · Baixa (20–40) · Moderada (40–60) · Elevada (60–80) · Muito elevada (80–100); descreve POSIÇÃO no intervalo possível, nunca gravidade clínica; Diferenciação intra-individual Δ POMP entre Ansiedade Prospetiva e Inibitória — Perfil equilibrado (0–10) · Diferenciação ligeira (10–20) · Diferenciação marcada (≥ 20), com identificação do polo relativamente mais elevado; convenção descritiva sem suporte empírico publicado, exclusivamente intra-individual e NUNCA comparativa entre sujeitos; Tratamento de omissões por prorrateamento — máximo de 2 omissões no total da EII-27, 1 em F1, F2, EII-12 Total e Ansiedade Prospetiva, e 0 na Ansiedade Inibitória (escala demasiado curta para imputação); dentro do limite a pontuação é prorrateada pela média dos itens respondidos da própria escala, acima do limite a escala é declarada NÃO COTÁVEL sem qualquer estimativa, escala a escala; Controlo de qualidade do protocolo — desvio-padrão dos itens cotados, com sinalizador de padrão de resposta invariante (desvio-padrão nulo) que exige ponderar a validade do protocolo antes de qualquer leitura; Tabela de normas parametrizável — a partir do momento em que sejam introduzidas médias e desvios-padrão de referência aplicáveis, o sistema passa a calcular scores z e percentis estimados; até lá essas saídas permanecem vazias por construção, em vez de apresentarem valores sem fundamento</t>
  </si>
  <si>
    <t xml:space="preserve">eii27_a</t>
  </si>
  <si>
    <t xml:space="preserve">q_eii27_a</t>
  </si>
  <si>
    <t xml:space="preserve">https://correiaricardina-ui.github.io/questionarios/EII27_A_v1.html</t>
  </si>
  <si>
    <t xml:space="preserve">EII-27 · Forma J — Escala de Intolerância à Incerteza (versão longa, adolescentes)</t>
  </si>
  <si>
    <t xml:space="preserve">12–17 anos</t>
  </si>
  <si>
    <t xml:space="preserve">eii27_j</t>
  </si>
  <si>
    <t xml:space="preserve">q_eii27_j</t>
  </si>
  <si>
    <t xml:space="preserve">https://correiaricardina-ui.github.io/questionarios/EII27_J_v1.html</t>
  </si>
  <si>
    <t xml:space="preserve">EII-12 · Forma A — Escala de Intolerância à Incerteza (versão curta, adultos)</t>
  </si>
  <si>
    <t xml:space="preserve">Versão curta da Escala de Intolerância à Incerteza (Carleton, Norton &amp; Asmundson, 2007), destinada a rastreio, a monitorização repetida ao longo do acompanhamento e a protocolos extensos ou com adolescentes, em que a carga de resposta é uma preocupação. Autorrelato de 12 itens numa escala 1–5, TODOS no sentido directo — não existe um único item invertido. Total 12–60, com duas subescalas: Ansiedade Prospetiva (7 itens, 7–35), que descreve a orientação apreensiva para o futuro e a necessidade de antecipação, de previsibilidade e de informação completa, e Ansiedade Inibitória (5 itens, 5–25), que descreve a paralisação da ação, o adiamento e o evitamento perante a ambiguidade. Parte da literatura recomenda a leitura PREFERENCIAL do total, sustentando a existência de um fator geral robusto, pelo que a leitura por subescalas deve ser tomada como complementar e intra-individual. Tempo de aplicação de 3 a 5 minutos. ⚠ Tradução técnica de trabalho para português europeu (Via A), SEM retroversão independente e SEM estudo psicométrico em amostra nacional. ⚠ NÃO existem normas portuguesas e NÃO são aplicados pontos de corte — toda a leitura é feita em POMP e bandas descritivas por quintis da amplitude teórica, que situam a pontuação no intervalo possível do instrumento e NÃO medem gravidade clínica. ⚠ Desenvolvida e normalizada em população ADULTA: a Forma J é adaptação de registo linguístico para os 12–17 anos, sem estudo de equivalência de medida, e as pontuações das duas formas não são comparáveis entre si. ⚠ Administrada isoladamente, esta versão pode apresentar propriedades distintas das obtidas quando derivada da EII-27, por efeito de contexto de resposta: em monitorização longitudinal, manter sempre a mesma via de obtenção e não alternar entre a versão curta e a longa a meio do acompanhamento</t>
  </si>
  <si>
    <t xml:space="preserve">Total EII-12 (12–60) — saída principal, com leitura preferencial sobre as subescalas; reportado em POMP e banda descritiva, sem norma e sem ponto de corte; Ansiedade Prospetiva (7 itens, 7–35) — orientação apreensiva para o futuro: necessidade de antecipação, de previsibilidade e de informação completa; procura de informação, planeamento e verificação; Ansiedade Inibitória (5 itens, 5–25) — paralisação da ação, adiamento e evitamento perante a ambiguidade; POMP por escala (0–100) — (pontuação − mínimo) ÷ (máximo − mínimo) × 100; métrica comum que permite comparar escalas de amplitudes diferentes, sem qualquer pressuposto normativo; Banda descritiva por quintis da amplitude teórica — Muito baixa (0–20) · Baixa (20–40) · Moderada (40–60) · Elevada (60–80) · Muito elevada (80–100); descreve POSIÇÃO no intervalo possível, nunca gravidade clínica; Diferenciação intra-individual Δ POMP entre Ansiedade Prospetiva e Inibitória — Perfil equilibrado (0–10) · Diferenciação ligeira (10–20) · Diferenciação marcada (≥ 20), com identificação do polo relativamente mais elevado; convenção descritiva sem suporte empírico publicado, exclusivamente intra-individual; Tratamento de omissões por prorrateamento — máximo de 1 omissão no total e na Ansiedade Prospetiva e 0 na Ansiedade Inibitória; acima do limite a escala é declarada NÃO COTÁVEL, sem qualquer estimativa; Controlo de qualidade do protocolo — desvio-padrão dos itens cotados, com sinalizador de padrão de resposta invariante</t>
  </si>
  <si>
    <t xml:space="preserve">eii12_a</t>
  </si>
  <si>
    <t xml:space="preserve">q_eii12_a</t>
  </si>
  <si>
    <t xml:space="preserve">https://correiaricardina-ui.github.io/questionarios/EII12_A_v1.html</t>
  </si>
  <si>
    <t xml:space="preserve">EII-12 · Forma J — Escala de Intolerância à Incerteza (versão curta, adolescentes)</t>
  </si>
  <si>
    <t xml:space="preserve">eii12_j</t>
  </si>
  <si>
    <t xml:space="preserve">q_eii12_j</t>
  </si>
  <si>
    <t xml:space="preserve">https://correiaricardina-ui.github.io/questionarios/EII12_J_v1.html</t>
  </si>
  <si>
    <t xml:space="preserve">CAARS–S:L — Conners’ Adult ADHD Rating Scales (forma longa, auto-relato)</t>
  </si>
  <si>
    <t xml:space="preserve">Avalia a sintomatologia de Perturbação de Hiperatividade e Défice de Atenção no ADULTO através da forma longa das Conners’ Adult ADHD Rating Scales (Conners, Erhardt &amp; Sparrow, 1999; Multi-Health Systems Inc.). 66 itens numa escala 0–3 (0 = nada, nunca → 3 = muito, muito frequentemente), TODOS no sentido directo — não existe um único item invertido. Devolve oito resultados brutos: quatro escalas factoriais (A Problemas de Desatenção/Memória, B Hiperatividade/Inquietação, C Impulsividade/Labilidade Emocional, D Problemas com o Autoconceito), as duas listas de sintomas do DSM-IV (E Desatenção, F Hiperatividade-Impulsividade) e as suas derivadas (G Sintomas Totais de PHDA = E + F, H Índice de PHDA), mais o Índice de Inconsistência. ⚠ A conversão de resultado bruto em T-score NÃO é feita pela plataforma: as tabelas normativas são propriedade do editor (MHS) e a leitura faz-se nas folhas de perfil oficiais, pelo SEXO e IDADE DA PESSOA AVALIADA — nunca do observador. O T é introduzido manualmente no painel clínico do questionário, onde activa as bandas descritivas (45 · 56 · 60 · 65 · 70) e a interpretação; sem T introduzido o painel apresenta apenas resultados brutos e percentagem do máximo, em paleta azul e sem juízo de gravidade. ⚠ As bandas são convenções interpretativas, NÃO pontos de corte diagnósticos: o DSM-5-TR exige início antes dos 12 anos, presença em pelo menos dois contextos e interferência funcional. ⚠ Nenhuma das formas é padrão-ouro face à outra — a divergência entre auto-relato e heterorrelato é dado clínico a interpretar, não critério de validade. ⚠ Índice de Inconsistência ≥ 8 exige prudência interpretativa quanto à consistência do protocolo. ⚠ Instrumento sob licença (MHS): utilização reservada a quem detenha protocolo oficial e o manual. Forma de AUTO-RELATO: é a própria pessoa avaliada que descreve o seu funcionamento recente.</t>
  </si>
  <si>
    <t xml:space="preserve">A — Problemas de Desatenção/Memória (12 itens, RB 0–36): esquecimento, desorganização, dificuldade em iniciar e concluir tarefas, má estimativa do tempo | B — Hiperatividade/Inquietação (12 itens, RB 0–36): inquietação motora e interna, procura de estimulação, dificuldade em permanecer parado | C — Impulsividade/Labilidade Emocional (12 itens, RB 0–36): dizer e agir sem pensar, irritabilidade, oscilações de humor, baixa tolerância à frustração | D — Problemas com o Autoconceito (6 itens, RB 0–18): insegurança, baixa confiança nas próprias capacidades, peso dos fracassos anteriores | E — Sintomas de Desatenção do DSM-IV (9 itens, RB 0–27): correspondência item a item com o critério A1 | F — Sintomas de Hiperatividade-Impulsividade do DSM-IV (9 itens, RB 0–27): correspondência item a item com o critério A2 | G — Sintomas Totais de PHDA do DSM-IV (18 itens, RB 0–54): derivada por soma de E + F, sem itens próprios | H — Índice de PHDA (12 itens, RB 0–36): itens que melhor discriminam adultos com e sem o diagnóstico; escala de rastreio | Índice de Inconsistência (0–24): soma dos diferenciais absolutos em 8 pares de itens de conteúdo equivalente (11-49, 40-44, 20-25, 13-27, 30-47, 19-23, 6-37, 26-63); ≥ 8 exige prudência interpretativa | Grupo normativo derivado da idade da pessoa avaliada — 1: 18–29 · 2: 30–39 · 3: 40–49 · 4: ≥ 50 anos; as folhas de perfil são ainda separadas por sexo (M1–M4 / F1–F4) | Bandas descritivas por T-score, comuns às duas formas — Abaixo da média (&lt; 45) · Média (45–55) · Ligeiramente atípico (56–59) · Ligeiramente elevado (60–64) · Elevado (65–69) · Muito elevado (≥ 70) | Seis itens pertencem simultaneamente a duas escalas (19, 23, 26, 27, 40 e 63): 72 atribuições item→escala para 66 itens — soma de controlo do protocolo de cotação</t>
  </si>
  <si>
    <t xml:space="preserve">caars_sl</t>
  </si>
  <si>
    <t xml:space="preserve">q_caars_sl</t>
  </si>
  <si>
    <t xml:space="preserve">https://correiaricardina-ui.github.io/questionarios/CAARS_SL_v1.html</t>
  </si>
  <si>
    <t xml:space="preserve">CAARS–O:L — Conners’ Adult ADHD Rating Scales (forma longa, heterorrelato)</t>
  </si>
  <si>
    <t xml:space="preserve">Cônjuge/Parceiro(a), Familiar, Mãe, Pai, Outro familiar</t>
  </si>
  <si>
    <t xml:space="preserve">Avalia a sintomatologia de Perturbação de Hiperatividade e Défice de Atenção no ADULTO através da forma longa das Conners’ Adult ADHD Rating Scales (Conners, Erhardt &amp; Sparrow, 1999; Multi-Health Systems Inc.). 66 itens numa escala 0–3 (0 = nada, nunca → 3 = muito, muito frequentemente), TODOS no sentido directo — não existe um único item invertido. Devolve oito resultados brutos: quatro escalas factoriais (A Problemas de Desatenção/Memória, B Hiperatividade/Inquietação, C Impulsividade/Labilidade Emocional, D Problemas com o Autoconceito), as duas listas de sintomas do DSM-IV (E Desatenção, F Hiperatividade-Impulsividade) e as suas derivadas (G Sintomas Totais de PHDA = E + F, H Índice de PHDA), mais o Índice de Inconsistência. ⚠ A conversão de resultado bruto em T-score NÃO é feita pela plataforma: as tabelas normativas são propriedade do editor (MHS) e a leitura faz-se nas folhas de perfil oficiais, pelo SEXO e IDADE DA PESSOA AVALIADA — nunca do observador. O T é introduzido manualmente no painel clínico do questionário, onde activa as bandas descritivas (45 · 56 · 60 · 65 · 70) e a interpretação; sem T introduzido o painel apresenta apenas resultados brutos e percentagem do máximo, em paleta azul e sem juízo de gravidade. ⚠ As bandas são convenções interpretativas, NÃO pontos de corte diagnósticos: o DSM-5-TR exige início antes dos 12 anos, presença em pelo menos dois contextos e interferência funcional. ⚠ Nenhuma das formas é padrão-ouro face à outra — a divergência entre auto-relato e heterorrelato é dado clínico a interpretar, não critério de validade. ⚠ Índice de Inconsistência ≥ 8 exige prudência interpretativa quanto à consistência do protocolo. ⚠ Instrumento sob licença (MHS): utilização reservada a quem detenha protocolo oficial e o manual. Forma de HETERORRELATO: responde um observador que convive com a pessoa avaliada (cônjuge, progenitor, irmão(ã) ou outro). O tempo e a frequência de contacto são registados no próprio questionário porque um contacto limitado, ou restrito a um único contexto, reduz a validade do perfil.</t>
  </si>
  <si>
    <t xml:space="preserve">caars_ol</t>
  </si>
  <si>
    <t xml:space="preserve">q_caars_ol</t>
  </si>
  <si>
    <t xml:space="preserve">https://correiaricardina-ui.github.io/questionarios/CAARS_OL_v1.html</t>
  </si>
  <si>
    <t xml:space="preserve">EIFP — Escala de Interferência Funcional Pediátrica (Formas C e P)</t>
  </si>
  <si>
    <t xml:space="preserve">Funcionamento &amp; Interferência Funcional</t>
  </si>
  <si>
    <t xml:space="preserve">Criança/Jovem,Mãe,Pai,Enc. Educação</t>
  </si>
  <si>
    <t xml:space="preserve">Mede a INTERFERÊNCIA FUNCIONAL atribuída ao problema-alvo em três domínios de vida da criança ou adolescente, na janela dos ÚLTIMOS 7 DIAS. Instrumento ORIGINAL em português europeu (adaptação inspirada, Via B), construído a partir do enquadramento conceptual e da estrutura psicométrica da Child Sheehan Disability Scale (CSDS/CSDS-P; Whiteside, 2009), SEM reprodução de itens, instruções ou ancoragens protegidas. Duas formas na mesma aba: EIFP-C, autorrelato a partir dos 7 anos, 3 itens 0–10 (total 0–30), e EIFP-P, heterorrelato do cuidador, 5 itens 0–10 (total 0–50) em duas subescalas — Subescala I, interferência na vida da criança (2 itens, 0–20), e Subescala II, interferência na vida do cuidador e da família (3 itens, 0–30). O domínio familiar aparece UMA só vez, referido ao agregado. A leitura primária é feita por DOMÍNIO, não pelo total: consideram-se assinalados os domínios com pontuação SUPERIOR a 5 (Williams, 2000), critério que NÃO deve ser confundido com o ponto de corte de Leon et al. (1997), que incide sobre o total e está documentado mas não é aplicado. Um total baixo pode coexistir com interferência extrema num único domínio (ex.: 10 / 0 / 0 = total 10), pelo que o total é sempre leitura secundária. ⚠ As bandas descritivas de intensidade média — Nula · Ligeira · Moderada · Marcada · Extrema — derivam das ancoragens verbais da própria escala de resposta e NÃO constituem pontos de corte clínicos. ⚠ O instrumento mede INTERFERÊNCIA FUNCIONAL atribuída pelo informante: não mede sintomatologia, gravidade sintomática nem etiologia, e discrepâncias entre sintomas e interferência são informação clínica e não erro de medida. ⚠ As pontuações NÃO são comparáveis entre instrumentos da família EIF, por divergirem as janelas temporais, os referentes e as populações-alvo. ⚠ Sem estudo psicométrico próprio e sem normas portuguesas. ⚠ As referências externas (valores z e limiar de mudança fiável) são da CSDS/CSDS-P, instrumento DISTINTO da EIFP, em amostra norte-americana predominantemente caucasiana e de escolaridade parental elevada; nas amostras comunitárias o desvio-padrão iguala ou excede a média, o que indica assimetria positiva severa e efeito de chão, pelo que os valores z NÃO são convertidos em percentis. ⚠ Whiteside não publicou α por subescala: o índice de mudança fiável só é calculável para os totais, e as subescalas ficam n.d. por construção, sem estimativa. ⚠ Os critérios grupais de Sheehan &amp; Sheehan (2008) NÃO são aplicados nesta versão pediátrica, por derivarem de ensaios com adultos. ⚠ A concordância entre informantes é habitualmente modesta na avaliação pediátrica: divergências entre a Forma C e a Forma P são perspetivas distintas, não erro de medida</t>
  </si>
  <si>
    <t xml:space="preserve">EIFP-C Total (3 itens, 0–30) — autorrelato da criança ou adolescente sobre escola, amigos e casa | EIFP-P Subescala I — interferência na vida da criança (2 itens, 0–20): escolaridade e vida social | EIFP-P Subescala II — interferência na vida do cuidador e da família (3 itens, 0–30): trabalho e vida social do cuidador, e vida familiar do agregado | EIFP-P Total (5 itens, 0–50) | Sinalização por domínio — assinalável se pontuação SUPERIOR a 5; é o critério primário de leitura e reporta-se domínio a domínio, nunca por agregação | Banda descritiva de intensidade média (média por domínio) — Nula (0) · Ligeira (≤3) · Moderada (≤6) · Marcada (≤9) · Extrema (&gt;9); descreve INTENSIDADE MÉDIA declarada, nunca gravidade clínica nem posição normativa | Dispersão do perfil — perfil dissociado quando a amplitude entre domínios do autorrelato é ≥ 5 pontos, indicando que a leitura pelo total subestimaria o compromisso no domínio mais afetado | Bloco complementar de dias — indicador ecológico externo a QUALQUER total, sem entrar em nenhuma pontuação de escala | Regra de omissão sem imputação — o total de uma escala só é calculado se TODOS os seus itens estiverem respondidos; não há prorrateamento nem estimativa | Distribuição da carga percebida — se se concentra na vida da criança, na do cuidador e família, ou se se distribui de forma equilibrada | Convergência entre informantes — comparação entre a média por domínio do autorrelato e a da Subescala I do heterorrelato; divergências são perspetivas distintas, não erro de medida | Índice de mudança fiável individual (ICF; Jacobson &amp; Truax, 1991) entre M1 e M2 — limiar 8,70 no total do autorrelato e 9,90 no total do heterorrelato; NÃO calculável nas subescalas, por ausência de α publicado | Posição face a referências externas (valores z face à amostra comunitária e à amostra clínica da CSDS/CSDS-P) — sem conversão percentílica, por invalidade estatística</t>
  </si>
  <si>
    <t xml:space="preserve">eifp</t>
  </si>
  <si>
    <t xml:space="preserve">q_eifp</t>
  </si>
  <si>
    <t xml:space="preserve">https://correiaricardina-ui.github.io/questionarios/EIFP_v1.html</t>
  </si>
  <si>
    <t xml:space="preserve">EIFA — Escala de Interferência Funcional em Adultos (Formas A e S)</t>
  </si>
  <si>
    <t xml:space="preserve">Próprio,Companheiro(a),Familiar</t>
  </si>
  <si>
    <t xml:space="preserve">Mede a INTERFERÊNCIA FUNCIONAL atribuída ao problema-alvo em três domínios de vida do adulto, na janela dos ÚLTIMOS 7 DIAS. Duas formas na mesma aba: EIFA-A, autorrelato do próprio, 3 itens 0–10 (total 0–30), adaptação inspirada (Via B) da Sheehan Disability Scale (Sheehan, 1983) sem reprodução de conteúdo protegido; e EIFA-S, heterorrelato do companheiro ou outra pessoa significativa, 5 itens 0–10 (total 0–50) em duas subescalas — Subescala I, interferência na vida do próprio (2 itens, 0–20), e Subescala II, interferência na vida do informante e do agregado (3 itens, 0–30) —, esta construção DE RAIZ (Via C), seguindo a solução bifatorial validada por Whiteside (2009) no heterorrelato pediátrico. O domínio familiar aparece UMA só vez, referido ao agregado, porque o casal o partilha. A leitura primária é feita por DOMÍNIO, não pelo total: consideram-se assinalados os domínios com pontuação SUPERIOR a 5 (Williams, 2000), critério que NÃO deve ser confundido com o ponto de corte de Leon et al. (1997), que incide sobre o total e está documentado mas não é aplicado. Um total baixo pode coexistir com interferência extrema num único domínio (ex.: 10 / 0 / 0 = total 10), pelo que o total é sempre leitura secundária. ⚠ As bandas descritivas de intensidade média — Nula · Ligeira · Moderada · Marcada · Extrema — derivam das ancoragens verbais da própria escala de resposta e NÃO constituem pontos de corte clínicos. ⚠ O instrumento mede INTERFERÊNCIA FUNCIONAL atribuída pelo informante: não mede sintomatologia, gravidade sintomática nem etiologia, e discrepâncias entre sintomas e interferência são informação clínica e não erro de medida. ⚠ As pontuações NÃO são comparáveis entre instrumentos da família EIF, por divergirem as janelas temporais, os referentes e as populações-alvo. ⚠ Sem estudo psicométrico próprio e sem normas portuguesas. ⚠ As referências externas da Forma A provêm de um ensaio clínico em ADULTOS COM PHDA (Coles et al., 2014), com critérios de inclusão que restringiram a variância inicial: a média de referência de 20,5 é elevada e reflete uma amostra selecionada por gravidade, não a população geral. ⚠ A Forma S NÃO dispõe de qualquer referência publicada — não existe versão de informante validada da escala-fonte, nem normas, α, estrutura fatorial ou fidelidade conhecidos —, pelo que não são apresentados valores z nem limiar de mudança fiável e a leitura é exclusivamente por domínio e por comparação intra-sujeito entre momentos. ⚠ Os critérios de remissão (≤6), resposta (≤12) e melhoria (redução ≥4) de Sheehan &amp; Sheehan (2008) são de nível GRUPAL, derivados de médias de ensaios clínicos e não específicos de perturbação: aplicam-se apenas ao total do autorrelato e NÃO substituem o índice de mudança fiável individual, substancialmente mais exigente</t>
  </si>
  <si>
    <t xml:space="preserve">EIFA-A Total (3 itens, 0–30) — autorrelato sobre trabalho ou estudos, vida social e lazer, e vida familiar | EIFA-S Subescala I — interferência na vida do próprio (2 itens, 0–20), percebida pelo informante | EIFA-S Subescala II — interferência na vida do informante e do agregado (3 itens, 0–30) | EIFA-S Total (5 itens, 0–50) | Sinalização por domínio — assinalável se pontuação SUPERIOR a 5; é o critério primário de leitura e reporta-se domínio a domínio, nunca por agregação | Banda descritiva de intensidade média (média por domínio) — Nula (0) · Ligeira (≤3) · Moderada (≤6) · Marcada (≤9) · Extrema (&gt;9); descreve INTENSIDADE MÉDIA declarada, nunca gravidade clínica nem posição normativa | Dispersão do perfil — perfil dissociado quando a amplitude entre domínios do autorrelato é ≥ 5 pontos, indicando que a leitura pelo total subestimaria o compromisso no domínio mais afetado | Bloco complementar de dias — indicador ecológico externo a QUALQUER total, sem entrar em nenhuma pontuação de escala | Regra de omissão sem imputação — o total de uma escala só é calculado se TODOS os seus itens estiverem respondidos; não há prorrateamento nem estimativa | Distribuição da carga percebida — se a interferência se concentra na vida do próprio, na do informante e agregado, ou se se distribui de forma equilibrada | Convergência entre informantes — comparação entre a média por domínio do autorrelato e a da Subescala I do heterorrelato | Índice de mudança fiável individual (ICF; Jacobson &amp; Truax, 1991) entre M1 e M2 — limiar 6,99 no total do autorrelato; NÃO calculável na Forma S, por ausência de referências | Critérios de nível GRUPAL (Sheehan &amp; Sheehan, 2008), apenas no total do autorrelato — remissão ≤6, resposta ≤12, melhoria com redução ≥4; apresentados em bloco separado do índice individual, que não substituem | Posição face a referências externas (valores z face à média clínica inicial e à pós-tratamento de Coles et al., 2014) — apenas na Forma A, sem conversão percentílica</t>
  </si>
  <si>
    <t xml:space="preserve">eifa</t>
  </si>
  <si>
    <t xml:space="preserve">q_eifa</t>
  </si>
  <si>
    <t xml:space="preserve">https://correiaricardina-ui.github.io/questionarios/EIFA_v1.html</t>
  </si>
  <si>
    <t xml:space="preserve">EIFJ — Escala de Interferência Funcional em Comportamentos de Jogo (Formas J e S)</t>
  </si>
  <si>
    <t xml:space="preserve">Comportamentos Aditivos</t>
  </si>
  <si>
    <t xml:space="preserve">12–99 anos</t>
  </si>
  <si>
    <t xml:space="preserve">Mede a INTERFERÊNCIA FUNCIONAL atribuída ao comportamento de jogo em três domínios de vida, na janela do ÚLTIMO MÊS (30 dias) — que DIVERGE dos sete dias da EIFP e da EIFA. Duas formas na mesma aba: EIFJ-J, autorrelato, 3 itens 0–10 (total 0–30), adaptação inspirada (Via B) da SDS-G (Hodgins, 2013; Sheehan, 1983) sem reprodução de conteúdo protegido; e EIFJ-S, heterorrelato do companheiro ou outro significativo, 5 itens 0–10 (total 0–50) em duas subescalas, construção DE RAIZ (Via C). O REFERENTE é selecionado na administração — jogo a dinheiro (CID-11 6C50) ou jogo digital (CID-11 6C51), entidades DISTINTAS — e a FORMULAÇÃO usada («o seu jogo» se não reconhece o comportamento como problema, «o seu problema de jogo» se o reconhece) deve manter-se constante em todos os itens e momentos; ambas ficam registadas. A leitura primária é feita por DOMÍNIO, não pelo total: consideram-se assinalados os domínios com pontuação SUPERIOR a 5 (Williams, 2000), critério que NÃO deve ser confundido com o ponto de corte de Leon et al. (1997), que incide sobre o total e está documentado mas não é aplicado. Um total baixo pode coexistir com interferência extrema num único domínio (ex.: 10 / 0 / 0 = total 10), pelo que o total é sempre leitura secundária. ⚠ As bandas descritivas de intensidade média — Nula · Ligeira · Moderada · Marcada · Extrema — derivam das ancoragens verbais da própria escala de resposta e NÃO constituem pontos de corte clínicos. ⚠ O instrumento mede INTERFERÊNCIA FUNCIONAL atribuída pelo informante: não mede sintomatologia, gravidade sintomática nem etiologia, e discrepâncias entre sintomas e interferência são informação clínica e não erro de medida. ⚠ As pontuações NÃO são comparáveis entre instrumentos da família EIF, por divergirem as janelas temporais, os referentes e as populações-alvo. ⚠ Sem estudo psicométrico próprio e sem normas portuguesas. ⚠ A EIFJ mede interferência funcional, NÃO gravidade sintomática: a gravidade da Perturbação de Jogo no DSM-5-TR estabelece-se por CONTAGEM DE CRITÉRIOS, não por esta escala. ⚠ Em jogo, a MINIMIZAÇÃO e a OCULTAÇÃO são fenómenos clínicos frequentes: uma pontuação baixa no autorrelato NÃO exclui compromisso funcional objetivo e deve ser confrontada com a Forma S e com indicadores financeiros, escolares ou laborais — o painel sinaliza automaticamente as bandas Nula e Ligeira. ⚠ Em MENORES o acesso a jogo a dinheiro é ILEGAL em Portugal: a sua identificação obriga a ponderação de risco e do dever de proteção, independentemente da pontuação obtida, e o painel sinaliza-o automaticamente. ⚠ A Forma S não dispõe de qualquer referência publicada. ⚠ O α inicial reportado por Hodgins é de 0,56, abaixo do aceitável para decisão individual; adota-se α = 0,81 (12 meses), e com o α inicial o limiar de mudança fiável passaria de 9,7 para 14,7 pontos — diferença que deve constar de qualquer relatório que use o índice. ⚠ As médias de referência provêm de uma subamostra de cerca de 42 participantes seguidos nos três momentos, não de normas populacionais</t>
  </si>
  <si>
    <t xml:space="preserve">EIFJ-J Total (3 itens, 0–30) — autorrelato sobre trabalho ou estudos, vida social e lazer, e vida familiar, no último mês | EIFJ-S Subescala I — interferência na vida do próprio (2 itens, 0–20), percebida pelo informante | EIFJ-S Subescala II — interferência na vida do informante e do agregado (3 itens, 0–30) | EIFJ-S Total (5 itens, 0–50) | Sinalização por domínio — assinalável se pontuação SUPERIOR a 5; é o critério primário de leitura e reporta-se domínio a domínio, nunca por agregação | Banda descritiva de intensidade média (média por domínio) — Nula (0) · Ligeira (≤3) · Moderada (≤6) · Marcada (≤9) · Extrema (&gt;9); descreve INTENSIDADE MÉDIA declarada, nunca gravidade clínica nem posição normativa | Dispersão do perfil — perfil dissociado quando a amplitude entre domínios do autorrelato é ≥ 5 pontos, indicando que a leitura pelo total subestimaria o compromisso no domínio mais afetado | Bloco complementar de dias — indicador ecológico externo a QUALQUER total, sem entrar em nenhuma pontuação de escala | Regra de omissão sem imputação — o total de uma escala só é calculado se TODOS os seus itens estiverem respondidos; não há prorrateamento nem estimativa | Referente registado — jogo a dinheiro (CID-11 6C50) ou jogo digital (CID-11 6C51); entidades distintas, cuja escolha condiciona a interpretação e consta do relatório | Formulação registada — «o seu jogo» ou «o seu problema de jogo», mantida constante entre momentos e passada automaticamente à terceira pessoa no heterorrelato | Sinalizador de minimização — aviso automático sempre que o autorrelato cai nas bandas Nula ou Ligeira, por a pontuação baixa não ser, neste quadro, informação tranquilizadora | Sinalizador de menor com jogo a dinheiro — aviso automático em vermelho quando a idade é inferior a 18 anos e o referente é jogo a dinheiro, independentemente da pontuação obtida | Índice de mudança fiável individual (ICF; Jacobson &amp; Truax, 1991) entre M1 e M2 — limiar 9,67 no total do autorrelato; NÃO calculável na Forma S, por ausência de referências | Critérios de nível GRUPAL (Sheehan &amp; Sheehan, 2008), apenas no total do autorrelato — remissão ≤6, resposta ≤12, melhoria com redução ≥4; em bloco separado do índice individual | Posição face a referências externas (valores z face à avaliação inicial e ao seguimento aos 12 meses de Hodgins, 2013) — apenas na Forma J, sem conversão percentílica</t>
  </si>
  <si>
    <t xml:space="preserve">eifj</t>
  </si>
  <si>
    <t xml:space="preserve">q_eifj</t>
  </si>
  <si>
    <t xml:space="preserve">https://correiaricardina-ui.github.io/questionarios/EIFJ_v1.html</t>
  </si>
  <si>
    <t xml:space="preserve">GRET-RC — Grelha de Resposta ao Erro e à Tarefa</t>
  </si>
  <si>
    <t xml:space="preserve">Documenta, por OBSERVAÇÃO ESTRUTURADA do clínico que aplicou a tarefa, o que a criança ou o jovem faz quando a tarefa se torna exigente e quando o erro ocorre. Instrumento CRITERIAL de autoria própria (construção de raiz, Via C), aplicável em qualquer situação estruturada com dificuldade graduada e falha provável — provas cognitivas ou neuropsicológicas, provas de aprendizagem, ou tarefa construída em sessão. Não é específico de instrumento. 30 indicadores organizados em seis dimensões comportamentais, cada um codificado em TRÊS MOMENTOS (início, meio e fim da sessão) numa escala de quatro pontos — 0 não observado · 1 ocorrência isolada · 2 ocorrência repetida · 3 ocorrência pervasiva — mais o código NO (sem oportunidade), que NÃO é equivalente a 0 e constitui a peça central do instrumento: se não houve falha, a dimensão B não pontua zero, fica inobservada; sem esta distinção, uma sessão em que a criança acertou tudo produziria um perfil falsamente tranquilizador. O construto de referência é a resposta autoavaliativa ao fracasso e o padrão de resposta perante a dificuldade (orientação para o domínio da tarefa versus desistência antecipada); as dimensões correspondem, em comportamento observável, às áreas que os instrumentos de autorrelato de perfecionismo cobrem por via verbal — preocupação com o erro, dúvida sobre a ação e padrões pessoais —, pelo que a GRET-RC se articula diretamente com a CAPS-22 e a CAPS-PR e permite documentar divergências entre o que é referido e o que é feito. Abaixo dos 8–9 anos, idade a partir da qual o autorrelato de perfecionismo é viável por exigir metacognição sobre padrões pessoais, a via observacional não é solução de recurso: é o método adequado ao construto. ⚠ NÃO é instrumento normativo — sem amostra de aferição, sem normas por idade e SEM PONTUAÇÃO TOTAL: a soma das dimensões implicaria um significado normativo que o instrumento não possui. ⚠ Requer que a situação de observação tenha comportado dificuldade efetiva: sem exigência não há dado. ⚠ Preenchimento pelo clínico durante a sessão ou imediatamente após, nunca por terceiros nem a partir de relato. ⚠ Dimensões com índice de oportunidade inferior a 60% NÃO são reportadas — registam-se como não avaliadas, e a ausência de dado não equivale a ausência de comportamento. ⚠ A secção de FALHA INDUZIDA é opcional e as suas salvaguardas são condição de aplicação, não recomendação: nunca na primeira sessão nem na abertura de uma sessão, não aplicar perante sofrimento marcado, comportamento autolesivo ativo ou desregulação já instalada, duração máxima definida à partida, debriefing obrigatório e imediato, tarefa com sucesso assegurado antes do final e registo obrigatório da indução, do momento e da reação ao debriefing. ⚠ Todas as saídas automáticas são DESCRITIVAS; a interpretação clínica é da exclusiva responsabilidade do psicólogo. ⚠ ESTADO DE INTEGRAÇÃO: aplicação atual em papel (documento Word) com cotação e interpretação em livro Excel dedicado de seis folhas; a versão HTML, a entrada no painel RC e o separador do Apps Script estão POR CONSTRUIR — o syncKey, o ID interno e o link ficam reservados por convenção e a ligação só fica ativa após publicação.</t>
  </si>
  <si>
    <t xml:space="preserve">A — Padrão autoimposto (5 indicadores, 15 células de observação): exigência de resultado que a criança impõe a si própria, acima do pedido pela tarefa — refazer elemento já correto, procura de precisão além do exigido, rejeição de solução suficiente, verbalização de padrão de resultado, adiamento da entrega | B — Reação ao erro (4 indicadores de expressão + 1 adaptativo, 12 células): resposta imediata à falha, própria ou assinalada pelo adulto — latência de retoma e interrupção do fluxo, verbalização autoavaliativa negativa, alteração postural, facial ou do contacto ocular, reação desproporcionada ao erro assinalado | C — Antecipação e evitamento (4 + 1, 12 células): comportamento anterior à execução e face à exigência anunciada — verbalização de dificuldade antes de iniciar, latência de início, pedido de saltar, mudar ou terminar, recusa ou abandono antes de tentativa efetiva | D — Procura de validação (5 indicadores, 15 células): dependência do adulto como referência de correção durante a execução — olhar dirigido, pergunta explícita de confirmação, interrupção à espera de resposta, reasseguramento mesmo após desempenho correto, ajuste da resposta pela expressão do adulto e não pela tarefa | E — Sustentação sob carga (3 + 2, 9 células): comportamento perante falhas sucessivas e aumento de dificuldade — repetição da mesma estratégia sem ajuste, escalada de tensão nos itens junto ao limiar da regra de paragem, degradação da qualidade de execução ao longo da sessão | F — Regulação durante a tarefa (5 indicadores, 15 células): tensão motora ou manifestação somática, comportamento autodirigido, alteração do tom ou do volume de voz, necessidade de pausa expressa ou inferida, recuperação prolongada após episódio de desregulação | Itens de resposta adaptativa (+) — B4 deteção autónoma do erro, C5 execução apesar da antecipação negativa, E1 persistência após falhas sucessivas, E2 mudança de estratégia; índice, média e grau próprios; leem-se como qualificadores do perfil e NÃO entram no grau de expressão das dimensões | Índice de oportunidade por dimensão — células codificadas 0–3 sobre itens não (+) × 3 momentos; abaixo de 60% a dimensão é registada como não avaliada, protegendo contra leituras assentes em observação insuficiente | Grau de expressão por dimensão — média dos itens não (+) codificáveis, arredondada a uma casa decimal: Não expresso (0–0,4) · Ligeiro (0,5–1,2) · Moderado (1,3–2,1) · Marcado (2,2–3,0); sem pontuação total, por construção | Evolução entre momentos — Δ entre a média do Fim e a do Início, calculado apenas com pelo menos duas células codificadas em cada momento: Agravamento sob carga (Δ ≥ +0,5) · Estável · Atenuação ao longo da sessão (Δ ≤ −0,5); distingue dificuldade estável de degradação progressiva sob carga acumulada e fadiga | Leitura cruzada resposta adaptativa × expressão — perfil com expressão elevada E itens (+) igualmente elevados descreve quem sustenta a tarefa com custo, leitura clinicamente distinta do perfil elevado sem qualquer resposta adaptativa; assenta em contagem descritiva de dimensões, nunca em soma ou média entre dimensões | Sinalizadores de item — F2 comportamento autodirigido (sinalizado a qualquer ocorrência), C4 recusa ou abandono antes de tentativa efetiva, B2 verbalização autoavaliativa negativa, E5 degradação da execução; reportados ao nível do item por relevância clínica que a média da dimensão dilui | Painel de completude — células codificadas, assinaladas NO e por preencher; célula vazia NÃO é NO, e havendo células por preencher os índices de oportunidade são declarados provisórios | Registo verbatim — até seis verbalizações autoavaliativas registadas literalmente, com o antecedente imediato e o momento da sessão; dado primário e não ilustração, porque a formulação exata (atribuição global e estável versus específica e situacional) tem valor clínico próprio e não é recuperável por paráfrase</t>
  </si>
  <si>
    <t xml:space="preserve">gret_rc</t>
  </si>
  <si>
    <t xml:space="preserve">q_gret_rc</t>
  </si>
  <si>
    <t xml:space="preserve">https://correiaricardina-ui.github.io/questionarios/GRET_RC_v1.html</t>
  </si>
  <si>
    <t xml:space="preserve">AASP — Perfil Sensorial Adolescente e Adulto</t>
  </si>
  <si>
    <t xml:space="preserve">Próprio, Criança/Jovem</t>
  </si>
  <si>
    <t xml:space="preserve">11–99 anos</t>
  </si>
  <si>
    <t xml:space="preserve">Caracteriza o PADRÃO DE PROCESSAMENTO SENSORIAL segundo o modelo de Dunn (limiar neurológico × estratégia de autorregulação), através do Adolescent/Adult Sensory Profile (Brown &amp; Dunn, 2002; Pearson/PsychCorp). Autorrelato de 60 itens numa escala 1–5 (1 Quase nunca ≈ 5% das vezes → 5 Quase sempre ≈ 85% ou mais), TODOS no sentido directo — não existe um único item invertido. Cada item pode ainda ser marcado NA quando não houve oportunidade de experimentar a situação. Devolve quatro totais brutos de quadrante (amplitude 15–75 cada) e seis totais de secção sensorial. ⚠ A classificação é DESCRITIVA e não uma medida de gravidade: situa o total de cada quadrante face à distribuição do grupo normativo em cinco posições — −− muito menos · − menos · = semelhante · + mais · ++ muito mais que a maioria das pessoas. Por isso o painel usa PALETA AZUL: verde/laranja/vermelho comunicariam uma gravidade que o instrumento não mede. ⚠ LEITURA CONTRA-INTUITIVA do quadrante Baixo Registo: −− ou − significam MENOS comportamentos de baixo registo, isto é MAIOR detecção de estímulos — não um défice. A direcção clínica de cada quadrante lê-se à luz do modelo de Dunn, nunca por analogia com escalas de sintomas. ⚠ NÃO existem normas portuguesas de validação: os pontos de corte são os do quadro normativo ORIGINAL (amostra norte-americana), aplicados por faixa etária — 11–17, 18–64 e 65 ou mais anos. Abaixo dos 11 anos o instrumento não é aplicável (considerar o Perfil Sensorial 2, versão criança) e a classificação fica suspensa. ⚠ REGRA DE OMISSÕES: 0 NA num quadrante → soma directa; 1 a 2 NA → total prorrateado [(soma dos respondidos ÷ n.º de respondidos) × 15], arredondado à unidade e assinalado como ESTIMATIVA, com a classificação a ser lida com reserva; 3 ou mais NA → quadrante NÃO COTÁVEL, sem classificação. O prorrateamento é uma opção operacional desta plataforma e NÃO consta do manual original. Item por responder é distinto de NA e impede a cotação do quadrante. ⚠ As seis secções sensoriais (A a F) NÃO têm quadro normativo publicado em nenhuma das fontes disponíveis: os seus totais e médias por item servem apenas para localizar, de forma descritiva, os domínios com maior densidade de respostas. ⚠ Instrumento comercial protegido por direitos de autor: a administração deve fazer-se com o protocolo licenciado adoptado pelo serviço. ⚠ Contraparte adolescente/adulta do Perfil Sensorial 2 (PS2), já catalogado — daí a mesma área clínica. ⚠ Cotação validada contra o livro de cotação de referência (0 divergências em 22 casos) e pontos de corte verificados exaustivamente nas 732 combinações faixa × quadrante × total (0 erros).</t>
  </si>
  <si>
    <t xml:space="preserve">Quadrante 1 — Baixo Registo (15 itens, total 15–75): limiar neurológico alto com estratégia passiva; a pessoa deteta menos estímulos do que a maioria e pode requerer maior intensidade ou saliência para responder | Quadrante 2 — Procura de Sensação (15 itens, 15–75): limiar alto com estratégia activa; a pessoa cria ou procura activamente estimulação sensorial adicional nas suas rotinas | Quadrante 3 — Sensibilidade Sensorial (15 itens, 15–75): limiar baixo com estratégia passiva; a pessoa deteta e reage a estímulos de baixa intensidade que outros filtram, com maior distratibilidade ou desconforto | Quadrante 4 — Evitamento Sensorial (15 itens, 15–75): limiar baixo com estratégia activa; a pessoa restringe ou controla activamente a exposição sensorial | Classificação normativa por quadrante — cinco posições descritivas (−− · − · = · + · ++) face à faixa etária aplicável; posição face à maioria das pessoas, NUNCA medida de gravidade | Faixa normativa aplicada — 11–17, 18–64 ou 65+ anos, determinada automaticamente pela idade; abaixo dos 11 anos a classificação fica suspensa por o instrumento estar fora de âmbito | Estado de cotação por quadrante — Completo · Prorrateado (estimativa, 1 a 2 NA) · Não cotável (3 ou mais NA) · Incompleto (item por responder); é um resultado de validade e condiciona toda a leitura do quadrante | Secção A — Processamento olfativo/gustativo (8 itens): soma e média por item, leitura estritamente descritiva | Secção B — Processamento do movimento (8 itens): soma e média por item, leitura estritamente descritiva | Secção C — Processamento visual (10 itens): soma e média por item, leitura estritamente descritiva | Secção D — Processamento tátil (13 itens): soma e média por item, leitura estritamente descritiva | Secção E — Nível de atividade (10 itens): soma e média por item, leitura estritamente descritiva | Secção F — Processamento auditivo (11 itens): soma e média por item, leitura estritamente descritiva | Distribuição do perfil pelos quatro quadrantes — quantos se afastam do intervalo esperado, em que direcção, e quais se mantêm semelhantes à maioria; é a leitura primária do instrumento | Registo de omissões (NA) — total de itens sem oportunidade de observação, com sinalização automática dos quadrantes prorrateados e dos não cotáveis</t>
  </si>
  <si>
    <t xml:space="preserve">aasp</t>
  </si>
  <si>
    <t xml:space="preserve">q_aasp</t>
  </si>
  <si>
    <t xml:space="preserve">https://correiaricardina-ui.github.io/questionarios/AASP_v1.html</t>
  </si>
  <si>
    <t xml:space="preserve">RDP-RC — Registo Diário Prospetivo</t>
  </si>
  <si>
    <t xml:space="preserve">Regista PROSPETIVAMENTE, dia a dia, a variação sintomática ao longo do ciclo menstrual, para testar se o agravamento se concentra na FASE LÚTEA TARDIA. Instrumento de CONSTRUÇÃO PRÓPRIA, em português europeu, SEM validação psicométrica, sem normas e sem estudo de fidelidade: é um dispositivo de OBSERVAÇÃO ESTRUTURADA, não um teste. Cada registo diário cobre 11 itens de critério numa escala 0–3 (0 nada · 1 um pouco · 2 bastante · 3 muito) — 4 NUCLEARES (labilidade do humor, irritabilidade, humor deprimido, ansiedade) e 7 ADICIONAIS (interesse, concentração, fadiga, apetite, sono, sobrecarga, sintomas físicos) —, devolvendo um Total de critério 0–33, mais um item de INTERFERÊNCIA no dia (0–3) e dois sinalizadores binários (dia de fluxo menstrual; toma de medicação em SOS). Corre ainda, EM PARALELO, um bloco de três sintomas específicos do caso (sintomas digestivos, cefaleia, acordar sem descanso) e as horas de sono — que NÃO entram no Total de critério nem em qualquer critério do DSM-5-TR e servem apenas de leitura ecológica acompanhante. ⚠ A FASE NÃO É CALCULADA A PARTIR DO INÍCIO DO CICLO: em ciclos de 35–40 dias a fase lútea não é contável para a frente, pelo que é atribuída RETROSPETIVAMENTE a partir do início da menstruação SEGUINTE — lútea tardia = os 7 dias anteriores ao início do fluxo; folicular = dias 3 a 9 após o início do fluxo; os restantes ficam intermédios e não entram na comparação. Por isso a classificação de um dia pode mudar quando chega o ciclo seguinte, e só estabiliza no fim. ⚠ O DSM-5-TR exige DOIS ciclos prospetivos completos: abaixo disso o padrão devolvido é R0 e nenhuma leitura substantiva é admissível. ⚠ A leitura primária é o CONTRASTE lútea vs folicular, nunca o valor absoluto de um dia: considera-se agravamento assinalável uma variação ≥ 30% da média lútea sobre a média folicular, e um item conta como presente quando atinge 2 ou mais em pelo menos metade dos dias lúteos. ⚠ A DISSOCIAÇÃO entre PMDD e exacerbação pré-menstrual (PME) faz-se pelo NÍVEL BASAL folicular: com média por item ≥ 1,0 na fase folicular, o quadro é de agravamento de sintomatologia já presente, e o DSM-5-TR EXCLUI o diagnóstico de PMDD — a implicação clínica é tratar o quadro de base, com atenção acrescida na janela lútea. Padrões devolvidos: R0 registo insuficiente · R1 sem agravamento assinalável · R2 exacerbação pré-menstrual de quadro preexistente · R3 compatível com PMDD · R4 agravamento lúteo subclínico. ⚠ R3 é uma COMPATIBILIDADE DE PADRÃO, nunca um diagnóstico: a confirmação diagnóstica e a decisão terapêutica são da PSIQUIATRIA. ⚠ Ausência de agravamento cíclico (R1) é informação clínica de pleno direito: exclui o ciclo como fator de manutenção e remete a procura para outro eixo. ⚠ Registo DIÁRIO — uma linha por dia e por utente, não um protocolo único; a adesão ao registo é ela própria dado clínico, e falhas sistemáticas numa das fases enviesam a comparação</t>
  </si>
  <si>
    <t xml:space="preserve">Total de critério (11 itens, 0–33) — soma dos 4 nucleares com os 7 adicionais; é a pontuação que entra na comparação entre fases | Sintomas nucleares (4 itens, 0–12) — labilidade do humor, irritabilidade, humor deprimido e ansiedade; o DSM-5-TR exige pelo menos UM presente | Sintomas adicionais (7 itens, 0–21) — interesse, concentração, fadiga, apetite, sono, sobrecarga e sintomas físicos | Interferência no dia (1 item, 0–3) — impacto declarado no funcionamento desse dia, seguido em paralelo às médias de fase | Bloco específico do caso (sintomas digestivos, cefaleia, acordar sem descanso) — corre EM PARALELO e NÃO entra no Total de critério nem em qualquer critério do DSM-5-TR | Horas de sono declaradas — indicador ecológico externo a qualquer pontuação; média comparada entre fases | Sinalizador de fluxo menstrual (0/1) — não é sintoma: é o marcador que delimita retrospetivamente as fases | Sinalizador de medicação em SOS (0/1) — proporção de dias com recurso a SOS, comparada entre fases | Atribuição RETROSPETIVA de fase — lútea tardia (7 dias anteriores ao início do fluxo) · folicular (dias 3 a 9 após o início do fluxo) · intermédia (excluída da comparação); a classificação de um dia só estabiliza quando chega o ciclo seguinte | Médias por fase — média do Total de critério nos dias lúteos e nos dias foliculares, com o número de dias efetivamente disponíveis em cada uma | Variação lútea-folicular (%) — agravamento assinalável a partir de 30%; com média folicular inferior a 1,0 a variação é truncada em 200% e lida como remissão folicular | Itens presentes em pelo menos metade dos dias lúteos — item conta como presente a partir de 2; critério de contagem sintomática (≥ 5 itens, com ≥ 1 nuclear) | Nível basal folicular (média por item) — discriminante entre PMDD e exacerbação pré-menstrual: a partir de 1,0 o DSM-5-TR exclui PMDD por se tratar de agravamento de quadro preexistente | Padrão devolvido — R0 registo insuficiente (menos de dois ciclos completos) · R1 sem agravamento assinalável · R2 exacerbação pré-menstrual (PME) · R3 compatível com PMDD · R4 agravamento lúteo subclínico; R3 é compatibilidade de padrão, nunca diagnóstico | Número de ciclos prospetivos completos — o DSM-5-TR exige DOIS; abaixo disso nenhuma leitura substantiva é admissível</t>
  </si>
  <si>
    <t xml:space="preserve">rdp_rc</t>
  </si>
  <si>
    <t xml:space="preserve">q_rdp_rc</t>
  </si>
  <si>
    <t xml:space="preserve">https://correiaricardina-ui.github.io/questionarios/RDP_RC_v1.html</t>
  </si>
  <si>
    <t xml:space="preserve">USP-SPS — Escala de Avaliação de Fenómenos Sensoriais (USP)</t>
  </si>
  <si>
    <t xml:space="preserve">Próprio (aplicação mediada por clínico)</t>
  </si>
  <si>
    <t xml:space="preserve">6–99 anos</t>
  </si>
  <si>
    <t xml:space="preserve">Documenta os FENÓMENOS SENSORIAIS — sensações físicas ou mentais desconfortáveis, sem conteúdo cognitivo elaborado — que precedem ou acompanham comportamentos repetitivos (compulsões, rituais, «manias», atos mentais ou tiques), distinguindo-os das OBSESSÕES, que são pensamentos, medos, ideias ou imagens. Adaptação linguística (PT-BR → PT-EU) e procedimental da USP-SPS (Rosário, Prado, Miguel e cols., 2009; validação preliminar Prado, 2007), NÃO validada para a população portuguesa. ⚠ APLICAÇÃO OBRIGATORIAMENTE MEDIADA pelo clínico, item a item: no estudo original a concordância entre autopreenchimento e aplicação clínica foi insuficiente na maioria dos subtipos e os autores abandonaram a via de autoaplicação; com crianças e adolescentes aplica-se com apoio parental para datação e corroboração comportamental, mantendo-se a resposta sobre a experiência subjetiva sempre a cargo do próprio. A sequência é fixa: Parte 0 (inventário-âncora de comportamentos repetitivos concretos, acrescento procedimental desta versão) ANTES de qualquer pergunta sobre sensações — sem esta ancoragem os itens tornam-se abstratos e a resposta perde validade; depois a Parte I (22 itens em sete categorias, cada um cotado como Nunca / Passado / Atual, com idade de início e comportamento-âncora), a Parte II (única parte pontuada), e os módulos condicionais III (incompletude) e IV (sonda de automatismo). ⚠ A Parte I NÃO É PONTUADA no sistema original: gera indicadores DESCRITIVOS derivados (número e natureza dos tipos presentes, idade de início mais precoce), assinalados como tal. Só a Parte II pontua — frequência, incómodo e interferência no ÚLTIMO MÊS, 0–5 cada, escore total 0–15 —, e cota-se EXCLUINDO o que é atribuível a obsessões. O item 4 (comparação com as obsessões) é qualitativo e não pontua. ⚠ NÃO EXISTEM PONTOS DE CORTE PUBLICADOS: as faixas de gravidade (0 Ausente · 1–3 Mínima · 4–6 Ligeira · 7–9 Moderada · 10–12 Grave · 13–15 Extrema) são derivadas racionalmente das ancoragens dos itens, têm valor DESCRITIVO e não diagnóstico, e por isso são apresentadas em paleta AZUL; o VERMELHO fica reservado aos sinalizadores binários — critério operacional de relevância clínica (escore ≥ 7 e/ou interferência ≥ 3) e sinalizações automáticas. ⚠ REGRA DE NÃO PONTUAÇÃO (convenção dos autores): perante execução automática, se a sonda «o que sentiria se não pudesse realizar o comportamento?» revelar conteúdo obsessivo, esse sintoma NÃO pontua na USP-SPS e é reatribuído ao eixo obsessivo (Y-BOCS / DY-BOCS). ⚠ O instrumento NÃO estabelece nem exclui diagnóstico: documenta a dimensão fenomenológica sensorial dos comportamentos repetitivos, com valor acrescido na formulação funcional e na SELEÇÃO DO PROTOCOLO — predomínio sensorial ou ausência de obsessões orienta para tolerância à sensação premonitória (exposição interoceptiva, inversão de hábito, aceitação) e não para reestruturação de conteúdo obsessivo. ⚠ Consistência interna modesta no estudo original (α de Cronbach = 0,59; n = 47 adultos com POC)</t>
  </si>
  <si>
    <t xml:space="preserve">Parte II — Escore de gravidade USP-SPS (soma dos itens 1 a 3, amplitude 0–15): única pontuação do sistema original | Parte II — Item 1, Frequência com que os comportamentos repetitivos são precedidos ou acompanhados por fenómenos sensoriais (0–5), excluindo o tempo ocupado por obsessões | Parte II — Item 2, Incómodo causado pelos fenómenos sensoriais (0–5), excluindo o incómodo atribuível a obsessões | Parte II — Item 3, Interferência na vida familiar, social, escolar/profissional e afetiva (0–5), excluindo a interferência atribuível a obsessões | Parte II — Item 4, Comparação com as obsessões (A a E ou não cotável): qualitativo, NÃO pontua; determina o eixo predominante e a orientação do protocolo | A.1 — Sensação física tátil (Parte I, descritivo): sensações desconfortáveis na pele que motivam a repetição até obter alívio | A.2 — Sensação física músculo-esquelética ou visceral (Parte I, descritivo): sensações nos músculos, ossos ou vísceras que motivam a repetição | B.1 — «Como deve ser» (just right) visual (Parte I, descritivo): necessidade de que os objetos pareçam visualmente como deve ser | B.2 — «Como deve ser» (just right) auditivo (Parte I, descritivo): necessidade de que objetos, sons ou pessoas soem de determinada maneira | B.3 — «Como deve ser» (just right) tátil (Parte I, descritivo): necessidade de tocar até obter a sensação tátil de como deve ser | C — Incompletude (Parte I, descritivo): sensação interna de que algo não está em ordem, que desencadeia ou acompanha a repetição; se positivo, torna obrigatório o módulo da Parte III | D — Energia interna (Parte I, descritivo): tensão generalizada que cresce e precisa de ser descarregada através do comportamento repetitivo | E — Apenas «tenho de fazer» (Parte I, marcador): NÃO é um tipo de fenómeno sensorial — assinala a sua ausência com execução imperativa; se positivo, obriga à sonda de automatismo da Parte IV | Indicadores derivados — presença de fenómenos sensoriais (atual ou passado), número de tipos atuais (0–7), número de tipos alguma vez presentes (0–7), tipos físicos (0–2) e mentais (0–5), amplitude fenomenológica (% dos sete tipos) e idade de início mais precoce | Predomínio físico vs. mental e leitura da amplitude (expressão restrita, intermédia ou alargada); o contraste entre tipos alguma vez presentes e tipos atuais identifica fenómenos EPISÓDICOS que o escore, medida de estado, subestima | Parte III — Módulo da incompletude: alívio após o comportamento e sensação de completude; alívio SEM completude configura reforço negativo incompleto, fator de manutenção e preditor de pior resposta a exposição sem prevenção de resposta sustentada | Parte IV — Sonda de automatismo e regra de não pontuação: natureza da resposta (conteúdo obsessivo · sensação física ou mental · ausência de conteúdo identificável) e decisão de cotação daí decorrente | Parte 0 — Inventário-âncora de comportamentos repetitivos (acrescento procedimental, não pontua): fixa os referentes concretos a que todos os itens da Parte I são ancorados | Sinalizações automáticas — fenómeno apenas no passado · execução automática sem fenómeno sensorial · regra de não pontuação acionada · reclassificação pendente · incompletude sem resolução · discrepância entre gravidade e amplitude · incoerência entre a Parte I e a Parte II · validade do modo de aplicação</t>
  </si>
  <si>
    <t xml:space="preserve">usp_sps</t>
  </si>
  <si>
    <t xml:space="preserve">q_usp_sps</t>
  </si>
  <si>
    <t xml:space="preserve">https://correiaricardina-ui.github.io/questionarios/USP_SPS_v1.html</t>
  </si>
  <si>
    <t xml:space="preserve">QUP-T/J — Questionário de Urgência Premonitória ao Tique (versão juvenil)</t>
  </si>
  <si>
    <t xml:space="preserve">Caracteriza a URGÊNCIA PREMONITÓRIA ao tique — a sensação ou experiência mental aversiva que antecede a execução do tique e se atenua depois dela. Instrumento de CONSTRUÇÃO ORIGINAL INSPIRADA, em português europeu, SEM equivalência formal ao PUTS (Woods, Piacentini, Himle e Chang, 2005) e sem reprodução dos seus itens: as pontuações NÃO são intermutáveis com pontuações PUTS publicadas. Referencial: modelo fenomenológico-descritivo (Leckman et al., 1993), aprendizagem operante por reforço negativo (Evers e van de Wetering, 1994; Capriotti et al., 2014) — que fundamenta o HRT (Azrin e Nunn, 1973) e o CBIT (Piacentini et al., 2010) —, modelo interocetivo-atencional (Ganos et al., 2015; Rae et al., 2019), substrato insular e da área motora suplementar (Bohlhalter et al., 2006) e continuum com os fenómenos sensoriais do espetro obsessivo-compulsivo (Miguel et al., 2000; Coles et al., 2003). Enquadramento nosológico das perturbações de tique: Tourette DSM-5-TR 307.23 (F95.2) · CID-11 8A05.00; tique motor ou vocal persistente DSM-5-TR 307.22 (F95.1) · CID-11 8A05.01 e 8A05.02; tique provisório DSM-5-TR 307.21 (F95.0) · CID-11 8A05.03. Métrica comum a todas as versões: MÉDIA POR ITEM (1,00–4,00), o que permite comparação entre versões e monitorização longitudinal na transição dos 10 para os 11 anos. Janela dos ÚLTIMOS 7 DIAS, coincidente com a da YGTSS, para emparelhamento temporal em protocolos de monitorização. Escala 1 Nada · 2 Pouco · 3 Bastante · 4 Totalmente, sem itens invertidos; item não respondido deixa-se em branco, nunca a zero. ⚠ AUSÊNCIA DE NORMAS PORTUGUESAS e de estudo psicométrico próprio: os níveis N1 (1,00–1,74) Ausente a mínima · N2 (1,75–2,49) Ligeira a moderada · N3 (2,50–3,24) Marcada · N4 (3,25–4,00) Muito marcada resultam de ANCORAGEM RACIONAL na métrica de resposta (divisão em quartos da amplitude), não de normas populacionais, e são por isso apresentados em paleta AZUL; o VERMELHO fica reservado aos alertas binários de validade de resposta (AVR-1/2/3). Utilização EXPLORATÓRIA, de caracterização e de monitorização INTRAINDIVIDUAL. ⚠ A urgência premonitória NÃO constitui critério diagnóstico no DSM-5-TR nem na CID-11 — o output é estritamente descritivo e não estabelece nem exclui qualquer diagnóstico. ⚠ A INTENSIDADE da urgência NÃO é indicador de compromisso funcional: só o Índice F da versão parental informa sobre repercussão. ⚠ Cada escala admite um número definido de omissões; dentro da tolerância a pontuação é PRORRATEADA, acima dela a escala é declarada NÃO VÁLIDA e não é interpretada (o IUP exige ambos os fatores válidos). ⚠ Versão de AUTORRELATO AUTÓNOMO, 20 itens, 7–10 minutos. Os 16 primeiros itens pontuam; a Secção S (4 itens finais) é administrada mas lida item a item, sem total. Tolerância de omissão: 1 item em cada escala.</t>
  </si>
  <si>
    <t xml:space="preserve">Fator I — Urgência somatossensorial: sensação corporal localizada (pressão, aperto, tensão, energia acumulada) que antecede o tique | Fator II — Urgência mental e incompletude: sensação de que algo não está bem ou ficou por terminar, com necessidade de repetir até à resolução | IUP — Índice de Urgência Premonitória: derivado dos dois fatores (média por item do conjunto); exige ambos válidos | Índice O — Ocorrência e deteção: reconhecimento antecipado da sensação; alvo do treino de consciência da urgência em HRT/CBIT | Índice A — Ciclo de reforço negativo: força da contingência urgência–tique–alívio; a partir de N3 configura reforço de intervalo variável curto, esquema particularmente resistente à extinção | IDF — Índice de Discrepância Fatorial e perfil fatorial (SOM predomínio somatossensorial · MEN predomínio mental/incompletude · CONC concordante); MEN aproxima o quadro dos fenómenos sensoriais do espetro obsessivo-compulsivo e recomenda avaliação complementar dirigida | Leitura conjugada IUP × Índice O: distingue urgência intensa e reconhecida (favorável ao treino de consciência) de urgência intensa com deteção limitada (treino de consciência como alvo prioritário antes da resposta competitiva) | Secção S — modulação e supressibilidade: administrada e lida ITEM A ITEM, sem total (supressão voluntária, absorção em atividade preferida, agravamento sob tensão ou cansaço, efeito da atenção interocetiva) | Secção Q — registo qualitativo (não pontuado): localização corporal da sensação, tique subjetivamente mais perturbador, o que agrava e o que alivia | Alertas de validade de resposta — AVR-1 deteção frequente sem intensidade correspondente · AVR-2 urgência intensa sem contingência de alívio · AVR-3 ausência de variação entre itens; o protocolo permanece válido em todos | Convergência entre fontes (CV-1 a CV-4) — leitura conjunta com a versão parental; CV-3, frequente abaixo dos 10 anos, não indica discordância entre informantes mas ausência de vocabulário somático para reportar</t>
  </si>
  <si>
    <t xml:space="preserve">qupt_j</t>
  </si>
  <si>
    <t xml:space="preserve">q_qupt_j</t>
  </si>
  <si>
    <t xml:space="preserve">https://correiaricardina-ui.github.io/questionarios/QUPT_J_v1.html</t>
  </si>
  <si>
    <t xml:space="preserve">QUP-T/I — Questionário de Urgência Premonitória ao Tique (versão infantil)</t>
  </si>
  <si>
    <t xml:space="preserve">Próprio (aplicação assistida por adulto)</t>
  </si>
  <si>
    <t xml:space="preserve">6–10 anos</t>
  </si>
  <si>
    <t xml:space="preserve">Caracteriza a URGÊNCIA PREMONITÓRIA ao tique — a sensação ou experiência mental aversiva que antecede a execução do tique e se atenua depois dela. Instrumento de CONSTRUÇÃO ORIGINAL INSPIRADA, em português europeu, SEM equivalência formal ao PUTS (Woods, Piacentini, Himle e Chang, 2005) e sem reprodução dos seus itens: as pontuações NÃO são intermutáveis com pontuações PUTS publicadas. Referencial: modelo fenomenológico-descritivo (Leckman et al., 1993), aprendizagem operante por reforço negativo (Evers e van de Wetering, 1994; Capriotti et al., 2014) — que fundamenta o HRT (Azrin e Nunn, 1973) e o CBIT (Piacentini et al., 2010) —, modelo interocetivo-atencional (Ganos et al., 2015; Rae et al., 2019), substrato insular e da área motora suplementar (Bohlhalter et al., 2006) e continuum com os fenómenos sensoriais do espetro obsessivo-compulsivo (Miguel et al., 2000; Coles et al., 2003). Enquadramento nosológico das perturbações de tique: Tourette DSM-5-TR 307.23 (F95.2) · CID-11 8A05.00; tique motor ou vocal persistente DSM-5-TR 307.22 (F95.1) · CID-11 8A05.01 e 8A05.02; tique provisório DSM-5-TR 307.21 (F95.0) · CID-11 8A05.03. Métrica comum a todas as versões: MÉDIA POR ITEM (1,00–4,00), o que permite comparação entre versões e monitorização longitudinal na transição dos 10 para os 11 anos. Janela dos ÚLTIMOS 7 DIAS, coincidente com a da YGTSS, para emparelhamento temporal em protocolos de monitorização. Escala 1 Nada · 2 Pouco · 3 Bastante · 4 Totalmente, sem itens invertidos; item não respondido deixa-se em branco, nunca a zero. ⚠ AUSÊNCIA DE NORMAS PORTUGUESAS e de estudo psicométrico próprio: os níveis N1 (1,00–1,74) Ausente a mínima · N2 (1,75–2,49) Ligeira a moderada · N3 (2,50–3,24) Marcada · N4 (3,25–4,00) Muito marcada resultam de ANCORAGEM RACIONAL na métrica de resposta (divisão em quartos da amplitude), não de normas populacionais, e são por isso apresentados em paleta AZUL; o VERMELHO fica reservado aos alertas binários de validade de resposta (AVR-1/2/3). Utilização EXPLORATÓRIA, de caracterização e de monitorização INTRAINDIVIDUAL. ⚠ A urgência premonitória NÃO constitui critério diagnóstico no DSM-5-TR nem na CID-11 — o output é estritamente descritivo e não estabelece nem exclui qualquer diagnóstico. ⚠ A INTENSIDADE da urgência NÃO é indicador de compromisso funcional: só o Índice F da versão parental informa sobre repercussão. ⚠ Cada escala admite um número definido de omissões; dentro da tolerância a pontuação é PRORRATEADA, acima dela a escala é declarada NÃO VÁLIDA e não é interpretada (o IUP exige ambos os fatores válidos). ⚠ Versão de AUTORRELATO ASSISTIDO, 13 itens, 10–15 minutos: o adulto lê cada frase em voz alta, verifica a compreensão da primeira e regista a resposta da criança. A diferenciação etária face à versão juvenil é LINGUÍSTICA, não uma exclusão por idade — a fiabilidade do autorrelato abaixo dos 10 anos foi resolvida por simplificação do enunciado e não por retirar o instrumento. Os 11 primeiros itens pontuam; a Secção S (2 itens finais) lê-se item a item, sem total. ⚠ Tolerância de omissão ZERO nos índices O e A, por terem apenas dois itens cada.</t>
  </si>
  <si>
    <t xml:space="preserve">qupt_i</t>
  </si>
  <si>
    <t xml:space="preserve">q_qupt_i</t>
  </si>
  <si>
    <t xml:space="preserve">https://correiaricardina-ui.github.io/questionarios/QUPT_I_v1.html</t>
  </si>
  <si>
    <t xml:space="preserve">QUP-T/P — Questionário de Urgência Premonitória ao Tique (versão parental)</t>
  </si>
  <si>
    <t xml:space="preserve">Mãe | Pai | Enc. Educação</t>
  </si>
  <si>
    <t xml:space="preserve">Caracteriza a URGÊNCIA PREMONITÓRIA ao tique — a sensação ou experiência mental aversiva que antecede a execução do tique e se atenua depois dela. Instrumento de CONSTRUÇÃO ORIGINAL INSPIRADA, em português europeu, SEM equivalência formal ao PUTS (Woods, Piacentini, Himle e Chang, 2005) e sem reprodução dos seus itens: as pontuações NÃO são intermutáveis com pontuações PUTS publicadas. Referencial: modelo fenomenológico-descritivo (Leckman et al., 1993), aprendizagem operante por reforço negativo (Evers e van de Wetering, 1994; Capriotti et al., 2014) — que fundamenta o HRT (Azrin e Nunn, 1973) e o CBIT (Piacentini et al., 2010) —, modelo interocetivo-atencional (Ganos et al., 2015; Rae et al., 2019), substrato insular e da área motora suplementar (Bohlhalter et al., 2006) e continuum com os fenómenos sensoriais do espetro obsessivo-compulsivo (Miguel et al., 2000; Coles et al., 2003). Enquadramento nosológico das perturbações de tique: Tourette DSM-5-TR 307.23 (F95.2) · CID-11 8A05.00; tique motor ou vocal persistente DSM-5-TR 307.22 (F95.1) · CID-11 8A05.01 e 8A05.02; tique provisório DSM-5-TR 307.21 (F95.0) · CID-11 8A05.03. Métrica comum a todas as versões: MÉDIA POR ITEM (1,00–4,00), o que permite comparação entre versões e monitorização longitudinal na transição dos 10 para os 11 anos. Janela dos ÚLTIMOS 7 DIAS, coincidente com a da YGTSS, para emparelhamento temporal em protocolos de monitorização. Escala 1 Nada · 2 Pouco · 3 Bastante · 4 Totalmente, sem itens invertidos; item não respondido deixa-se em branco, nunca a zero. ⚠ AUSÊNCIA DE NORMAS PORTUGUESAS e de estudo psicométrico próprio: os níveis N1 (1,00–1,74) Ausente a mínima · N2 (1,75–2,49) Ligeira a moderada · N3 (2,50–3,24) Marcada · N4 (3,25–4,00) Muito marcada resultam de ANCORAGEM RACIONAL na métrica de resposta (divisão em quartos da amplitude), não de normas populacionais, e são por isso apresentados em paleta AZUL; o VERMELHO fica reservado aos alertas binários de validade de resposta (AVR-1/2/3). Utilização EXPLORATÓRIA, de caracterização e de monitorização INTRAINDIVIDUAL. ⚠ A urgência premonitória NÃO constitui critério diagnóstico no DSM-5-TR nem na CID-11 — o output é estritamente descritivo e não estabelece nem exclui qualquer diagnóstico. ⚠ A INTENSIDADE da urgência NÃO é indicador de compromisso funcional: só o Índice F da versão parental informa sobre repercussão. ⚠ Cada escala admite um número definido de omissões; dentro da tolerância a pontuação é PRORRATEADA, acima dela a escala é declarada NÃO VÁLIDA e não é interpretada (o IUP exige ambos os fatores válidos). ⚠ A versão parental NÃO MEDE urgência premonitória: a urgência é experiência interna e não observável por terceiros. Mede o RELATO COMUNICADO ao cuidador, os INDICADORES COMPORTAMENTAIS observáveis e a REPERCUSSÃO FUNCIONAL, em 16 itens. Não é somável com o autorrelato e não se calculam diferenças aritméticas entre as duas fontes. ⚠ «Não observei» é resposta LEGÍTIMA e útil, tratada como omissão e NUNCA como zero: substituí-la por uma estimativa degrada a validade do relato. ⚠ O Índice F é a ÚNICA fonte de dados sobre repercussão em todo o protocolo.</t>
  </si>
  <si>
    <t xml:space="preserve">Índice R — Comunicação: em que medida a criança ou jovem verbaliza e sabe descrever ao cuidador as sensações que antecedem o tique | Índice C — Manifestação observável: indicadores comportamentais compatíveis com urgência premonitória — inquietação antecipatória, procura de pressão ou fricção, repetição até parecer satisfeito, movimentos preparatórios, alívio aparente, esforço de contenção | Índice F — Repercussão funcional: interferência dos tiques, ou do esforço de os conter, no funcionamento escolar, social e familiar; única fonte de dados sobre impacto em todo o protocolo | Contagem de respostas «Não observei» por índice — tratadas como omissão e nunca como zero; acima da tolerância (1 em 4 no Índice R, 2 em 6 nos Índices C e F) o índice é declarado não válido e não é interpretado | Convergência entre fontes (CV-1 a CV-4) — leitura conjunta com o autorrelato: com IUP ≥ N3 o discriminante é o Índice R; com IUP &lt; N3 é o Índice C</t>
  </si>
  <si>
    <t xml:space="preserve">qupt_p</t>
  </si>
  <si>
    <t xml:space="preserve">q_qupt_p</t>
  </si>
  <si>
    <t xml:space="preserve">https://correiaricardina-ui.github.io/questionarios/QUPT_P_v1.html</t>
  </si>
  <si>
    <t xml:space="preserve">EQVA-41 — Escala de Qualidade de Vida do Adolescente</t>
  </si>
  <si>
    <t xml:space="preserve">Avalia a QUALIDADE DE VIDA PERCEBIDA na adolescência enquanto construto perceptual — aquilo que apenas o próprio jovem pode reportar, por oposição aos indicadores contextuais observáveis por terceiros (rendimento do agregado, composição familiar, tipologia escolar). Instrumento de CONSTRUÇÃO ORIGINAL INSPIRADA, em português europeu, tecnicamente equivalente ao Youth Quality of Life Instrument – Research Version (YQOL-R) quanto ao modelo conceptual, à estrutura em quatro domínios, ao número de itens e ao formato de resposta, mas que NÃO reproduz, não traduz nem deriva do texto dos itens originais: o YQOL-R está protegido por direitos de autor da University of Washington, que mantém o controlo das traduções autorizadas, pelo que uma tradução para português europeu constituiria obra derivada não autorizada. Referencial: modelo multidimensional de qualidade de vida percebida em adolescentes (Patrick, Edwards &amp; Topolski, 2002; Edwards, Huebner, Connell &amp; Patrick, 2002) e enquadramento conceptual da OMS quanto à definição de qualidade de vida como perceção subjetiva (WHOQOL Group, 1995). 41 itens em escala numérica de 11 pontos (0 «de maneira nenhuma» a 10 «completamente»), período de referência: perceção habitual, EM GERAL, e não o estado do dia da aplicação. Dois itens de formulação negativa (23 e 29) são invertidos antes de qualquer soma (valor cotado = 10 − resposta) para controlar o padrão de resposta automática. ⚠ Instrumento EXCLUSIVAMENTE DE AUTORRELATO: a heteroavaliação por pais ou professores mede um construto diferente e não é intermutável. ⚠ A transformação linear para a métrica 0–100 é indispensável — os domínios têm números de itens diferentes e as somas brutas não são comparáveis entre si; a pontuação total calcula-se sobre a soma dos 41 itens e NÃO sobre a média das quatro pontuações transformadas, que atribuiria peso idêntico a domínios com 3 e com 15 itens. ⚠ Até 20% dos itens de um domínio podem ser substituídos pela média dos itens respondidos desse domínio (máximo: 2 em SS, 3 em REL, 1 em AMB, 0 em QVG); acima desse limite o domínio não é cotado e a pontuação total não é calculada. ⚠ NÃO EXISTEM NORMAS PUBLICADAS nem estudo de estrutura fatorial, de fidelidade ou de validade de critério para a população portuguesa: as faixas (0–39 Muito baixa · 40–54 Baixa · 55–69 Moderada · 70–84 Elevada · 85–100 Muito elevada) assentam em CRITÉRIO CRITERIAL, definido sobre a proporção da amplitude da escala efetivamente utilizada, destinam-se a orientar a leitura clínica e NÃO constituem pontos de corte validados; são por isso apresentadas em paleta AZUL, ficando o VERMELHO reservado aos itens de sinalização, que são bandeiras binárias de exploração dirigida e não medidas de intensidade. ⚠ A leitura é obrigatoriamente PERFILAR e não apenas totalitária: a dissociação entre o Sentido de Si e as Relações identifica configurações clinicamente relevantes — nomeadamente perfis de sofrimento interno em contexto relacional continente, frequentes em quadros internalizantes, em que a pontuação total tende a SUBESTIMAR a gravidade. ⚠ Utilização EXPLORATÓRIA, de apoio à formulação clínica e à monitorização INTRAINDIVIDUAL; não pode ser apresentado como equivalente ao YQOL-R nem utilizado em investigação como substituto de instrumento validado. ⚠ Aplicação em 10 a 15 minutos, autoadministrada, com leitura assistida quando existirem dificuldades de literacia, sem interpretação nem reformulação dos itens; não identificar ao jovem quais os itens invertidos nem agrupar visivelmente os itens por domínio, para reduzir o enviesamento por aquiescência ou por consistência percebida.</t>
  </si>
  <si>
    <t xml:space="preserve">I — Sentido de Si (SS), itens 1 a 14: autoperceção, autoeficácia, corporalidade e sentido pessoal; soma bruta 0–140, transformada em (soma ÷ 140) × 100 | II — Relações (REL), itens 15 a 29: vinculação aos cuidadores e pertença ao grupo de pares; soma bruta 0–150, transformada em (soma ÷ 150) × 100; inclui os dois itens invertidos (23 isolamento percebido, 29 rejeição pelos pares) | III — Ambiente e Comunidade (AMB), itens 30 a 38: segurança, recursos e oportunidades disponíveis; soma bruta 0–90, transformada em (soma ÷ 90) × 100 | IV — Qualidade de Vida Geral (QVG), itens 39 a 41: apreciação integrada e sintética da própria vida; soma bruta 0–30, transformada em (soma ÷ 30) × 100 | Pontuação total, 41 itens: soma bruta 0–410, transformada em (soma ÷ 410) × 100; calculada sobre a soma dos itens e NUNCA sobre a média das quatro pontuações transformadas | Classificação criterial por faixa (Muito baixa &lt;40 · Baixa 40–54 · Moderada 55–69 · Elevada 70–84 · Muito elevada ≥85), aplicada a cada domínio e ao total; critério criterial, sem base normativa | Configuração do perfil SS × REL (diferença mínima de 20 pontos na métrica 0–100): dissociação com Sentido de Si muito abaixo das Relações — sofrimento interno em contexto continente, frequente em quadros internalizantes e em depressão de início na adolescência, em que o total subestima a gravidade; dissociação com Relações muito abaixo do Sentido de Si — dificuldade relacional circunscrita com recursos pessoais mantidos, prognóstico habitualmente mais favorável, que orienta a intervenção para competências sociais ou para a dinâmica familiar; ou perfil homogéneo | Coerência da apreciação global: QVG comparado com a média dos três domínios específicos (limiar de 20 pontos) — apreciação global negativa não sustentada pelos conteúdos específicos é compatível com enviesamento cognitivo negativo, característico de quadros depressivos, e deve ser explicitada em vez de omitida; apreciação global acima dos domínios específicos recomenda verificar desejabilidade social | AMB baixo isolado: remete para condições contextuais objetivas (segurança, recursos, escola) e NÃO para funcionamento psicológico; exige verificação com os cuidadores e, quando aplicável, sinalização | Itens de sinalização clínica (bandeiras binárias, exploração dirigida na mesma sessão ou na imediatamente seguinte): item 23 isolamento percebido e item 29 rejeição pelos pares, ambos sinalizados sobre a resposta BRUTA elevada (≥ 8) por serem de formulação negativa; itens 34 privação material percebida, 35 segurança no contexto familiar, 38 segurança no contexto escolar e 41 avaliação global do valor da própria vida, sinalizados sobre a resposta bruta baixa (≤ 2) | Regra de omissos: até 20% dos itens de um domínio substituídos pela média dos itens respondidos (máximo 2 em SS, 3 em REL, 1 em AMB, 0 em QVG); acima do limite o domínio não é cotado e o total não é calculado | Momento de avaliação (linha de base · reavaliação 1 · reavaliação 2 · final) para monitorização intraindividual da evolução do perfil</t>
  </si>
  <si>
    <t xml:space="preserve">eqva41</t>
  </si>
  <si>
    <t xml:space="preserve">q_eqva41</t>
  </si>
  <si>
    <t xml:space="preserve">https://correiaricardina-ui.github.io/questionarios/EQVA41_v1.html</t>
  </si>
  <si>
    <t xml:space="preserve">YGTSS — Escala Global de Gravidade de Tiques de Yale</t>
  </si>
  <si>
    <t xml:space="preserve">Avalia a GRAVIDADE DOS TIQUES em duas etapas: inventário de 37 tiques (24 motores, 13 fónicos) com idade de início, e cotação de cinco dimensões (número, frequência, intensidade, complexidade, interferência) de 0 a 5, separadamente para tiques motores e fónicos, mais o comprometimento global (0–5, ×10). Total de Tiques 0–50, Índice de Comprometimento 0–50, Pontuação Global 0–100. Janela: últimos 7 dias, com coluna opcional «Pior fase». Preenchido pelos pais/cuidadores ou pelo próprio com apoio familiar; cotação final confirmada pelo/a psicólogo/a em entrevista semiestruturada. ⚠ Bandas HEURÍSTICAS (0–9 mínima · 10–24 ligeira · 25–49 moderada · 50–100 acentuada a grave), sem pontos de corte normativos nem normas portuguesas — apresentadas em paleta azul; vermelho reservado aos sinalizadores binários (coprolalia, copropraxia, autoagressão, ecolalia, palilalia). ⚠ Intensidade e Complexidade exigem julgamento externo: autorrelato não corroborado tende a subestimá-las. Rastreio e monitorização, não diagnóstico. Substitui operacionalmente a entrada TS-OC · Parte I (n.º 155).</t>
  </si>
  <si>
    <t xml:space="preserve">Inventário de tiques (37 categorias, motoras e fónicas); Subtotal Motor (0–25); Subtotal Fónico (0–25); Total de Tiques (0–50); Índice de Comprometimento (0–50); Pontuação Global YGTSS (0–100); Predomínio motor–fónico e proporcionalidade comprometimento–tiques; Sinalizadores fenomenológicos binários</t>
  </si>
  <si>
    <t xml:space="preserve">ygtss</t>
  </si>
  <si>
    <t xml:space="preserve">q_ygtss</t>
  </si>
  <si>
    <t xml:space="preserve">https://correiaricardina-ui.github.io/questionarios/YGTSS_v1.html</t>
  </si>
  <si>
    <t xml:space="preserve">CY-BOCS — Escala de Obsessões e Compulsões de Yale-Brown para Crianças e Adolescentes</t>
  </si>
  <si>
    <t xml:space="preserve">Psicóloga (entrevista à criança e ao cuidador)</t>
  </si>
  <si>
    <t xml:space="preserve">6–17 anos</t>
  </si>
  <si>
    <t xml:space="preserve">Quantifica a GRAVIDADE DA SINTOMATOLOGIA OBSESSIVO-COMPULSIVA em idade pediátrica. Entrevista semiestruturada ADMINISTRADA PELO CLÍNICO, conjunta à criança e ao cuidador: a pontuação é atribuída pelo clínico integrando ambos os relatos e a observação, não sendo média aritmética. Independência entre gravidade e conteúdo — a pontuação reflete tempo, interferência, sofrimento, resistência e controlo, não o tipo de sintoma. Lista de verificação de 18 categorias com marcação Atual/Passado; itens 1–10 de gravidade (0–4); itens 11–16 de investigação, não somados. Janela: últimos 7 dias. Reaplicação com intervalo mínimo de uma semana; campo «Momento da avaliação» para monitorização serial. ⚠ Nos itens de resistência e controlo, MENOR resistência e MENOR controlo cotam MAIS ALTO. ⚠ Dados omissos: um item em falta numa subescala → reponderação (soma × 5/4), a registar no processo; dois ou mais → subescala e total não cotados. ⚠ Adaptação linguística PT-PT sem normas portuguesas; pontos de corte da literatura internacional; não constitui, por si só, critério diagnóstico. POC — DSM-5-TR 300.3 (F42.2); CID-11 6B20; item 11 informa o especificador de insight.</t>
  </si>
  <si>
    <t xml:space="preserve">Lista de verificação (9 categorias de obsessões + 9 de compulsões, Atual/Passado, com sintomas-alvo); Subescala Obsessões (itens 1–5, 0–20); Subescala Compulsões (itens 6–10, 0–20); Pontuação Total CY-BOCS (0–40: 0–7 subclínico · 8–15 ligeiro · 16–23 moderado · 24–31 grave · 32–40 extremo); Perfil de predomínio (diferença ≥ 5 entre subescalas); Critérios de resposta terapêutica (redução ≥ 35%; parcial 25–34%; remissão ≤ 12); Itens de investigação 11–16 (crítica/insight, evitamento, indecisão, responsabilidade sobrevalorizada, lentificação, dúvida patológica), sinalização a partir de 3</t>
  </si>
  <si>
    <t xml:space="preserve">cybocs</t>
  </si>
  <si>
    <t xml:space="preserve">q_cybocs</t>
  </si>
  <si>
    <t xml:space="preserve">https://correiaricardina-ui.github.io/questionarios/CYBOCS_v1.html</t>
  </si>
  <si>
    <t xml:space="preserve">Síntese TS-OC — Leitura cruzada YGTSS × CY-BOCS</t>
  </si>
  <si>
    <t xml:space="preserve">Psicóloga (ferramenta clínica — não atribuir a famílias)</t>
  </si>
  <si>
    <t xml:space="preserve">FERRAMENTA CLÍNICA DE LEITURA, não questionário: não recolhe respostas nem escreve no Sheet, pelo que não tem aba nem syncKey operacional. Lê as abas YGTSS e CYBOCS, agrega por código de paciente e produz a leitura conjunta sobre a avaliação mais recente de cada instrumento. Regra da leitura combinada: comprometimento desproporcionadamente elevado no YGTSS (diferença ≥ 20 na escala 0–50) com total CY-BOCS ≥ 16 → sintomatologia obsessivo-compulsiva sinalizada como HIPÓTESE CONTRIBUTIVA para o impacto funcional, a confirmar em entrevista e nunca como conclusão; desproporção sem expressão OC saliente → remete para outros fatores (ansiedade, PHDA, acomodação familiar, resposta do meio escolar). Produz ainda o diferencial fenomenológico tique complexo × compulsão, a leitura da lentificação e as trajetórias de cada instrumento com deteção de RESPOSTA DISSOCIADA. ⚠ Cruza sempre a avaliação mais recente de cada escala: acima de 90 dias de intervalo apresenta reserva metodológica. ⚠ Acesso restrito por palavra-passe.</t>
  </si>
  <si>
    <t xml:space="preserve">Leitura combinada YGTSS × CY-BOCS (hipótese OC contributiva · explorar outros fatores · quadro misto · expressão OC não saliente); Diferencial fenomenológico tique complexo × compulsão; Trajetória por instrumento (critério de resposta ≥ 35%); Resposta dissociada entre dimensões; Condicionantes da intervenção (crítica pobre, evitamento elevado); Reserva metodológica por distância temporal (&gt; 90 dias)</t>
  </si>
  <si>
    <t xml:space="preserve">—</t>
  </si>
  <si>
    <t xml:space="preserve">q_tsoc_sintese</t>
  </si>
  <si>
    <t xml:space="preserve">https://correiaricardina-ui.github.io/questionarios/TSOC_Sintese_v1.html</t>
  </si>
  <si>
    <t xml:space="preserve">QPTMV — Questionário Parental de Tiques Motores e Vocais</t>
  </si>
  <si>
    <t xml:space="preserve">Sistematiza o REPERTÓRIO DE TIQUES motores e vocais observado pelo cuidador coabitante nos ÚLTIMOS SETE DIAS e monitoriza a variação INTRAINDIVIDUAL ao longo do acompanhamento. Instrumento ORIGINAL de construção de raiz (Via B): não é versão, tradução nem adaptação autorizada de qualquer instrumento existente. Referencial arquitetónico: Chang, Himle, Tucker, Woods &amp; Piacentini (2009); referencial teórico: Leckman et al. (1989), Storch et al. (2007) e Kircanski et al. (2010). 28 itens com dupla codificação — presença (Sim/Não) e, quando presente, frequência (1 semanalmente a 4 constantemente) e intensidade (1 ligeiro a 4 muito acentuado); regra de calibragem: comportamento notado por outras pessoas cota-se na intensidade com 2 no mínimo. SEM estudo psicométrico, SEM normas e SEM pontos de corte: é proibida a leitura em termos de «ligeiro», «moderado» ou «grave», pelo que toda a saída é apresentada em paleta azul, sem codificação de gravidade por cores. NÃO é diagnóstico e NÃO substitui instrumentos validados — para a gravidade de tiques a YGTSS (Leckman et al., 1989) mantém-se a referência. Mede quantidade e magnitude fenomenológica do tique, não repercussão funcional. A gravidade é função conjunta do número de topografias e da magnitude de cada uma (G = N × (F+I)), pelo que nenhuma variação pode ser lida sem a decomposição ΔN × Δ(F+I). A comparação longitudinal exige o MESMO informante; o curso natural do tique, em agravamento e atenuação espontâneos, impede atribuir a variação entre dois momentos a efeito de intervenção, e a leitura de tendência exige três ou mais momentos. Um aumento do número de topografias pode refletir melhoria da deteção parental após treino de consciencialização e não agravamento clínico.</t>
  </si>
  <si>
    <t xml:space="preserve">Escala motora (M1 a M14): 14 topografias, incluindo ecopraxia, copropraxia, item aberto e sequências encadeadas; Escala vocal (V1 a V14): 14 topografias, incluindo ecolalia, palilalia, coprolalia, bloqueio da fala, item aberto e sequências encadeadas; Número (N): motor 0–14, vocal 0–14, total 0–28; Frequência (F) e Intensidade (I): médias das topografias assinaladas, 0–4, por escala e total; Gravidade (G): motor 0–112, vocal 0–112, total 0–224 (ao nível do item, 0 ou 2 a 8); Perfil de distribuição modal e dominância relativa R = G_M/(G_M+G_V); Extensão × magnitude por escala e dissociação frequência–intensidade por escala e total; Topografias de saliência social elevada (ecopraxia, copropraxia, ecolalia, palilalia, coprolalia) e itens abertos (M13, V13) com especificação; Leitura longitudinal com o mesmo informante: variação face à referência e sequencial, decomposição ΔN × Δ(F+I), tendência sustentada e sinalização exploratória declarada</t>
  </si>
  <si>
    <t xml:space="preserve">qptmv</t>
  </si>
  <si>
    <t xml:space="preserve">q_qptmv</t>
  </si>
  <si>
    <t xml:space="preserve">https://correiaricardina-ui.github.io/questionarios/QPTMV_v1.html</t>
  </si>
  <si>
    <t xml:space="preserve">CGI — Escala de Impressão Clínica Global</t>
  </si>
  <si>
    <t xml:space="preserve">Psicóloga, Aplicador clínico</t>
  </si>
  <si>
    <t xml:space="preserve">Transversal (todas as idades)</t>
  </si>
  <si>
    <t xml:space="preserve">Sintetiza num único indicador o JULGAMENTO CLÍNICO GLOBAL sobre o estado do doente, em duas subescalas independentes de sete pontos: GRAVIDADE do quadro (CGI-G) e MELHORIA face ao estado inicial (CGI-M). Guy, W. (1976), ECDEU Assessment Manual for Psychopharmacology (DHEW ADM 76-338) — obra de autoria governamental norte-americana, de DOMÍNIO PÚBLICO e sem reserva de direitos. Transversal a todas as faixas etárias e a todos os quadros clínicos; em idade pediátrica a cotação integra a observação clínica e o relato dos cuidadores. Período de referência: ÚLTIMOS SETE DIAS. Cotação em menos de 2 minutos, após a avaliação clínica. ⚠ Instrumento de HETEROAVALIAÇÃO, cotado pelo CLÍNICO: NÃO é autorrelato e NÃO deve ser entregue ao doente nem aos cuidadores. ⚠ A CGI-G exige comparação do doente com a TOTALIDADE DA EXPERIÊNCIA DO CLÍNICO com o quadro em causa, e não com a população geral — a ausência dessa experiência acumulada compromete a validade da medida. ⚠ A CGI-M exige comparação com o ESTADO INICIAL DO PRÓPRIO DOENTE e cota-se INDEPENDENTEMENTE de a mudança ser ou não atribuível à intervenção: é uma medida de mudança INTRAINDIVIDUAL e NÃO uma medida de eficácia terapêutica; por isso não é cotável em linha de base. ⚠ A escala NÃO produz pontuação compósita: cada eixo é ordinal e independente, não há soma nem total. ⚠ NÃO POSSUI NORMAS — os limiares aplicados (CGI-G ≤ 2 remissão · CGI-G ≥ 4 quadro clinicamente significativo · CGI-M ≤ 2 resposta · CGI-M = 3 resposta parcial · CGI-M ≥ 5 agravamento) são convenções consolidadas na literatura (Busner &amp; Targum, 2007) e não pontos de corte normativos. ⚠ Medida GLOBAL e UNIDIMENSIONAL, dependente do julgamento clínico: destina-se a COMPLEMENTAR, nunca a substituir, as medidas dimensionais do quadro avaliado (CY-BOCS, YGTSS e equivalentes); a divergência entre as duas é informativa e deve ser explicitada. ⚠ O Índice de Eficácia aplica-se exclusivamente havendo terapêutica farmacológica instituída, sendo a cotação da responsabilidade do clínico prescritor. ⚠ Havendo comorbilidade, cota-se um quadro clínico por diagnóstico: até três por sessão.</t>
  </si>
  <si>
    <t xml:space="preserve">CGI-G — Gravidade do quadro clínico (1 a 7): 1 normal, sem sinais de perturbação · 2 no limiar da perturbação · 3 ligeiramente afetado · 4 moderadamente afetado · 5 marcadamente afetado · 6 gravemente afetado · 7 entre os casos mais graves, cada ponto com critério operacional de sintomatologia e de interferência funcional; CGI-M — Melhoria global face à linha de base (1 a 7): 1 muito melhor · 2 melhor · 3 ligeiramente melhor · 4 sem alteração · 5 ligeiramente pior · 6 pior · 7 muito pior; cotável apenas em reavaliação; Leitura clínica da gravidade: compatível com remissão (≤ 2) · sintomatologia residual ou ligeira (3) · quadro clinicamente significativo com indicação para intervenção estruturada (≥ 4); Leitura clínica da mudança: resposta ao tratamento (≤ 2) · resposta parcial, que justifica revisão do plano e não necessariamente a sua substituição (3) · sem alteração face à linha de base (4) · agravamento, que impõe reavaliação diagnóstica e análise de fatores de manutenção (≥ 5); Síntese gravidade × mudança: resposta com remissão · resposta sem remissão (melhoria relevante com quadro ainda clinicamente significativo) · agravamento com quadro grave, com prioridade de reavaliação · evolução intermédia, que mantém monitorização; Índice de Eficácia (apenas em intervenção farmacológica): matriz 4 × 4 que cruza o efeito terapêutico (1 acentuado · 2 moderado · 3 mínimo · 4 sem alteração ou agravamento) com os efeitos adversos (1 ausentes · 2 não interferem no funcionamento · 3 interferem significativamente · 4 sobrepõem-se ao efeito terapêutico), devolvendo o perfil benefício/risco; Momento de avaliação (linha de base · reavaliação · final · seguimento) para monitorização serial intraindividual; Até três quadros clínicos por sessão, com designação explícita de cada um; Articulação obrigatória com a medida dimensional específica do quadro, com explicitação das divergências entre gravidade global e sintomatologia específica; Registo qualitativo não cotado: observações clínicas, síntese do caso e fatores de manutenção</t>
  </si>
  <si>
    <t xml:space="preserve">cgi</t>
  </si>
  <si>
    <t xml:space="preserve">q_cgi</t>
  </si>
  <si>
    <t xml:space="preserve">https://correiaricardina-ui.github.io/questionarios/CGI_v1.html</t>
  </si>
  <si>
    <t xml:space="preserve">COIS-RC — Impacto da POC na Criança (Revista), versão criança</t>
  </si>
  <si>
    <t xml:space="preserve">Quantifica o COMPROMISSO FUNCIONAL atribuível aos sintomas obsessivo-compulsivos no último mês, na perspetiva da própria criança ou jovem — construto distinto da gravidade sintomática, que a CY-BOCS não mede. Piacentini, Peris, Bergman, Chang &amp; Jaffer (2007); Copyright © 2007, John Piacentini, utilização clínica sem encargo com citação obrigatória da fonte. Adaptação linguística PT-EU, sem alteração de itens, ordem, escala de resposta nem estrutura fatorial. 33 itens, escala 0–3, 10 a 15 minutos. Indicador principal: MÉDIA POR ITEM (0–3), única métrica comparável entre subescalas de dimensão desigual e entre as duas versões. Sem normas portuguesas e sem pontos de corte publicados pelos autores: limiares CRITERIAIS, em paleta azul. Complementa e não substitui a CY-BOCS; recomenda-se a administração simultânea das versões criança e pais, porque a discrepância entre informadores é informação clínica.</t>
  </si>
  <si>
    <t xml:space="preserve">Escola (10 itens, 0–30): testes, escrita e conclusão de tarefas na sala de aula, pontualidade, concentração, trabalhos de casa, material e rendimento; Social (6 itens, 0–18): estar com desconhecidos, fazer e manter amizades, almoçar com colegas, relações amorosas; Atividades (17 itens, 0–51): quotidiano familiar, doméstico e de lazer — refeições, higiene, casa de banho, visitas, compras, restaurantes, cinema, férias, leitura, telefone; Pontuação total (33 itens, 0–99) e média por item (0–3) por subescala e no total; Classificação criterial por média por item (mínimo &lt;0,50; ligeiro 0,50–0,99; moderado 1,00–1,49; elevado 1,50–1,99; muito elevado ≥2,00); Domínio mais afetado e configuração do perfil (dissociado quando a diferença entre subescalas é ≥0,75 na média por item); Comparação entre informadores nas subescalas homólogas e na média total (diferença ≥0,50 clinicamente significativa); Monitorização em paralelo com a CY-BOCS: dissociação entre redução sintomática e manutenção do compromisso funcional</t>
  </si>
  <si>
    <t xml:space="preserve">cois_rc</t>
  </si>
  <si>
    <t xml:space="preserve">q_cois_rc</t>
  </si>
  <si>
    <t xml:space="preserve">https://correiaricardina-ui.github.io/questionarios/COIS_RC_v1.html</t>
  </si>
  <si>
    <t xml:space="preserve">COIS-RP — Impacto da POC na Criança (Revista), versão pais</t>
  </si>
  <si>
    <t xml:space="preserve">Quantifica o COMPROMISSO FUNCIONAL atribuível aos sintomas obsessivo-compulsivos no último mês, na perspetiva do progenitor ou cuidador principal — construto distinto da gravidade sintomática, que a CY-BOCS não mede. Piacentini, Peris, Bergman, Chang &amp; Jaffer (2007); Copyright © 2007, John Piacentini, utilização clínica sem encargo com citação obrigatória da fonte. Adaptação linguística PT-EU, sem alteração de itens, ordem, escala de resposta nem estrutura fatorial. 33 itens, escala 0–3, 10 a 15 minutos. Estrutura fatorial DISTINTA e NÃO intermutável com a da versão criança: quatro fatores, com autonomização das Competências de Vida Diária. Indicador principal: MÉDIA POR ITEM (0–3). Sem normas portuguesas e sem pontos de corte publicados pelos autores: limiares CRITERIAIS, em paleta azul. Só as subescalas homólogas (Escola e Social) e a média total são comparáveis entre informadores.</t>
  </si>
  <si>
    <t xml:space="preserve">Escola (6 itens, 0–18): testes, escrita e conclusão de tarefas na sala de aula, concentração, material e trabalhos de casa; Social (13 itens, 0–39): sair de casa, estar com desconhecidos e conhecidos, fazer e manter amizades, casa de amigos e dormir fora, lazer no recreio, passeios escolares, almoçar com colegas, relações amorosas; Família/Atividades (9 itens, 0–27): relação com pais e irmãos, visitar e receber familiares, férias, compras, comer em público, restaurantes, cerimónias religiosas; Competências de Vida Diária (5 itens, 0–15): pontualidade escolar, preparar-se para dormir, tarefas domésticas, higiene pessoal, vestir-se — fator específico da perspetiva parental; Pontuação total (33 itens, 0–99) e média por item (0–3) por subescala e no total; Classificação criterial por média por item (mínimo &lt;0,50; ligeiro 0,50–0,99; moderado 1,00–1,49; elevado 1,50–1,99; muito elevado ≥2,00); Domínio mais afetado e configuração do perfil (dissociado quando a diferença entre subescalas é ≥0,75 na média por item); Comparação entre informadores nas subescalas homólogas e na média total (diferença ≥0,50 clinicamente significativa); Monitorização em paralelo com a CY-BOCS: dissociação entre redução sintomática e manutenção do compromisso funcional</t>
  </si>
  <si>
    <t xml:space="preserve">cois_rp</t>
  </si>
  <si>
    <t xml:space="preserve">q_cois_rp</t>
  </si>
  <si>
    <t xml:space="preserve">https://correiaricardina-ui.github.io/questionarios/COIS_RP_v1.html</t>
  </si>
  <si>
    <t xml:space="preserve">LOI-CV — Inventário Obsessivo de Leyton, versão para crianças (rastreio)</t>
  </si>
  <si>
    <t xml:space="preserve">Rastreia sintomatologia OBSESSIVO-COMPULSIVA em idade escolar por autorrelato, com codificação SEPARADA da presença do sintoma e do seu custo funcional — a dupla codificação é a característica psicométrica central do instrumento e reproduz a autonomia do critério de interferência no diagnóstico (DSM-5-TR 300.3 / F42.2; CID-11 6B20). Berg et al. (1988); estrutura fatorial e pontos de corte de Canals et al. (2012). ⚠ RASTREIO e NÃO diagnóstico: VPP 18,2% e VPN 99,1% — serve para EXCLUIR, não para confirmar; um positivo obriga a avaliação clínica estruturada e nunca é comunicado à família ou à escola como diagnóstico. ⚠ Sem normas portuguesas: pontos de corte de amostra escolar espanhola (n = 1514 / 562), 8 aos 12 anos; para adolescentes a literatura propõe limiares mais conservadores. ⚠ Não cobre acumulação nem conteúdos agressivos, religiosos ou somáticos, e não integra relato parental.</t>
  </si>
  <si>
    <t xml:space="preserve">Pontuação «Sim» (0–20): número de itens assinalados como presentes; leitura da extensão do repertório sintomático, sem ponto de corte próprio; Pontuação de interferência (0–60): soma das interferências de TODOS os itens cotados, independentemente da resposta «Sim» — regra dos estudos de validação; ponto de corte ≥ 10 (sens. 82,4%; espec. 83,8%; AUC 0,912); Pontuação total (0–80): «Sim» + interferência; indicador principal e de melhor fidelidade (α = 0,90); ponto de corte ≥ 21 (sens. 82,4%; espec. 84,1%; AUC 0,909); Ordem/verificação/contaminação (itens 3, 4, 7, 8, 9, 11, 12; total 0–28; α = 0,82): fator que explica maior variância (30,2%) e mais discrimina entre grupos; Preocupação obsessiva (itens 2, 6, 10, 14, 16, 17, 18; total 0–28; α = 0,81): ruminação, indecisão, escrúpulo moral, perfecionismo retrospetivo, lentificação por repetição; Superstição/compulsão mental (itens 1, 5, 13, 15, 19, 20; total 0–24; α = 0,77): rituais mentais, contagem, números e palavras protetoras — NÃO discrimina clínico de subclínico, pelo que a elevação isolada não indica gravidade, mas capta fenómenos encobertos não observáveis pelos cuidadores; Faixas do total: 0–13 variação normativa (M = 13,03 sem diagnóstico); 14–20 zona intermédia, reavaliar em 3 a 6 meses; 21–30 rastreio positivo (M = 22,21 subclínico); ≥ 31 fortemente positivo (M = 31,18 clínico); Faixas da interferência: 0–4 normativa; 5–9 intermédia; 10–17 positivo; ≥ 18 fortemente positivo; Decisão de rastreio (positiva quando qualquer indicador atinge o corte) e configuração entre indicadores: presença elevada com interferência baixa indica monitorização; presença moderada com interferência elevada justifica intervenção precoce; Perfil por fator por proximidade às médias dos grupos de referência e domínio predominante — leitura orientadora e não decisória, em paleta azul; Monitorização serial pelo campo «Momento da avaliação», com comparação do total e da interferência ao longo da intervenção</t>
  </si>
  <si>
    <t xml:space="preserve">loi_cv</t>
  </si>
  <si>
    <t xml:space="preserve">q_loi_cv</t>
  </si>
  <si>
    <t xml:space="preserve">https://correiaricardina-ui.github.io/questionarios/LOI_CV_v1.html</t>
  </si>
  <si>
    <t xml:space="preserve">EBIP-7 — Escala Breve de Irritabilidade Pediátrica (Cuidador)</t>
  </si>
  <si>
    <t xml:space="preserve">Avalia a IRRITABILIDADE pediátrica — limiar reduzido para a experiência de cólera em resposta à frustração — e a incapacidade funcional atribuída, distinguindo a componente TÓNICA (humor irritável persistente) da componente FÁSICA (vagas de cólera desencadeadas pela frustração). Instrumento original de construção própria em português europeu, por equivalência conceptual e psicométrica com o Affective Reactivity Index (ARI; Stringaris et al., 2012, J Child Psychol Psychiatry, 53(11), 1109–1117), cujos itens não são reproduzidos nem traduzidos: NÃO é tradução nem versão autorizada do ARI. Modelo bidimensional tónico/fásico: Brotman, Kircanski &amp; Leibenluft (2017). 7 itens, escala 0–2, 2 a 3 minutos; exclui conteúdo agressivo, antissocial e hiperativo, opção que sustenta a validade discriminante. Duas janelas: 6 MESES (avaliação inicial e caracterização diagnóstica) e 7 DIAS (monitorização de resposta à intervenção, leitura estritamente intraindividual — as faixas descritivas não se aplicam). Aplicar sempre as duas versões no mesmo momento sempre que a idade o permita: o índice de discrepância entre informantes é uma das saídas clinicamente mais informativas. Manter o mesmo informante ao longo de M1 a M4. ATENÇÃO: não existem normas portuguesas — as faixas derivam de parâmetros comunitários publicados do instrumento de referência e são de leitura exploratória, nunca normativa, pelo que se apresentam em paleta azul, sem codificação de gravidade. Medida dimensional e transdiagnóstica: um total elevado sinaliza um domínio a aprofundar e não identifica entidade nosológica; a atribuição diagnóstica (PDDH F34.81 / 6C90.0; POD F91.3 / 6C90; depressão com humor irritável F32.x–F33.x / 6A70–6A71) exige entrevista clínica estruturada. A escala mede o TRAÇO, não o episódio.</t>
  </si>
  <si>
    <t xml:space="preserve">Total bruto (0–12): soma dos itens 1 a 6; com 1 item omisso aplica-se prorrateio, com 2 ou mais o protocolo não é cotável (NC); Média total (0–2) e classificação em três níveis: 0 ausente / 1 ligeira a moderada / 2 moderada a grave; Incapacidade funcional (item 7, 0–2): cotada em separado e nunca somada ao total; Índice de Limiar (itens 1 + 6, 0–4): facilidade com que a reação de cólera é desencadeada — agrupamento qualitativo, não subescala validada; Índice de Frequência (itens 2 + 5, 0–4): repetição dos episódios de cólera — agrupamento qualitativo; Índice de Duração (itens 3 + 4, 0–4): persistência do estado irritável, componente tónica — agrupamento qualitativo; Componente predominante: predomínio tónico (articular com humor depressivo), predomínio fásico (articular com tolerância à frustração e controlo inibitório) ou ambas elevadas (maior gravidade); Faixa descritiva do total, por grelhas distintas consoante o informante — cuidador: baixo 0–2 / médio 3–6 / elevado 7–9 / muito elevado 10–12; autorrelato: baixo 0–2 / médio 3–5 / elevado 6–8 / muito elevado 9–12; Posição em desvios-padrão (z) face aos parâmetros comunitários de referência (cuidador M = 3,3 e DP = 3,4; autorrelato M = 3,0 e DP = 3,0); Matriz Sintoma x Incapacidade: cruzamento do total com o item 7, em que as células de incongruência são as clinicamente mais produtivas; Índice de discrepância entre informantes (cuidador menos jovem, −12 a +12): 0 a 2 concordância / 3 a 5 moderada / 6 ou mais marcada, exigindo formulação explícita no relatório; Monitorização serial pelo campo Momento da avaliação (M1 a M4)</t>
  </si>
  <si>
    <t xml:space="preserve">ebip7_c</t>
  </si>
  <si>
    <t xml:space="preserve">q_ebip7_c</t>
  </si>
  <si>
    <t xml:space="preserve">https://correiaricardina-ui.github.io/questionarios/EBIP7_Cuidador_v1.html</t>
  </si>
  <si>
    <t xml:space="preserve">EBIP-7 — Escala Breve de Irritabilidade Pediátrica (Autorrelato)</t>
  </si>
  <si>
    <t xml:space="preserve">Avalia a IRRITABILIDADE pediátrica — limiar reduzido para a experiência de cólera em resposta à frustração — e a incapacidade funcional atribuída, distinguindo a componente TÓNICA (humor irritável persistente) da componente FÁSICA (vagas de cólera desencadeadas pela frustração). Instrumento original de construção própria em português europeu, por equivalência conceptual e psicométrica com o Affective Reactivity Index (ARI; Stringaris et al., 2012, J Child Psychol Psychiatry, 53(11), 1109–1117), cujos itens não são reproduzidos nem traduzidos: NÃO é tradução nem versão autorizada do ARI. Modelo bidimensional tónico/fásico: Brotman, Kircanski &amp; Leibenluft (2017). 7 itens, escala 0–2, 2 a 3 minutos; exclui conteúdo agressivo, antissocial e hiperativo, opção que sustenta a validade discriminante. Duas janelas: 6 MESES (avaliação inicial e caracterização diagnóstica) e 7 DIAS (monitorização de resposta à intervenção, leitura estritamente intraindividual — as faixas descritivas não se aplicam). Aplicar sempre as duas versões no mesmo momento sempre que a idade o permita: o índice de discrepância entre informantes é uma das saídas clinicamente mais informativas. Manter o mesmo informante ao longo de M1 a M4. ATENÇÃO: não existem normas portuguesas — as faixas derivam de parâmetros comunitários publicados do instrumento de referência e são de leitura exploratória, nunca normativa, pelo que se apresentam em paleta azul, sem codificação de gravidade. Medida dimensional e transdiagnóstica: um total elevado sinaliza um domínio a aprofundar e não identifica entidade nosológica; a atribuição diagnóstica (PDDH F34.81 / 6C90.0; POD F91.3 / 6C90; depressão com humor irritável F32.x–F33.x / 6A70–6A71) exige entrevista clínica estruturada. A escala mede o TRAÇO, não o episódio. Abaixo dos 11 anos a fiabilidade do autorrelato é insuficiente e esta versão não deve ser usada isoladamente.</t>
  </si>
  <si>
    <t xml:space="preserve">ebip7_j</t>
  </si>
  <si>
    <t xml:space="preserve">q_ebip7_j</t>
  </si>
  <si>
    <t xml:space="preserve">https://correiaricardina-ui.github.io/questionarios/EBIP7_Jovem_v1.html</t>
  </si>
  <si>
    <t xml:space="preserve">QAF-CA — Questionário de Ataques de Fúria (Forma P, heterorrelato)</t>
  </si>
  <si>
    <t xml:space="preserve">Mãe, Pai, Enc. Educação, Professor</t>
  </si>
  <si>
    <t xml:space="preserve">Quantifica a gravidade dos ATAQUES DE FÚRIA (rage attacks) em idade pediátrica e a sua repercussão funcional e relacional, por relato do cuidador. Ataque de fúria: reação emocional súbita, breve, intensa e impulsiva, desencadeada por estímulos cuja magnitude não justifica a resposta e que o próprio não consegue controlar depois de iniciada; o elemento definidor é a natureza EGODISTÓNICA do episódio, com reconhecimento crítico posterior e sofrimento associado. Instrumento ORIGINAL de construção própria em português europeu (Via B), edificado por equivalência conceptual com o Rage Attacks Questionnaire (Budman et al., 1998, 2003) e com a métrica do RAQ-R (Müller-Vahl et al., 2020; validação em Palm et al., 2021), cujos itens são protegidos e NÃO são reproduzidos nem traduzidos: NÃO constitui versão portuguesa do RAQ nem do RAQ-R. 22 itens, escala 0–3 com dupla ancoragem de frequência e intensidade, total 0–66, janela dos ÚLTIMOS TRÊS MESES, 5 a 8 minutos, sem itens invertidos. Estrutura unifatorial quanto à pontuação, com quatro facetas DESCRITIVAS que orientam a leitura do perfil e não são subescalas autónomas. DUAS FORMAS PARALELAS: Forma P (heterorrelato, 6–17 anos) e Forma A (autorrelato, ≥11 anos) — aplicar primeiro a Forma A, para que o adolescente não seja influenciado pela perceção do cuidador; a Forma P admite segundo informante (outro cuidador ou diretor de turma), adaptando a leitura dos itens 17, 18 e 21 ao contexto escolar. ⚠ NÃO EXISTEM NORMAS: limiares EXPLORATÓRIOS, derivados da distribuição de referência do RAQ-R em ADULTOS alemães (controlos M = 10,09; DP = 9,33) cruzada com as médias das amostras clínicas — transposição assumida e não equivalência demonstrada; leitura em paleta AZUL, sem codificação de gravidade por cores. ⚠ SEM estudos psicométricos próprios. ⚠ NÃO estabelece diagnóstico: o ataque de fúria não é entidade nosológica e o resultado é indicador dimensional a integrar com anamnese, observação, informação escolar e restantes instrumentos (PEI 312.34 / 6C71 · PDDH 296.99 / 6C90.1 · POD 313.81 / 6C90 · PHDA 314.0x / 6A05 · Tourette 307.23 / 8A05.00). ⚠ A SINALIZAÇÃO dos itens 8, 9 e 10 é deliberadamente INDEPENDENTE da pontuação total: um jovem com poucos episódios mas com agressão física em cada um obtém total moderado e exige, ainda assim, apreciação de segurança imediata. Não é instrumento de avaliação de risco — a sua ativação obriga a apreciação clínica específica e a plano de segurança.</t>
  </si>
  <si>
    <t xml:space="preserve">Pontuação total (0–66): soma dos 22 itens; com 1 a 3 omissões aplica-se prorrateio (média dos respondidos × 22, arredondada), com 4 ou mais o protocolo é INVÁLIDO e não é cotado | Níveis exploratórios do total: 0–9 ausente/mínimo · 10–19 ligeiro (até +1 DP) · 20–28 moderado (+1 a +2 DP; média das amostras clínicas mistas M = 21,75) · 29–40 elevado (acima da média em síndrome de Tourette, M = 25,00) · 41–66 muito elevado (acima da média em PHDA, M = 35,00) | D1 · Frequência, imprevisibilidade e limiar de desencadeamento (itens 1–5): carácter súbito, desproporção face ao estímulo, imprevisibilidade e densidade dos episódios | D2 · Intensidade e expressão comportamental (itens 6–11): gradiente de escalada — descarga verbal, conteúdo ofensivo, dano a objetos, agressão a pessoas, comportamento de risco e ativação fisiológica | D3 · Controlo, consciência e recuperação (itens 12–16): incapacidade de interromper, irredutibilidade à intervenção do adulto, duração, exaustão e consciência crítica posterior (item 16 cotado de forma DIRETA, porque a egodistonia é critério definidor) | D4 · Repercussão funcional e relacional (itens 17–22): tensão familiar, acomodação da rotina, impacto relacional e escolar, restrição de contextos e sofrimento do próprio | Média por item de cada faceta (0–3): único indicador de comparação entre facetas, dada a composição desigual (5/6/5/6); níveis proporcionalmente equivalentes aos do total — &lt;0,46 ausente/mínimo · 0,46–0,89 ligeiro · 0,90–1,29 moderado · 1,30–1,81 elevado · ≥1,82 muito elevado | Índice de gravidade global: total em percentagem do máximo; indicador auxiliar de leitura, não classificativo | Dispersão interfacetária (máximo menos mínimo das quatro médias por item): ≥0,75 perfil heterogéneo, expressão SELETIVA do fenómeno, caso em que a média total subestima a gravidade; &lt;0,75 perfil homogéneo, expressão generalizada | Sinalização clínica prioritária (itens 8 dano a objetos, 9 agressão a pessoas, 10 comportamento de risco): ATIVA quando pelo menos um é cotado ≥2, independentemente da pontuação total | Dissociações interfacetárias: D2 elevada com D3 baixa põe em causa o critério de egodistonia e obriga a diferencial com perturbação de oposição e desafio ou do comportamento; D3 elevada com D2 baixa traduz desregulação de expressão predominantemente interna, com ponderação de componente ansiosa ou sobrecarga sensorial; D4 elevada com total inferior a 29 indica repercussão desproporcionada e obriga a avaliar acomodação familiar e escolar como fator de manutenção | Índice de discrepância entre informantes (|diferença| de totais): 0–7 convergência · 8–15 divergência ligeira a moderada · ≥16 divergência marcada; heterorrelato superior sugere menor reconhecimento pelo próprio ou maior visibilidade no contexto familiar, e em adolescentes também minimização defensiva; autorrelato superior sinaliza sofrimento interno não percecionado pelo adulto | Caracterização NÃO COTADA dos episódios (Secção I): idade de início, número de episódios no último mês, duração média, desencadeantes, contextos, sinais de aviso, o que ajuda a terminar o episódio e descrição de um episódio típico recente | Monitorização serial pelo campo Momento da avaliação, mantendo o MESMO informante ao longo dos momentos</t>
  </si>
  <si>
    <t xml:space="preserve">qafca_p</t>
  </si>
  <si>
    <t xml:space="preserve">q_qafca_p</t>
  </si>
  <si>
    <t xml:space="preserve">https://correiaricardina-ui.github.io/questionarios/QAFCA_P_v1.html</t>
  </si>
  <si>
    <t xml:space="preserve">Síntese ASEBA — Leitura multi-informador CBCL × TRF × YSR</t>
  </si>
  <si>
    <t xml:space="preserve">1½–18 anos</t>
  </si>
  <si>
    <t xml:space="preserve">FERRAMENTA CLÍNICA DE LEITURA, não questionário: não recolhe respostas nem escreve no Sheet, pelo que não tem aba nem syncKey operacional. Lê a coluna Respostas das abas CBCL_618, TRF_618, YSR_1118, CBCL_15 e CTRF_15, agrega por código de paciente e RECOTA localmente com os motores de cotação dos próprios questionários — as colunas T_* do Sheet nunca são lidas, por terem sido gravadas por versões antigas com tabelas incorretas. Cada informador constitui uma coluna autónoma: nunca se calculam médias entre relatos e, quando o mesmo informador submeteu mais do que uma vez, a coluna corresponde à submissão mais recente, ficando as anteriores para a trajetória. Deteta a banda etária (pré-escolar 1½-5 · escolar 6-18) e bloqueia a apresentação de valores quando a sonda de alinhamento item-escala falha. Limiares do manual: síndromes limítrofe T 65-69 e clínico T ≥ 70; compostos limítrofe T 60-63 e clínico T ≥ 64. Perfis derivados sem normas portuguesas, em paleta neutra.</t>
  </si>
  <si>
    <t xml:space="preserve">Perfil comparado entre informadores (8 síndromes + Internalização, Externalização e Total, em T e bruto); Discrepância inter-informador (amplitude máxima por escala, sinalizada a partir de 10 pontos T = 1 DP); Especificidade contextual casa × escola (pervasivo · familiar · escolar · sem elevação); Escalas sem equivalente noutras formas (Desatenção e Hiperatividade/Impulsividade do TRF; Outros Problemas do YSR); Perfil de desregulação AAA com classificação, subtipagem e critério alternativo; Perfil CAP (Isolamento/Depressão + Problemas Sociais + Problemas de Pensamento); Matriz de leitura cruzada do perfil de desregulação entre informadores (convenção interpretativa, não validada); Trajetória intra-informador (mesma forma, mesmo informante, variação em pontos T)</t>
  </si>
  <si>
    <t xml:space="preserve">q_aseba_sintese</t>
  </si>
  <si>
    <t xml:space="preserve">https://correiaricardina-ui.github.io/questionarios/ASEBA_Sintese_v1.html</t>
  </si>
  <si>
    <t xml:space="preserve">EAIR — Escala de Avaliação da Ira e da sua Regulação (Forma Infantil, autorrelato)</t>
  </si>
  <si>
    <t xml:space="preserve">Criança/Jovem (paciente)</t>
  </si>
  <si>
    <t xml:space="preserve">Avalia a IRA enquanto construto MULTIDIMENSIONAL, distinguindo a experiência subjetiva das modalidades através das quais é expressa e regulada. Instrumento ORIGINAL de construção própria em português europeu (Via B), edificado por equivalência conceptual com a tradição de avaliação da ira — modelo estado-traço (Spielberger, 1988, 1999), modelo de Deffenbacher (1999, 2011), modelo processual de regulação emocional (Gross, 1998, 2015), perspetiva desenvolvimental da regulação (Jacobs, Phelps &amp; Rohrs, 1989; Zelazo &amp; Carlson, 2012) e distinção entre irritabilidade TÓNICA e FÁSICA (Leibenluft, 2017) —, cujos itens são protegidos e NÃO são reproduzidos nem traduzidos: NÃO constitui versão portuguesa do STAXI nem de qualquer instrumento comercial. 24 itens, escala de quatro pontos sem ponto médio (1 quase nunca · 2 às vezes · 3 muitas vezes · 4 quase sempre), 7 a 10 minutos. Quatro itens invertidos, um por dimensão, nas posições 5, 12, 14 e 19, recodificados como 5 menos o valor assinalado. QUATRO FORMAS ISOMÓRFICAS — Infantil (8–12), Juvenil (13–18), Adulto (18+) e Heteroavaliação — em que a mesma posição corresponde à mesma faceta, com redação calibrada por idade e por perspetiva, o que permite comparação longitudinal e entre informantes. Âncora temporal dupla: instrução de traço no rastreio e janela de DUAS SEMANAS na monitorização, partilhando itens e regras de cotação. ⚠ NÃO PRODUZ PONTUAÇÃO TOTAL, por decisão do instrumento: as dimensões não são somáveis entre si por terem VALÊNCIAS DISTINTAS — valor elevado na dimensão IV traduz recurso preservado, valor elevado em I, II ou III traduz maior expressão de ira. ⚠ NÃO EXISTEM NORMAS PORTUGUESAS nem estudos psicométricos publicados: o Índice Dimensional Padronizado (IDP) exprime a POSIÇÃO NA AMPLITUDE TEÓRICA e NÃO constitui percentil normativo; os limiares de 25, 50 e 75 ancoram-se na métrica de resposta e não em amostra normativa, pelo que a leitura vai em paleta AZUL, sem codificação de gravidade por cores, e o vermelho fica reservado aos dois sinalizadores binários (défice regulatório, IDP IV &lt; 25, e ICR ≥ 3). ⚠ NÃO ESTABELECE DIAGNÓSTICO: a ira e a irritabilidade são manifestações transdiagnósticas — a informação é pertinente, entre outros, na PDDH (296.99 / F34.81 · 6A72), na POD na dimensão de humor irritável e zangado (313.81 / F91.3 · 6C90) e na Perturbação Explosiva Intermitente (312.34 / F63.81 · 6C70), mas a identificação depende sempre da avaliação clínica integrada. Forma INFANTIL, autorrelato dos 8 aos 12 anos, de administração individual, com leitura em voz alta sempre que a competência leitora o justifique. ⚠ A faceta IV-3 (reavaliação cognitiva) tem validade de constructo limitada abaixo dos 10 anos: a redação foi comportamentalizada, mas a limitação mantém-se e deve ser ponderada na leitura da dimensão IV (anomalia A-04).</t>
  </si>
  <si>
    <t xml:space="preserve">Dimensão I · Experiência e Reatividade da Ira (itens 1, 5*, 9, 13, 17, 21): frequência subjetiva, limiar e rapidez de ativação, intensidade máxima, irritabilidade difusa (tónica), reatividade a crítica ou correção e tolerância à frustração e à espera | Dimensão II · Expressão Externa (itens 2, 6, 10, 14*, 18, 22): elevação vocal, verbalização hostil, agressão a objetos, agressão a pessoas, descarga motora e contenção da manifestação externa — corresponde à irritabilidade fásica (explosões de ira) | Dimensão III · Expressão Interna e Contenção (itens 3, 7, 11, 15, 19*, 23): supressão da manifestação, ruminação, ressentimento mantido em segredo, retirada e isolamento, tensão corporal e somatização e resolução espontânea rápida | Dimensão IV · Regulação e Controlo (itens 4, 8, 12*, 16, 20, 24): modificação da situação, redireccionamento atencional, reavaliação cognitiva, modulação fisiológica, resolução de problema e diálogo e ausência percebida de recursos reguladores — VALÊNCIA INVERSA | Pontuação bruta por dimensão (6 a 24) e IDP = (bruto − 6) / 18 × 100, amplitude 0 a 100; faixas 0–24,9 baixo · 25–49,9 médio-baixo · 50–74,9 médio-alto · 75–100 elevado, e na dimensão IV recurso muito reduzido · limitado · adequado · consolidado | Omissões: uma por dimensão é imputada pela média dos itens respondidos (soma × 6 / n); duas ou mais tornam a dimensão NÃO COTÁVEL, com bruto e IDP a gravar o literal n.c. e nunca zero | Índice de Expressão da Ira (IEI) = bruto II + bruto III − bruto IV + 24, amplitude 12 a 66; só é interpretado quando o IDP da dimensão I é ≥ 50 (anomalia A-05) | Índice de Direccionalidade da Ira (IDI) = bruto II − bruto III, amplitude −18 a +18; ≥ 3 predomínio externalizante · ≤ −3 predomínio internalizante · entre ambos expressão equilibrada | Indicador de Coerência de Resposta (ICR), 0 a 4: dimensões em que o item invertido recodificado se afasta em 2 ou mais pontos da média dos cinco diretos; ≥ 3 exige cautela interpretativa | Sinalizador de défice regulatório: IDP da dimensão IV &lt; 25, alvo prioritário de intervenção | Configuração expressiva por precedência fixa: P3 expressão mista com sobrecarga · P1 expressão externalizante desregulada · P2 contenção hostil · P4 reatividade com regulação preservada · P5 sem configuração dominante · P0 perfil incompleto | Concordância entre informantes por dimensão (diferença absoluta de IDP): até 15 convergente · 16 a 30 divergência moderada · mais de 30 divergência acentuada</t>
  </si>
  <si>
    <t xml:space="preserve">eair_i</t>
  </si>
  <si>
    <t xml:space="preserve">q_eair_i</t>
  </si>
  <si>
    <t xml:space="preserve">https://correiaricardina-ui.github.io/questionarios/EAIR_I_v1.html</t>
  </si>
  <si>
    <t xml:space="preserve">EAIR — Escala de Avaliação da Ira e da sua Regulação (Forma Juvenil, autorrelato)</t>
  </si>
  <si>
    <t xml:space="preserve">Avalia a IRA enquanto construto MULTIDIMENSIONAL, distinguindo a experiência subjetiva das modalidades através das quais é expressa e regulada. Instrumento ORIGINAL de construção própria em português europeu (Via B), edificado por equivalência conceptual com a tradição de avaliação da ira — modelo estado-traço (Spielberger, 1988, 1999), modelo de Deffenbacher (1999, 2011), modelo processual de regulação emocional (Gross, 1998, 2015), perspetiva desenvolvimental da regulação (Jacobs, Phelps &amp; Rohrs, 1989; Zelazo &amp; Carlson, 2012) e distinção entre irritabilidade TÓNICA e FÁSICA (Leibenluft, 2017) —, cujos itens são protegidos e NÃO são reproduzidos nem traduzidos: NÃO constitui versão portuguesa do STAXI nem de qualquer instrumento comercial. 24 itens, escala de quatro pontos sem ponto médio (1 quase nunca · 2 às vezes · 3 muitas vezes · 4 quase sempre), 7 a 10 minutos. Quatro itens invertidos, um por dimensão, nas posições 5, 12, 14 e 19, recodificados como 5 menos o valor assinalado. QUATRO FORMAS ISOMÓRFICAS — Infantil (8–12), Juvenil (13–18), Adulto (18+) e Heteroavaliação — em que a mesma posição corresponde à mesma faceta, com redação calibrada por idade e por perspetiva, o que permite comparação longitudinal e entre informantes. Âncora temporal dupla: instrução de traço no rastreio e janela de DUAS SEMANAS na monitorização, partilhando itens e regras de cotação. ⚠ NÃO PRODUZ PONTUAÇÃO TOTAL, por decisão do instrumento: as dimensões não são somáveis entre si por terem VALÊNCIAS DISTINTAS — valor elevado na dimensão IV traduz recurso preservado, valor elevado em I, II ou III traduz maior expressão de ira. ⚠ NÃO EXISTEM NORMAS PORTUGUESAS nem estudos psicométricos publicados: o Índice Dimensional Padronizado (IDP) exprime a POSIÇÃO NA AMPLITUDE TEÓRICA e NÃO constitui percentil normativo; os limiares de 25, 50 e 75 ancoram-se na métrica de resposta e não em amostra normativa, pelo que a leitura vai em paleta AZUL, sem codificação de gravidade por cores, e o vermelho fica reservado aos dois sinalizadores binários (défice regulatório, IDP IV &lt; 25, e ICR ≥ 3). ⚠ NÃO ESTABELECE DIAGNÓSTICO: a ira e a irritabilidade são manifestações transdiagnósticas — a informação é pertinente, entre outros, na PDDH (296.99 / F34.81 · 6A72), na POD na dimensão de humor irritável e zangado (313.81 / F91.3 · 6C90) e na Perturbação Explosiva Intermitente (312.34 / F63.81 · 6C70), mas a identificação depende sempre da avaliação clínica integrada. Forma JUVENIL, autorrelato dos 13 aos 18 anos, de administração individual ou coletiva. É a forma em que a distinção entre SUPRESSÃO (dimensão III, evitamento experiencial associado a pior prognóstico) e REGULAÇÃO (dimensão IV, ação orientada por valores) tem maior rendimento clínico.</t>
  </si>
  <si>
    <t xml:space="preserve">eair_ja</t>
  </si>
  <si>
    <t xml:space="preserve">q_eair_ja</t>
  </si>
  <si>
    <t xml:space="preserve">https://correiaricardina-ui.github.io/questionarios/EAIR_JA_v1.html</t>
  </si>
  <si>
    <t xml:space="preserve">EAIR — Escala de Avaliação da Ira e da sua Regulação (Forma Adulto, autorrelato)</t>
  </si>
  <si>
    <t xml:space="preserve">18 ou mais anos</t>
  </si>
  <si>
    <t xml:space="preserve">Avalia a IRA enquanto construto MULTIDIMENSIONAL, distinguindo a experiência subjetiva das modalidades através das quais é expressa e regulada. Instrumento ORIGINAL de construção própria em português europeu (Via B), edificado por equivalência conceptual com a tradição de avaliação da ira — modelo estado-traço (Spielberger, 1988, 1999), modelo de Deffenbacher (1999, 2011), modelo processual de regulação emocional (Gross, 1998, 2015), perspetiva desenvolvimental da regulação (Jacobs, Phelps &amp; Rohrs, 1989; Zelazo &amp; Carlson, 2012) e distinção entre irritabilidade TÓNICA e FÁSICA (Leibenluft, 2017) —, cujos itens são protegidos e NÃO são reproduzidos nem traduzidos: NÃO constitui versão portuguesa do STAXI nem de qualquer instrumento comercial. 24 itens, escala de quatro pontos sem ponto médio (1 quase nunca · 2 às vezes · 3 muitas vezes · 4 quase sempre), 7 a 10 minutos. Quatro itens invertidos, um por dimensão, nas posições 5, 12, 14 e 19, recodificados como 5 menos o valor assinalado. QUATRO FORMAS ISOMÓRFICAS — Infantil (8–12), Juvenil (13–18), Adulto (18+) e Heteroavaliação — em que a mesma posição corresponde à mesma faceta, com redação calibrada por idade e por perspetiva, o que permite comparação longitudinal e entre informantes. Âncora temporal dupla: instrução de traço no rastreio e janela de DUAS SEMANAS na monitorização, partilhando itens e regras de cotação. ⚠ NÃO PRODUZ PONTUAÇÃO TOTAL, por decisão do instrumento: as dimensões não são somáveis entre si por terem VALÊNCIAS DISTINTAS — valor elevado na dimensão IV traduz recurso preservado, valor elevado em I, II ou III traduz maior expressão de ira. ⚠ NÃO EXISTEM NORMAS PORTUGUESAS nem estudos psicométricos publicados: o Índice Dimensional Padronizado (IDP) exprime a POSIÇÃO NA AMPLITUDE TEÓRICA e NÃO constitui percentil normativo; os limiares de 25, 50 e 75 ancoram-se na métrica de resposta e não em amostra normativa, pelo que a leitura vai em paleta AZUL, sem codificação de gravidade por cores, e o vermelho fica reservado aos dois sinalizadores binários (défice regulatório, IDP IV &lt; 25, e ICR ≥ 3). ⚠ NÃO ESTABELECE DIAGNÓSTICO: a ira e a irritabilidade são manifestações transdiagnósticas — a informação é pertinente, entre outros, na PDDH (296.99 / F34.81 · 6A72), na POD na dimensão de humor irritável e zangado (313.81 / F91.3 · 6C90) e na Perturbação Explosiva Intermitente (312.34 / F63.81 · 6C70), mas a identificação depende sempre da avaliação clínica integrada. Forma ADULTO, autorrelato a partir dos 18 anos, de administração individual ou coletiva. Útil também na avaliação de cuidadores e na articulação parental.</t>
  </si>
  <si>
    <t xml:space="preserve">eair_a</t>
  </si>
  <si>
    <t xml:space="preserve">q_eair_a</t>
  </si>
  <si>
    <t xml:space="preserve">https://correiaricardina-ui.github.io/questionarios/EAIR_A_v1.html</t>
  </si>
  <si>
    <t xml:space="preserve">EAIR — Escala de Avaliação da Ira e da sua Regulação (Forma de Heteroavaliação)</t>
  </si>
  <si>
    <t xml:space="preserve">Avalia a IRA enquanto construto MULTIDIMENSIONAL, distinguindo a experiência subjetiva das modalidades através das quais é expressa e regulada. Instrumento ORIGINAL de construção própria em português europeu (Via B), edificado por equivalência conceptual com a tradição de avaliação da ira — modelo estado-traço (Spielberger, 1988, 1999), modelo de Deffenbacher (1999, 2011), modelo processual de regulação emocional (Gross, 1998, 2015), perspetiva desenvolvimental da regulação (Jacobs, Phelps &amp; Rohrs, 1989; Zelazo &amp; Carlson, 2012) e distinção entre irritabilidade TÓNICA e FÁSICA (Leibenluft, 2017) —, cujos itens são protegidos e NÃO são reproduzidos nem traduzidos: NÃO constitui versão portuguesa do STAXI nem de qualquer instrumento comercial. 24 itens, escala de quatro pontos sem ponto médio (1 quase nunca · 2 às vezes · 3 muitas vezes · 4 quase sempre), 7 a 10 minutos. Quatro itens invertidos, um por dimensão, nas posições 5, 12, 14 e 19, recodificados como 5 menos o valor assinalado. QUATRO FORMAS ISOMÓRFICAS — Infantil (8–12), Juvenil (13–18), Adulto (18+) e Heteroavaliação — em que a mesma posição corresponde à mesma faceta, com redação calibrada por idade e por perspetiva, o que permite comparação longitudinal e entre informantes. Âncora temporal dupla: instrução de traço no rastreio e janela de DUAS SEMANAS na monitorização, partilhando itens e regras de cotação. ⚠ NÃO PRODUZ PONTUAÇÃO TOTAL, por decisão do instrumento: as dimensões não são somáveis entre si por terem VALÊNCIAS DISTINTAS — valor elevado na dimensão IV traduz recurso preservado, valor elevado em I, II ou III traduz maior expressão de ira. ⚠ NÃO EXISTEM NORMAS PORTUGUESAS nem estudos psicométricos publicados: o Índice Dimensional Padronizado (IDP) exprime a POSIÇÃO NA AMPLITUDE TEÓRICA e NÃO constitui percentil normativo; os limiares de 25, 50 e 75 ancoram-se na métrica de resposta e não em amostra normativa, pelo que a leitura vai em paleta AZUL, sem codificação de gravidade por cores, e o vermelho fica reservado aos dois sinalizadores binários (défice regulatório, IDP IV &lt; 25, e ICR ≥ 3). ⚠ NÃO ESTABELECE DIAGNÓSTICO: a ira e a irritabilidade são manifestações transdiagnósticas — a informação é pertinente, entre outros, na PDDH (296.99 / F34.81 · 6A72), na POD na dimensão de humor irritável e zangado (313.81 / F91.3 · 6C90) e na Perturbação Explosiva Intermitente (312.34 / F63.81 · 6C70), mas a identificação depende sempre da avaliação clínica integrada. Forma de HETEROAVALIAÇÃO, para encarregado de educação ou professor, com registo de informante, de contexto de observação e de período observado. Única forma que admite omissão deliberada («Sem informação»). ⚠ A dimensão III é intrinsecamente pouco observável por terceiros: as facetas III-1 a III-5 foram ancoradas em indicadores comportamentais indiretos e a fidelidade desta dimensão em heterorrelato é reduzida — uma divergência acentuada é ESPERADA e não deve, por si só, ser lida como distorção de resposta do avaliado (anomalia A-03).</t>
  </si>
  <si>
    <t xml:space="preserve">eair_h</t>
  </si>
  <si>
    <t xml:space="preserve">q_eair_h</t>
  </si>
  <si>
    <t xml:space="preserve">https://correiaricardina-ui.github.io/questionarios/EAIR_H_v1.html</t>
  </si>
  <si>
    <t xml:space="preserve">EAFE-CA — Escala de Avaliação do Funcionamento Executivo em Crianças e Adolescentes (Pais e Cuidadores)</t>
  </si>
  <si>
    <t xml:space="preserve">Avalia o FUNCIONAMENTO EXECUTIVO no quotidiano em cinco domínios de autorregulação. Instrumento ORIGINAL de construção própria em português europeu, inspirado no modelo híbrido de autorregulação e funções executivas de Barkley (1997, 2011, 2012): NÃO constitui tradução, adaptação autorizada nem equivalente psicométrico de qualquer instrumento publicado. 60 itens em escala 1–4 (1 nunca ou raramente · 2 às vezes · 3 frequentemente · 4 muito frequentemente), janela dos ÚLTIMOS 6 MESES, 5 blocos paginados de 12 itens correspondentes aos 5 domínios. DEZ itens invertidos (8, 11, 18, 23, 31, 35, 42, 47, 53, 57), recodificados como 5 menos o valor assinalado — descrevem comportamentos ADEQUADOS e não dificuldades. ⚠ NÃO DISPÕE de estudos de validade, fidelidade ou normas para a população portuguesa: os limiares são CRITERIAIS, ancorados na escala de resposta, e NÃO normativos — leitura em paleta AZUL, sem codificação de gravidade por cores. ⚠ Apoio EXPLORATÓRIO à formulação clínica e à monitorização de intervenção; não substitui instrumentos validados (BRIEF, Conners, ASEBA) nem fundamenta, isoladamente, qualquer decisão diagnóstica. ⚠ O literal N/C (não cotável) é devolvido e gravado TAL COMO VEM quando um domínio tem menos de 10 itens respondidos, o protocolo global menos de 50, falta algum dos 10 itens do IRE ou falta alguma das cinco médias de domínio para a AID — N/C e zero são resultados clinicamente opostos. ⚠ AID igual ou superior a 0,75 obriga a interpretar POR DOMÍNIO e não pelo compósito global. ⚠ TRÊS FORMAS ISOMÓRFICAS (Pais e Cuidadores, Autorrelato, Professores), em que a mesma posição corresponde ao mesmo conteúdo, o que permite comparação directa item a item, por domínio e entre contextos; manter o MESMO informante ao longo dos momentos. ⚠ NÃO confundir com a EAFE (Entrevista de Análise Funcional do Estudo), instrumento distinto. Forma de HETERORRELATO PARENTAL, com registo do grau de parentesco; se houver medicação para perturbação do desenvolvimento ou do comportamento, responde-se tendo em conta o funcionamento SEM medicação.</t>
  </si>
  <si>
    <t xml:space="preserve">AGT · Autogestão do Tempo (itens 1–12): noção do tempo, estimativa de duração, antecipação, cumprimento de prazos e prontidão de material | ARP · Auto-organização e Resolução de Problemas (itens 13–24): memória de trabalho aplicada, sequenciação de etapas, flexibilidade perante o imprevisto, organização do material e organização do discurso | ACI · Autocontrolo Inibitório (itens 25–36): inibição de resposta, espera pela vez, ponderação das alternativas, avaliação do risco e ajustamento ao feedback correctivo | AMP · Automotivação e Persistência (itens 37–48): manutenção do esforço em tarefa monótona, resistência à distração, iniciativa em tarefa de rotina e trabalho para objetivos diferidos | ARE · Autorregulação Emocional (itens 49–60): tolerância à frustração, latência de recuperação, reavaliação depois de acalmar e interferência do estado emocional no desempenho | Por domínio: pontuação bruta, média por item (1,00–4,00) e CI (contagem de indicadores — itens corrigidos iguais ou superiores a 3); exige pelo menos 10 dos 12 itens respondidos, caso contrário devolve N/C | PEG · Pontuação Executiva Global: soma dos itens corrigidos respondidos; exige pelo menos 50 dos 60 itens | MEG · Média Executiva Global (1,00–4,00) = PEG a dividir pelo número de itens respondidos; métrica de leitura de eleição, comparável entre domínios, entre informantes e entre momentos | CI_Global · contagem global de indicadores (0–60): 0–11 sem indicadores · 12–20 ligeiros · 21–35 moderados · 36 ou mais acentuados | IRE · Índice de Risco Executivo (10–40) = soma dos itens 4, 6, 13, 19, 25, 28, 37, 44, 50 e 55; exige os 10 itens respondidos | AID · Amplitude Interdomínios = média mais alta menos média mais baixa; igual ou superior a 0,75 indica perfil HETEROGÉNEO e obriga a leitura por domínio | Limiares criteriais da média por item: 1,00–1,74 sem indicadores · 1,75–2,24 ligeiros · 2,25–2,99 moderados · 3,00–4,00 acentuados | Limiares criteriais do IRE: inferior a 25 sem sinalização · 25–29 sinalização moderada · 30 ou mais sinalização elevada | Matriz de leitura clínica domínio × categoria: para cada um dos cinco domínios e cada uma das quatro categorias, a orientação interpretativa e a indicação de aprofundamento ou de suporte correspondentes | Validade do protocolo: N_Respondidos (de 60), Opcoes_Distintas (de 4 — padrão de resposta pouco diferenciado), Disc_Media (média dos itens invertidos menos média dos directos — possível aquiescência ou itens invertidos não processados) e texto da Sinalização activa | Monitorização serial pelo campo Momento da avaliação, mantendo o MESMO informante ao longo dos momentos</t>
  </si>
  <si>
    <t xml:space="preserve">eafeca_p</t>
  </si>
  <si>
    <t xml:space="preserve">q_eafeca_p</t>
  </si>
  <si>
    <t xml:space="preserve">https://correiaricardina-ui.github.io/questionarios/EAFECA_Pais_v1.html</t>
  </si>
  <si>
    <t xml:space="preserve">EAFE-CA — Escala de Avaliação do Funcionamento Executivo em Crianças e Adolescentes (Autorrelato)</t>
  </si>
  <si>
    <t xml:space="preserve">Avalia o FUNCIONAMENTO EXECUTIVO no quotidiano em cinco domínios de autorregulação. Instrumento ORIGINAL de construção própria em português europeu, inspirado no modelo híbrido de autorregulação e funções executivas de Barkley (1997, 2011, 2012): NÃO constitui tradução, adaptação autorizada nem equivalente psicométrico de qualquer instrumento publicado. 60 itens em escala 1–4 (1 nunca ou raramente · 2 às vezes · 3 frequentemente · 4 muito frequentemente), janela dos ÚLTIMOS 6 MESES, 5 blocos paginados de 12 itens correspondentes aos 5 domínios. DEZ itens invertidos (8, 11, 18, 23, 31, 35, 42, 47, 53, 57), recodificados como 5 menos o valor assinalado — descrevem comportamentos ADEQUADOS e não dificuldades. ⚠ NÃO DISPÕE de estudos de validade, fidelidade ou normas para a população portuguesa: os limiares são CRITERIAIS, ancorados na escala de resposta, e NÃO normativos — leitura em paleta AZUL, sem codificação de gravidade por cores. ⚠ Apoio EXPLORATÓRIO à formulação clínica e à monitorização de intervenção; não substitui instrumentos validados (BRIEF, Conners, ASEBA) nem fundamenta, isoladamente, qualquer decisão diagnóstica. ⚠ O literal N/C (não cotável) é devolvido e gravado TAL COMO VEM quando um domínio tem menos de 10 itens respondidos, o protocolo global menos de 50, falta algum dos 10 itens do IRE ou falta alguma das cinco médias de domínio para a AID — N/C e zero são resultados clinicamente opostos. ⚠ AID igual ou superior a 0,75 obriga a interpretar POR DOMÍNIO e não pelo compósito global. ⚠ TRÊS FORMAS ISOMÓRFICAS (Pais e Cuidadores, Autorrelato, Professores), em que a mesma posição corresponde ao mesmo conteúdo, o que permite comparação directa item a item, por domínio e entre contextos; manter o MESMO informante ao longo dos momentos. ⚠ NÃO confundir com a EAFE (Entrevista de Análise Funcional do Estudo), instrumento distinto. Forma de AUTORRELATO dos 12 aos 17 anos, com redação na primeira pessoa. A discrepância entre a perceção do jovem e a dos adultos é, ela própria, informação clínica: um autorrelato sistematicamente mais favorável sugere menor consciência crítica das dificuldades, e o inverso sinaliza sofrimento não plenamente percecionado pelos adultos.</t>
  </si>
  <si>
    <t xml:space="preserve">eafeca_a</t>
  </si>
  <si>
    <t xml:space="preserve">q_eafeca_a</t>
  </si>
  <si>
    <t xml:space="preserve">https://correiaricardina-ui.github.io/questionarios/EAFECA_Auto_v1.html</t>
  </si>
  <si>
    <t xml:space="preserve">EAFE-CA — Escala de Avaliação do Funcionamento Executivo em Crianças e Adolescentes (Professores)</t>
  </si>
  <si>
    <t xml:space="preserve">Professor(a), Diretor(a) de turma</t>
  </si>
  <si>
    <t xml:space="preserve">Avalia o FUNCIONAMENTO EXECUTIVO no quotidiano em cinco domínios de autorregulação. Instrumento ORIGINAL de construção própria em português europeu, inspirado no modelo híbrido de autorregulação e funções executivas de Barkley (1997, 2011, 2012): NÃO constitui tradução, adaptação autorizada nem equivalente psicométrico de qualquer instrumento publicado. 60 itens em escala 1–4 (1 nunca ou raramente · 2 às vezes · 3 frequentemente · 4 muito frequentemente), janela dos ÚLTIMOS 6 MESES, 5 blocos paginados de 12 itens correspondentes aos 5 domínios. DEZ itens invertidos (8, 11, 18, 23, 31, 35, 42, 47, 53, 57), recodificados como 5 menos o valor assinalado — descrevem comportamentos ADEQUADOS e não dificuldades. ⚠ NÃO DISPÕE de estudos de validade, fidelidade ou normas para a população portuguesa: os limiares são CRITERIAIS, ancorados na escala de resposta, e NÃO normativos — leitura em paleta AZUL, sem codificação de gravidade por cores. ⚠ Apoio EXPLORATÓRIO à formulação clínica e à monitorização de intervenção; não substitui instrumentos validados (BRIEF, Conners, ASEBA) nem fundamenta, isoladamente, qualquer decisão diagnóstica. ⚠ O literal N/C (não cotável) é devolvido e gravado TAL COMO VEM quando um domínio tem menos de 10 itens respondidos, o protocolo global menos de 50, falta algum dos 10 itens do IRE ou falta alguma das cinco médias de domínio para a AID — N/C e zero são resultados clinicamente opostos. ⚠ AID igual ou superior a 0,75 obriga a interpretar POR DOMÍNIO e não pelo compósito global. ⚠ TRÊS FORMAS ISOMÓRFICAS (Pais e Cuidadores, Autorrelato, Professores), em que a mesma posição corresponde ao mesmo conteúdo, o que permite comparação directa item a item, por domínio e entre contextos; manter o MESMO informante ao longo dos momentos. ⚠ NÃO confundir com a EAFE (Entrevista de Análise Funcional do Estudo), instrumento distinto. Forma de HETERORRELATO ESCOLAR, com registo da disciplina leccionada, do tempo de conhecimento do aluno e do número de horas semanais de contacto — dados indispensáveis para ponderar a base observacional de quem responde. A comparação casa × escola é uma das saídas clinicamente mais produtivas: a especificidade contextual das dificuldades executivas orienta a formulação e o plano de acomodações.</t>
  </si>
  <si>
    <t xml:space="preserve">eafeca_t</t>
  </si>
  <si>
    <t xml:space="preserve">q_eafeca_t</t>
  </si>
  <si>
    <t xml:space="preserve">https://correiaricardina-ui.github.io/questionarios/EAFECA_Prof_v1.html</t>
  </si>
  <si>
    <t xml:space="preserve">Resumo por Área Clínica (recalcula automaticamente)</t>
  </si>
  <si>
    <t xml:space="preserve">Nº de instrumentos</t>
  </si>
  <si>
    <t xml:space="preserve">% do total</t>
  </si>
  <si>
    <t xml:space="preserve">TOTAL CATALOGADO</t>
  </si>
  <si>
    <t xml:space="preserve">Soma por área = total catalogado?</t>
  </si>
  <si>
    <t xml:space="preserve">Áreas fora do vocabulário canónico</t>
  </si>
  <si>
    <t xml:space="preserve">Vista automática da folha «Catálogo». Não editar aqui: acrescente ou altere sempre na folha «Catálogo» e esta atualiza-se sozinha.</t>
  </si>
  <si>
    <t xml:space="preserve">Índice interno — não editar. Chave: área|nº de ocorrência dentro da área.</t>
  </si>
  <si>
    <t xml:space="preserve">Fluxo de trabalho — integração de um novo instrumento</t>
  </si>
  <si>
    <t xml:space="preserve">Passo</t>
  </si>
  <si>
    <t xml:space="preserve">Ação</t>
  </si>
  <si>
    <t xml:space="preserve">Notas / regras</t>
  </si>
  <si>
    <t xml:space="preserve">1 · HTML</t>
  </si>
  <si>
    <t xml:space="preserve">Construir o HTML do questionário</t>
  </si>
  <si>
    <t xml:space="preserve">Validar a lógica de scoring em Python/Node ANTES de escrever o HTML. Um instrumento de cada vez.</t>
  </si>
  <si>
    <t xml:space="preserve">2 · RC</t>
  </si>
  <si>
    <t xml:space="preserve">Integrar no painel RC (RC_Avaliacao_Pacientes)</t>
  </si>
  <si>
    <t xml:space="preserve">Acrescentar a entrada ao array defaults e ao HEADERS/buildRow. Estritamente aditivo (zero remocoes). Nunca renomear ficheiros HTML ja publicados.</t>
  </si>
  <si>
    <t xml:space="preserve">3 · Apps Script</t>
  </si>
  <si>
    <t xml:space="preserve">Atualizar o Apps Script + Google Sheet</t>
  </si>
  <si>
    <t xml:space="preserve">Criar o separador da Sheet (syncKey) e redeploy SOBRE o mesmo URL permanente. Nunca criar um deployment novo (muda o URL e parte tudo).</t>
  </si>
  <si>
    <t xml:space="preserve">4 · Excel</t>
  </si>
  <si>
    <t xml:space="preserve">Atualizar este catalogo (RC_Catalogo_Questionarios.xlsx)</t>
  </si>
  <si>
    <t xml:space="preserve">Acrescentar uma linha no fim da tabela «Catalogo» (a tabela expande sozinha). Preencher todas as colunas; expandir as siglas dos dominios por extenso.</t>
  </si>
  <si>
    <t xml:space="preserve">Como atualizar este catálogo</t>
  </si>
  <si>
    <t xml:space="preserve">1.</t>
  </si>
  <si>
    <t xml:space="preserve">Na folha «Catalogo», acrescente uma linha logo a seguir a ultima (a tabela expande automaticamente). Nao deixe linhas em branco no meio.</t>
  </si>
  <si>
    <t xml:space="preserve">2.</t>
  </si>
  <si>
    <t xml:space="preserve">Preencha as colunas B a M. A coluna «Nº» (A) renumera-se sozinha - nao a edite.</t>
  </si>
  <si>
    <t xml:space="preserve">3.</t>
  </si>
  <si>
    <t xml:space="preserve">Idade min/max em anos servem para filtrar: use 0 quando comeca no nascimento e 99 quando nao ha limite superior. A coluna «Faixa etaria» fica em texto legivel.</t>
  </si>
  <si>
    <t xml:space="preserve">4.</t>
  </si>
  <si>
    <t xml:space="preserve">Use o mesmo «syncKey» do Apps Script e o «ID interno» (q_…) do array defaults. Expanda as siglas dos dominios por extenso.</t>
  </si>
  <si>
    <t xml:space="preserve">5.</t>
  </si>
  <si>
    <t xml:space="preserve">Reutilize uma «Area Clinica» existente sempre que possivel. Se criar uma AREA nova, acrescente uma linha na folha «Resumo por Area» (a verificacao de integridade avisa se faltar).</t>
  </si>
  <si>
    <t xml:space="preserve">6.</t>
  </si>
  <si>
    <t xml:space="preserve">Pesquisar/filtrar: clique na seta de qualquer cabecalho. Para «o que avalia X anos na dimensao Y», filtre Area + Idade min &lt;= X + Idade max &gt;= X.</t>
  </si>
  <si>
    <t xml:space="preserve">Fonte:</t>
  </si>
  <si>
    <t xml:space="preserve">Gerado a partir do array «defaults» de RC_Avaliacao_Pacientes (138 instrumentos). Dominios expandidos a partir das folhas de cotacao de cada instrumento.</t>
  </si>
  <si>
    <t xml:space="preserve">Nota:</t>
  </si>
  <si>
    <t xml:space="preserve">Catalogo de gestao interna. Em saida clinica usar sempre «Ricardina Correia · OPP 8233».</t>
  </si>
  <si>
    <t xml:space="preserve">Folhas por área:</t>
  </si>
  <si>
    <t xml:space="preserve">As 18 folhas de área são VISTAS automáticas da folha «Catálogo» — não são cópias. Edite sempre na folha «Catálogo»; as folhas de área atualizam-se sozinhas ao abrir. Cada folha avisa em I2 se a área passar a ter mais instrumentos do que linhas disponíveis. A folha «Índice» é interna e está oculta.</t>
  </si>
</sst>
</file>

<file path=xl/styles.xml><?xml version="1.0" encoding="utf-8"?>
<styleSheet xmlns="http://schemas.openxmlformats.org/spreadsheetml/2006/main">
  <numFmts count="3">
    <numFmt numFmtId="164" formatCode="General"/>
    <numFmt numFmtId="165" formatCode="General"/>
    <numFmt numFmtId="166" formatCode="0.0%"/>
  </numFmts>
  <fonts count="1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5A6B7B"/>
      <name val="Arial"/>
      <family val="0"/>
      <charset val="1"/>
    </font>
    <font>
      <b val="true"/>
      <sz val="10"/>
      <color rgb="FFFFFFFF"/>
      <name val="Arial"/>
      <family val="0"/>
      <charset val="1"/>
    </font>
    <font>
      <sz val="9"/>
      <name val="Arial"/>
      <family val="0"/>
      <charset val="1"/>
    </font>
    <font>
      <u val="single"/>
      <sz val="9"/>
      <color rgb="FF1155CC"/>
      <name val="Arial"/>
      <family val="0"/>
      <charset val="1"/>
    </font>
    <font>
      <b val="true"/>
      <sz val="12"/>
      <color rgb="FFFFFFFF"/>
      <name val="Arial"/>
      <family val="0"/>
      <charset val="1"/>
    </font>
    <font>
      <sz val="10"/>
      <name val="Arial"/>
      <family val="0"/>
      <charset val="1"/>
    </font>
    <font>
      <b val="true"/>
      <sz val="10"/>
      <name val="Arial"/>
      <family val="0"/>
      <charset val="1"/>
    </font>
    <font>
      <b val="true"/>
      <sz val="9"/>
      <color rgb="FF3B5A7A"/>
      <name val="Arial"/>
      <family val="0"/>
      <charset val="1"/>
    </font>
    <font>
      <b val="true"/>
      <sz val="12"/>
      <color rgb="FF3B5A7A"/>
      <name val="Arial"/>
      <family val="0"/>
      <charset val="1"/>
    </font>
    <font>
      <sz val="10"/>
      <color rgb="FF5A6A7A"/>
      <name val="Arial"/>
      <family val="0"/>
      <charset val="1"/>
    </font>
    <font>
      <i val="true"/>
      <sz val="9"/>
      <color rgb="FF8B9CB0"/>
      <name val="Arial"/>
      <family val="0"/>
      <charset val="1"/>
    </font>
    <font>
      <b val="true"/>
      <sz val="9"/>
      <name val="Arial"/>
      <family val="0"/>
      <charset val="1"/>
    </font>
    <font>
      <i val="true"/>
      <sz val="9"/>
      <name val="Arial"/>
      <family val="0"/>
      <charset val="1"/>
    </font>
    <font>
      <b val="true"/>
      <sz val="10"/>
      <color rgb="FF3B5A7A"/>
      <name val="Arial"/>
      <family val="0"/>
      <charset val="1"/>
    </font>
  </fonts>
  <fills count="4">
    <fill>
      <patternFill patternType="none"/>
    </fill>
    <fill>
      <patternFill patternType="gray125"/>
    </fill>
    <fill>
      <patternFill patternType="solid">
        <fgColor rgb="FF3B5A7A"/>
        <bgColor rgb="FF5A6A7A"/>
      </patternFill>
    </fill>
    <fill>
      <patternFill patternType="solid">
        <fgColor rgb="FFEAF0F6"/>
        <bgColor rgb="FFFFFFFF"/>
      </patternFill>
    </fill>
  </fills>
  <borders count="2">
    <border diagonalUp="false" diagonalDown="false">
      <left/>
      <right/>
      <top/>
      <bottom/>
      <diagonal/>
    </border>
    <border diagonalUp="false" diagonalDown="false">
      <left style="thin">
        <color rgb="FFD6DDE5"/>
      </left>
      <right style="thin">
        <color rgb="FFD6DDE5"/>
      </right>
      <top style="thin">
        <color rgb="FFD6DDE5"/>
      </top>
      <bottom style="thin">
        <color rgb="FFD6DD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0" shrinkToFit="false"/>
      <protection locked="true" hidden="false"/>
    </xf>
    <xf numFmtId="164" fontId="5" fillId="3" borderId="0" xfId="0" applyFont="true" applyBorder="true" applyAlignment="true" applyProtection="true">
      <alignment horizontal="left" vertical="center" textRotation="0" wrapText="false" indent="0" shrinkToFit="false"/>
      <protection locked="true" hidden="false"/>
    </xf>
    <xf numFmtId="164" fontId="6" fillId="2" borderId="1" xfId="0" applyFont="true" applyBorder="true" applyAlignment="true" applyProtection="true">
      <alignment horizontal="left" vertical="center" textRotation="0" wrapText="true" indent="0" shrinkToFit="false"/>
      <protection locked="true" hidden="false"/>
    </xf>
    <xf numFmtId="165" fontId="7" fillId="0" borderId="1" xfId="0" applyFont="true" applyBorder="true" applyAlignment="true" applyProtection="true">
      <alignment horizontal="center" vertical="top" textRotation="0" wrapText="fals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9" fillId="2" borderId="0" xfId="0" applyFont="true" applyBorder="true" applyAlignment="true" applyProtection="true">
      <alignment horizontal="left" vertical="center" textRotation="0" wrapText="false" indent="0" shrinkToFit="false"/>
      <protection locked="true" hidden="false"/>
    </xf>
    <xf numFmtId="164" fontId="10" fillId="0" borderId="1" xfId="0" applyFont="true" applyBorder="true" applyAlignment="true" applyProtection="true">
      <alignment horizontal="general" vertical="center" textRotation="0" wrapText="false" indent="0" shrinkToFit="false"/>
      <protection locked="true" hidden="false"/>
    </xf>
    <xf numFmtId="166" fontId="0" fillId="0" borderId="1" xfId="0" applyFont="false" applyBorder="true" applyAlignment="true" applyProtection="true">
      <alignment horizontal="general" vertical="center" textRotation="0" wrapText="false" indent="0" shrinkToFit="false"/>
      <protection locked="true" hidden="false"/>
    </xf>
    <xf numFmtId="164" fontId="11" fillId="3" borderId="1" xfId="0" applyFont="true" applyBorder="true" applyAlignment="true" applyProtection="true">
      <alignment horizontal="general" vertical="bottom" textRotation="0" wrapText="false" indent="0" shrinkToFit="false"/>
      <protection locked="true" hidden="false"/>
    </xf>
    <xf numFmtId="166" fontId="0" fillId="3" borderId="1" xfId="0" applyFont="fals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1"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3B5A7A"/>
          <bgColor rgb="FF000000"/>
        </patternFill>
      </fill>
    </dxf>
    <dxf>
      <fill>
        <patternFill patternType="solid">
          <bgColor rgb="FF000000"/>
        </patternFill>
      </fill>
    </dxf>
    <dxf>
      <fill>
        <patternFill patternType="solid">
          <fgColor rgb="FFFFFFFF"/>
          <bgColor rgb="FF000000"/>
        </patternFill>
      </fill>
    </dxf>
    <dxf>
      <fill>
        <patternFill patternType="solid">
          <fgColor rgb="FF1155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A6A7A"/>
      <rgbColor rgb="FF9999FF"/>
      <rgbColor rgb="FF993366"/>
      <rgbColor rgb="FFFFFFCC"/>
      <rgbColor rgb="FFEAF0F6"/>
      <rgbColor rgb="FF660066"/>
      <rgbColor rgb="FFFF8080"/>
      <rgbColor rgb="FF1155CC"/>
      <rgbColor rgb="FFD6DD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B7B"/>
      <rgbColor rgb="FF8B9CB0"/>
      <rgbColor rgb="FF003366"/>
      <rgbColor rgb="FF339966"/>
      <rgbColor rgb="FF003300"/>
      <rgbColor rgb="FF333300"/>
      <rgbColor rgb="FF993300"/>
      <rgbColor rgb="FF993366"/>
      <rgbColor rgb="FF3B5A7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Catalogo" displayName="Catalogo" ref="A3:M224" headerRowCount="1" totalsRowCount="0" totalsRowShown="0">
  <autoFilter ref="A3:M224"/>
  <tableColumns count="13">
    <tableColumn id="1" name="Nº"/>
    <tableColumn id="2" name="Nome do Instrumento"/>
    <tableColumn id="3" name="Área Clínica"/>
    <tableColumn id="4" name="Destinatários"/>
    <tableColumn id="5" name="Faixa etária"/>
    <tableColumn id="6" name="Idade mín (anos)"/>
    <tableColumn id="7" name="Idade máx (anos)"/>
    <tableColumn id="8" name="Nº domínios"/>
    <tableColumn id="9" name="Objetivo clínico"/>
    <tableColumn id="10" name="Domínios / Subescalas (por extenso)"/>
    <tableColumn id="11" name="syncKey (Sheet)"/>
    <tableColumn id="12" name="ID interno"/>
    <tableColumn id="13" name="Lin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orreiaricardina-ui.github.io/questionarios/ABAS3_PreEscolar_Educador.html" TargetMode="External"/><Relationship Id="rId2" Type="http://schemas.openxmlformats.org/officeDocument/2006/relationships/hyperlink" Target="https://correiaricardina-ui.github.io/questionarios/ABAS3_PreEscolar.html" TargetMode="External"/><Relationship Id="rId3" Type="http://schemas.openxmlformats.org/officeDocument/2006/relationships/hyperlink" Target="https://correiaricardina-ui.github.io/questionarios/ABAS3_Professor_v2.html" TargetMode="External"/><Relationship Id="rId4" Type="http://schemas.openxmlformats.org/officeDocument/2006/relationships/hyperlink" Target="https://correiaricardina-ui.github.io/questionarios/ABAS3_Pais_v2.html" TargetMode="External"/><Relationship Id="rId5" Type="http://schemas.openxmlformats.org/officeDocument/2006/relationships/hyperlink" Target="https://correiaricardina-ui.github.io/questionarios/AQ_Child_v1.html" TargetMode="External"/><Relationship Id="rId6" Type="http://schemas.openxmlformats.org/officeDocument/2006/relationships/hyperlink" Target="https://correiaricardina-ui.github.io/questionarios/Anamnese_HP_v1.html" TargetMode="External"/><Relationship Id="rId7" Type="http://schemas.openxmlformats.org/officeDocument/2006/relationships/hyperlink" Target="https://correiaricardina-ui.github.io/questionarios/Anamnese_complementar_v2.html" TargetMode="External"/><Relationship Id="rId8" Type="http://schemas.openxmlformats.org/officeDocument/2006/relationships/hyperlink" Target="https://correiaricardina-ui.github.io/questionarios/AQ_BussPerry_v1.html" TargetMode="External"/><Relationship Id="rId9" Type="http://schemas.openxmlformats.org/officeDocument/2006/relationships/hyperlink" Target="https://correiaricardina-ui.github.io/questionarios/LDS_v2.html" TargetMode="External"/><Relationship Id="rId10" Type="http://schemas.openxmlformats.org/officeDocument/2006/relationships/hyperlink" Target="https://correiaricardina-ui.github.io/questionarios/CBCL_15_v5.html" TargetMode="External"/><Relationship Id="rId11" Type="http://schemas.openxmlformats.org/officeDocument/2006/relationships/hyperlink" Target="https://correiaricardina-ui.github.io/questionarios/CBCL_618_v1.html" TargetMode="External"/><Relationship Id="rId12" Type="http://schemas.openxmlformats.org/officeDocument/2006/relationships/hyperlink" Target="https://correiaricardina-ui.github.io/questionarios/TRF_618_v1.html" TargetMode="External"/><Relationship Id="rId13" Type="http://schemas.openxmlformats.org/officeDocument/2006/relationships/hyperlink" Target="https://correiaricardina-ui.github.io/questionarios/YSR_1118_v2.html" TargetMode="External"/><Relationship Id="rId14" Type="http://schemas.openxmlformats.org/officeDocument/2006/relationships/hyperlink" Target="https://correiaricardina-ui.github.io/questionarios/BAS3_v1.html" TargetMode="External"/><Relationship Id="rId15" Type="http://schemas.openxmlformats.org/officeDocument/2006/relationships/hyperlink" Target="https://correiaricardina-ui.github.io/questionarios/BESAA_v1.html" TargetMode="External"/><Relationship Id="rId16" Type="http://schemas.openxmlformats.org/officeDocument/2006/relationships/hyperlink" Target="https://correiaricardina-ui.github.io/questionarios/BRIEF_Autoavaliacao_v2.html" TargetMode="External"/><Relationship Id="rId17" Type="http://schemas.openxmlformats.org/officeDocument/2006/relationships/hyperlink" Target="https://correiaricardina-ui.github.io/questionarios/BRIEF_Pais_v5.html" TargetMode="External"/><Relationship Id="rId18" Type="http://schemas.openxmlformats.org/officeDocument/2006/relationships/hyperlink" Target="https://correiaricardina-ui.github.io/questionarios/BRIEF_Professores_v3.html" TargetMode="External"/><Relationship Id="rId19" Type="http://schemas.openxmlformats.org/officeDocument/2006/relationships/hyperlink" Target="https://correiaricardina-ui.github.io/questionarios/BRIEF_PreEscolar_Pais_v2.html" TargetMode="External"/><Relationship Id="rId20" Type="http://schemas.openxmlformats.org/officeDocument/2006/relationships/hyperlink" Target="https://correiaricardina-ui.github.io/questionarios/BRIEF_PreEscolar_Professores_v2.html" TargetMode="External"/><Relationship Id="rId21" Type="http://schemas.openxmlformats.org/officeDocument/2006/relationships/hyperlink" Target="https://correiaricardina-ui.github.io/questionarios/CSSRS_v1.html" TargetMode="External"/><Relationship Id="rId22" Type="http://schemas.openxmlformats.org/officeDocument/2006/relationships/hyperlink" Target="https://correiaricardina-ui.github.io/questionarios/CABS_Autorrelato.html" TargetMode="External"/><Relationship Id="rId23" Type="http://schemas.openxmlformats.org/officeDocument/2006/relationships/hyperlink" Target="https://correiaricardina-ui.github.io/questionarios/CABS_Heterorrelato.html" TargetMode="External"/><Relationship Id="rId24" Type="http://schemas.openxmlformats.org/officeDocument/2006/relationships/hyperlink" Target="https://correiaricardina-ui.github.io/questionarios/CARS2-HP_v1.html" TargetMode="External"/><Relationship Id="rId25" Type="http://schemas.openxmlformats.org/officeDocument/2006/relationships/hyperlink" Target="https://correiaricardina-ui.github.io/questionarios/CARS2-QPC_v1.html" TargetMode="External"/><Relationship Id="rId26" Type="http://schemas.openxmlformats.org/officeDocument/2006/relationships/hyperlink" Target="https://correiaricardina-ui.github.io/questionarios/CARS2-ST_v1.html" TargetMode="External"/><Relationship Id="rId27" Type="http://schemas.openxmlformats.org/officeDocument/2006/relationships/hyperlink" Target="https://correiaricardina-ui.github.io/questionarios/CERQ_18_v1.html" TargetMode="External"/><Relationship Id="rId28" Type="http://schemas.openxmlformats.org/officeDocument/2006/relationships/hyperlink" Target="https://correiaricardina-ui.github.io/questionarios/CDI2_SR_v1.html" TargetMode="External"/><Relationship Id="rId29" Type="http://schemas.openxmlformats.org/officeDocument/2006/relationships/hyperlink" Target="https://correiaricardina-ui.github.io/questionarios/CERQ_36_v1.html" TargetMode="External"/><Relationship Id="rId30" Type="http://schemas.openxmlformats.org/officeDocument/2006/relationships/hyperlink" Target="https://correiaricardina-ui.github.io/questionarios/CERQ_K_v1.html" TargetMode="External"/><Relationship Id="rId31" Type="http://schemas.openxmlformats.org/officeDocument/2006/relationships/hyperlink" Target="https://correiaricardina-ui.github.io/questionarios/DERS_v1.html" TargetMode="External"/><Relationship Id="rId32" Type="http://schemas.openxmlformats.org/officeDocument/2006/relationships/hyperlink" Target="https://correiaricardina-ui.github.io/questionarios/ChEAT_v1.html" TargetMode="External"/><Relationship Id="rId33" Type="http://schemas.openxmlformats.org/officeDocument/2006/relationships/hyperlink" Target="https://correiaricardina-ui.github.io/questionarios/checklist_obs_medicacao_PHDA_casa.html" TargetMode="External"/><Relationship Id="rId34" Type="http://schemas.openxmlformats.org/officeDocument/2006/relationships/hyperlink" Target="https://correiaricardina-ui.github.io/questionarios/checklist_obs_medicacao_PHDA_escola.html" TargetMode="External"/><Relationship Id="rId35" Type="http://schemas.openxmlformats.org/officeDocument/2006/relationships/hyperlink" Target="https://correiaricardina-ui.github.io/questionarios/CMAS_R_v1.html" TargetMode="External"/><Relationship Id="rId36" Type="http://schemas.openxmlformats.org/officeDocument/2006/relationships/hyperlink" Target="https://correiaricardina-ui.github.io/questionarios/Collins_Silhuetas.html" TargetMode="External"/><Relationship Id="rId37" Type="http://schemas.openxmlformats.org/officeDocument/2006/relationships/hyperlink" Target="https://correiaricardina-ui.github.io/questionarios/COMPA_A_Mae.html" TargetMode="External"/><Relationship Id="rId38" Type="http://schemas.openxmlformats.org/officeDocument/2006/relationships/hyperlink" Target="https://correiaricardina-ui.github.io/questionarios/COMPA_A_Pai.html" TargetMode="External"/><Relationship Id="rId39" Type="http://schemas.openxmlformats.org/officeDocument/2006/relationships/hyperlink" Target="https://correiaricardina-ui.github.io/questionarios/COMPA_C_Mae.html" TargetMode="External"/><Relationship Id="rId40" Type="http://schemas.openxmlformats.org/officeDocument/2006/relationships/hyperlink" Target="https://correiaricardina-ui.github.io/questionarios/COMPA_C_Pai.html" TargetMode="External"/><Relationship Id="rId41" Type="http://schemas.openxmlformats.org/officeDocument/2006/relationships/hyperlink" Target="https://correiaricardina-ui.github.io/questionarios/COMPA_P.html" TargetMode="External"/><Relationship Id="rId42" Type="http://schemas.openxmlformats.org/officeDocument/2006/relationships/hyperlink" Target="https://correiaricardina-ui.github.io/questionarios/Conners3_Pais_Full.html" TargetMode="External"/><Relationship Id="rId43" Type="http://schemas.openxmlformats.org/officeDocument/2006/relationships/hyperlink" Target="https://correiaricardina-ui.github.io/questionarios/Conners3_Pais_Short.html" TargetMode="External"/><Relationship Id="rId44" Type="http://schemas.openxmlformats.org/officeDocument/2006/relationships/hyperlink" Target="https://correiaricardina-ui.github.io/questionarios/Conners3_Professores_Full.html" TargetMode="External"/><Relationship Id="rId45" Type="http://schemas.openxmlformats.org/officeDocument/2006/relationships/hyperlink" Target="https://correiaricardina-ui.github.io/questionarios/Conners3_Professores_Short.html" TargetMode="External"/><Relationship Id="rId46" Type="http://schemas.openxmlformats.org/officeDocument/2006/relationships/hyperlink" Target="https://correiaricardina-ui.github.io/questionarios/MDQ_v1.html" TargetMode="External"/><Relationship Id="rId47" Type="http://schemas.openxmlformats.org/officeDocument/2006/relationships/hyperlink" Target="https://correiaricardina-ui.github.io/questionarios/C-SSRS-DC_DeficeCognitivo_v1.html" TargetMode="External"/><Relationship Id="rId48" Type="http://schemas.openxmlformats.org/officeDocument/2006/relationships/hyperlink" Target="https://correiaricardina-ui.github.io/questionarios/C-SSRS-P_Pediatrica_v1.html" TargetMode="External"/><Relationship Id="rId49" Type="http://schemas.openxmlformats.org/officeDocument/2006/relationships/hyperlink" Target="https://correiaricardina-ui.github.io/questionarios/UCLA_PTSD_Adaptado.html" TargetMode="External"/><Relationship Id="rId50" Type="http://schemas.openxmlformats.org/officeDocument/2006/relationships/hyperlink" Target="https://correiaricardina-ui.github.io/questionarios/CTRF_15_v2.html" TargetMode="External"/><Relationship Id="rId51" Type="http://schemas.openxmlformats.org/officeDocument/2006/relationships/hyperlink" Target="https://correiaricardina-ui.github.io/questionarios/ERC_Pais_v1.html" TargetMode="External"/><Relationship Id="rId52" Type="http://schemas.openxmlformats.org/officeDocument/2006/relationships/hyperlink" Target="https://correiaricardina-ui.github.io/questionarios/ABAS3_Autorrelato_v1.html" TargetMode="External"/><Relationship Id="rId53" Type="http://schemas.openxmlformats.org/officeDocument/2006/relationships/hyperlink" Target="https://correiaricardina-ui.github.io/questionarios/DIVA5_v1.html" TargetMode="External"/><Relationship Id="rId54" Type="http://schemas.openxmlformats.org/officeDocument/2006/relationships/hyperlink" Target="https://correiaricardina-ui.github.io/questionarios/EAFE_v2.html" TargetMode="External"/><Relationship Id="rId55" Type="http://schemas.openxmlformats.org/officeDocument/2006/relationships/hyperlink" Target="https://correiaricardina-ui.github.io/questionarios/EAT26_v2.html" TargetMode="External"/><Relationship Id="rId56" Type="http://schemas.openxmlformats.org/officeDocument/2006/relationships/hyperlink" Target="https://correiaricardina-ui.github.io/questionarios/ECE-FEA.html" TargetMode="External"/><Relationship Id="rId57" Type="http://schemas.openxmlformats.org/officeDocument/2006/relationships/hyperlink" Target="https://correiaricardina-ui.github.io/questionarios/EDEQ_v1.html" TargetMode="External"/><Relationship Id="rId58" Type="http://schemas.openxmlformats.org/officeDocument/2006/relationships/hyperlink" Target="https://correiaricardina-ui.github.io/questionarios/EMP_HF_v1.html" TargetMode="External"/><Relationship Id="rId59" Type="http://schemas.openxmlformats.org/officeDocument/2006/relationships/hyperlink" Target="https://correiaricardina-ui.github.io/questionarios/JTCI_92.html" TargetMode="External"/><Relationship Id="rId60" Type="http://schemas.openxmlformats.org/officeDocument/2006/relationships/hyperlink" Target="https://correiaricardina-ui.github.io/questionarios/EPCAS_PE_v1.html" TargetMode="External"/><Relationship Id="rId61" Type="http://schemas.openxmlformats.org/officeDocument/2006/relationships/hyperlink" Target="https://correiaricardina-ui.github.io/questionarios/ERC_Professores_v1.html" TargetMode="External"/><Relationship Id="rId62" Type="http://schemas.openxmlformats.org/officeDocument/2006/relationships/hyperlink" Target="https://correiaricardina-ui.github.io/questionarios/ERICA_v1.html" TargetMode="External"/><Relationship Id="rId63" Type="http://schemas.openxmlformats.org/officeDocument/2006/relationships/hyperlink" Target="https://correiaricardina-ui.github.io/questionarios/ERQ_CA_v1.html" TargetMode="External"/><Relationship Id="rId64" Type="http://schemas.openxmlformats.org/officeDocument/2006/relationships/hyperlink" Target="https://correiaricardina-ui.github.io/questionarios/ISC24.html" TargetMode="External"/><Relationship Id="rId65" Type="http://schemas.openxmlformats.org/officeDocument/2006/relationships/hyperlink" Target="https://correiaricardina-ui.github.io/questionarios/FACES_IV_adap.html" TargetMode="External"/><Relationship Id="rId66" Type="http://schemas.openxmlformats.org/officeDocument/2006/relationships/hyperlink" Target="https://correiaricardina-ui.github.io/questionarios/FAD_60_v1.html" TargetMode="External"/><Relationship Id="rId67" Type="http://schemas.openxmlformats.org/officeDocument/2006/relationships/hyperlink" Target="https://correiaricardina-ui.github.io/questionarios/FAD_GF_v2.html" TargetMode="External"/><Relationship Id="rId68" Type="http://schemas.openxmlformats.org/officeDocument/2006/relationships/hyperlink" Target="https://correiaricardina-ui.github.io/questionarios/FAS_CR_Adolescencia.html" TargetMode="External"/><Relationship Id="rId69" Type="http://schemas.openxmlformats.org/officeDocument/2006/relationships/hyperlink" Target="https://correiaricardina-ui.github.io/questionarios/FAS_CR_Infancia.html" TargetMode="External"/><Relationship Id="rId70" Type="http://schemas.openxmlformats.org/officeDocument/2006/relationships/hyperlink" Target="https://correiaricardina-ui.github.io/questionarios/FAS_Parental.html" TargetMode="External"/><Relationship Id="rId71" Type="http://schemas.openxmlformats.org/officeDocument/2006/relationships/hyperlink" Target="https://correiaricardina-ui.github.io/questionarios/FASA_CR_Adolescencia.html" TargetMode="External"/><Relationship Id="rId72" Type="http://schemas.openxmlformats.org/officeDocument/2006/relationships/hyperlink" Target="https://correiaricardina-ui.github.io/questionarios/FASA_CR_Infancia.html" TargetMode="External"/><Relationship Id="rId73" Type="http://schemas.openxmlformats.org/officeDocument/2006/relationships/hyperlink" Target="https://correiaricardina-ui.github.io/questionarios/FASA_Parental.html" TargetMode="External"/><Relationship Id="rId74" Type="http://schemas.openxmlformats.org/officeDocument/2006/relationships/hyperlink" Target="https://correiaricardina-ui.github.io/questionarios/FSSC_R_v1.html" TargetMode="External"/><Relationship Id="rId75" Type="http://schemas.openxmlformats.org/officeDocument/2006/relationships/hyperlink" Target="https://correiaricardina-ui.github.io/questionarios/IIM_Criancas_v1.html" TargetMode="External"/><Relationship Id="rId76" Type="http://schemas.openxmlformats.org/officeDocument/2006/relationships/hyperlink" Target="https://correiaricardina-ui.github.io/questionarios/IIM_Heterorrelato_v1.html" TargetMode="External"/><Relationship Id="rId77" Type="http://schemas.openxmlformats.org/officeDocument/2006/relationships/hyperlink" Target="https://correiaricardina-ui.github.io/questionarios/IMC_C.html" TargetMode="External"/><Relationship Id="rId78" Type="http://schemas.openxmlformats.org/officeDocument/2006/relationships/hyperlink" Target="https://correiaricardina-ui.github.io/questionarios/IPP-R_v1.html" TargetMode="External"/><Relationship Id="rId79" Type="http://schemas.openxmlformats.org/officeDocument/2006/relationships/hyperlink" Target="https://correiaricardina-ui.github.io/questionarios/IVP_Super_v1.html" TargetMode="External"/><Relationship Id="rId80" Type="http://schemas.openxmlformats.org/officeDocument/2006/relationships/hyperlink" Target="https://correiaricardina-ui.github.io/questionarios/ISAS_v1.html" TargetMode="External"/><Relationship Id="rId81" Type="http://schemas.openxmlformats.org/officeDocument/2006/relationships/hyperlink" Target="https://correiaricardina-ui.github.io/questionarios/Kidcope_Adolescentes_v1.html" TargetMode="External"/><Relationship Id="rId82" Type="http://schemas.openxmlformats.org/officeDocument/2006/relationships/hyperlink" Target="https://correiaricardina-ui.github.io/questionarios/ISS_ESI_v1.html" TargetMode="External"/><Relationship Id="rId83" Type="http://schemas.openxmlformats.org/officeDocument/2006/relationships/hyperlink" Target="https://correiaricardina-ui.github.io/questionarios/SDS_Holland.html" TargetMode="External"/><Relationship Id="rId84" Type="http://schemas.openxmlformats.org/officeDocument/2006/relationships/hyperlink" Target="https://correiaricardina-ui.github.io/questionarios/NEO_PIR_v1.html" TargetMode="External"/><Relationship Id="rId85" Type="http://schemas.openxmlformats.org/officeDocument/2006/relationships/hyperlink" Target="https://correiaricardina-ui.github.io/questionarios/Kidcope_Criancas_v1.html" TargetMode="External"/><Relationship Id="rId86" Type="http://schemas.openxmlformats.org/officeDocument/2006/relationships/hyperlink" Target="https://correiaricardina-ui.github.io/questionarios/TAS20_v7.html" TargetMode="External"/><Relationship Id="rId87" Type="http://schemas.openxmlformats.org/officeDocument/2006/relationships/hyperlink" Target="https://correiaricardina-ui.github.io/questionarios/PS2_Escola_v1.html" TargetMode="External"/><Relationship Id="rId88" Type="http://schemas.openxmlformats.org/officeDocument/2006/relationships/hyperlink" Target="https://correiaricardina-ui.github.io/questionarios/MAP_ParentalAvaliacaoSistemica_1214_v1.html" TargetMode="External"/><Relationship Id="rId89" Type="http://schemas.openxmlformats.org/officeDocument/2006/relationships/hyperlink" Target="https://correiaricardina-ui.github.io/questionarios/MAP_ParentalAvaliacaoSistemica_1518_v1.html" TargetMode="External"/><Relationship Id="rId90" Type="http://schemas.openxmlformats.org/officeDocument/2006/relationships/hyperlink" Target="https://correiaricardina-ui.github.io/questionarios/MAP_ParentalAvaliacaoSistemica_v1.html" TargetMode="External"/><Relationship Id="rId91" Type="http://schemas.openxmlformats.org/officeDocument/2006/relationships/hyperlink" Target="https://correiaricardina-ui.github.io/questionarios/MAP_ParentalAvaliacaoSistemica_PI_v1.html" TargetMode="External"/><Relationship Id="rId92" Type="http://schemas.openxmlformats.org/officeDocument/2006/relationships/hyperlink" Target="https://correiaricardina-ui.github.io/questionarios/MBI-SS_v1.html" TargetMode="External"/><Relationship Id="rId93" Type="http://schemas.openxmlformats.org/officeDocument/2006/relationships/hyperlink" Target="https://correiaricardina-ui.github.io/questionarios/M-CHAT-R-F_v1.html" TargetMode="External"/><Relationship Id="rId94" Type="http://schemas.openxmlformats.org/officeDocument/2006/relationships/hyperlink" Target="https://correiaricardina-ui.github.io/questionarios/MCP_Breve.html" TargetMode="External"/><Relationship Id="rId95" Type="http://schemas.openxmlformats.org/officeDocument/2006/relationships/hyperlink" Target="https://correiaricardina-ui.github.io/questionarios/MCP_Completo.html" TargetMode="External"/><Relationship Id="rId96" Type="http://schemas.openxmlformats.org/officeDocument/2006/relationships/hyperlink" Target="https://correiaricardina-ui.github.io/questionarios/C-SSRS-A_Adolescente_v1.html" TargetMode="External"/><Relationship Id="rId97" Type="http://schemas.openxmlformats.org/officeDocument/2006/relationships/hyperlink" Target="https://correiaricardina-ui.github.io/questionarios/PAI_adult_final.html" TargetMode="External"/><Relationship Id="rId98" Type="http://schemas.openxmlformats.org/officeDocument/2006/relationships/hyperlink" Target="https://correiaricardina-ui.github.io/questionarios/OCI_CV_R_v1.html" TargetMode="External"/><Relationship Id="rId99" Type="http://schemas.openxmlformats.org/officeDocument/2006/relationships/hyperlink" Target="https://correiaricardina-ui.github.io/questionarios/OCI_R_v1.html" TargetMode="External"/><Relationship Id="rId100" Type="http://schemas.openxmlformats.org/officeDocument/2006/relationships/hyperlink" Target="https://correiaricardina-ui.github.io/questionarios/PAI_A_final.html" TargetMode="External"/><Relationship Id="rId101" Type="http://schemas.openxmlformats.org/officeDocument/2006/relationships/hyperlink" Target="https://correiaricardina-ui.github.io/questionarios/QEA_questionario.html" TargetMode="External"/><Relationship Id="rId102" Type="http://schemas.openxmlformats.org/officeDocument/2006/relationships/hyperlink" Target="https://correiaricardina-ui.github.io/questionarios/PALS_Student_2-3ciclo_v1.html" TargetMode="External"/><Relationship Id="rId103" Type="http://schemas.openxmlformats.org/officeDocument/2006/relationships/hyperlink" Target="https://correiaricardina-ui.github.io/questionarios/PALS_Student_Secundario_v1.html" TargetMode="External"/><Relationship Id="rId104" Type="http://schemas.openxmlformats.org/officeDocument/2006/relationships/hyperlink" Target="https://correiaricardina-ui.github.io/questionarios/PALS_Student_2-3ciclo_Reduzido_v1.html" TargetMode="External"/><Relationship Id="rId105" Type="http://schemas.openxmlformats.org/officeDocument/2006/relationships/hyperlink" Target="https://correiaricardina-ui.github.io/questionarios/PALS_Student_Secundario_Reduzido_v1.html" TargetMode="External"/><Relationship Id="rId106" Type="http://schemas.openxmlformats.org/officeDocument/2006/relationships/hyperlink" Target="https://correiaricardina-ui.github.io/questionarios/PALS_Parent_v1.html" TargetMode="External"/><Relationship Id="rId107" Type="http://schemas.openxmlformats.org/officeDocument/2006/relationships/hyperlink" Target="https://correiaricardina-ui.github.io/questionarios/PALS_Parent_Reduzido_v1.html" TargetMode="External"/><Relationship Id="rId108" Type="http://schemas.openxmlformats.org/officeDocument/2006/relationships/hyperlink" Target="https://correiaricardina-ui.github.io/questionarios/PALS_Teacher_v1.html" TargetMode="External"/><Relationship Id="rId109" Type="http://schemas.openxmlformats.org/officeDocument/2006/relationships/hyperlink" Target="https://correiaricardina-ui.github.io/questionarios/PALS_Teacher_Reduzido_v1.html" TargetMode="External"/><Relationship Id="rId110" Type="http://schemas.openxmlformats.org/officeDocument/2006/relationships/hyperlink" Target="https://correiaricardina-ui.github.io/questionarios/PPGRJ_v1.html" TargetMode="External"/><Relationship Id="rId111" Type="http://schemas.openxmlformats.org/officeDocument/2006/relationships/hyperlink" Target="https://correiaricardina-ui.github.io/questionarios/PS2_Pais_v1.html" TargetMode="External"/><Relationship Id="rId112" Type="http://schemas.openxmlformats.org/officeDocument/2006/relationships/hyperlink" Target="https://correiaricardina-ui.github.io/questionarios/RAADS_R_v1.html" TargetMode="External"/><Relationship Id="rId113" Type="http://schemas.openxmlformats.org/officeDocument/2006/relationships/hyperlink" Target="https://correiaricardina-ui.github.io/questionarios/EMP_F_v1.html" TargetMode="External"/><Relationship Id="rId114" Type="http://schemas.openxmlformats.org/officeDocument/2006/relationships/hyperlink" Target="https://correiaricardina-ui.github.io/questionarios/QACSE_C_v1.html" TargetMode="External"/><Relationship Id="rId115" Type="http://schemas.openxmlformats.org/officeDocument/2006/relationships/hyperlink" Target="https://correiaricardina-ui.github.io/questionarios/QACSE_R_v1.html" TargetMode="External"/><Relationship Id="rId116" Type="http://schemas.openxmlformats.org/officeDocument/2006/relationships/hyperlink" Target="https://correiaricardina-ui.github.io/questionarios/QC_Mae.html" TargetMode="External"/><Relationship Id="rId117" Type="http://schemas.openxmlformats.org/officeDocument/2006/relationships/hyperlink" Target="https://correiaricardina-ui.github.io/questionarios/QC_Pai.html" TargetMode="External"/><Relationship Id="rId118" Type="http://schemas.openxmlformats.org/officeDocument/2006/relationships/hyperlink" Target="https://correiaricardina-ui.github.io/questionarios/CCBQ_v1.html" TargetMode="External"/><Relationship Id="rId119" Type="http://schemas.openxmlformats.org/officeDocument/2006/relationships/hyperlink" Target="https://correiaricardina-ui.github.io/questionarios/QEDP_v2.html" TargetMode="External"/><Relationship Id="rId120" Type="http://schemas.openxmlformats.org/officeDocument/2006/relationships/hyperlink" Target="https://correiaricardina-ui.github.io/questionarios/QEE_Escola_v1.html" TargetMode="External"/><Relationship Id="rId121" Type="http://schemas.openxmlformats.org/officeDocument/2006/relationships/hyperlink" Target="https://correiaricardina-ui.github.io/questionarios/QEP_Pais_v1.html" TargetMode="External"/><Relationship Id="rId122" Type="http://schemas.openxmlformats.org/officeDocument/2006/relationships/hyperlink" Target="https://correiaricardina-ui.github.io/questionarios/RBS_R.html" TargetMode="External"/><Relationship Id="rId123" Type="http://schemas.openxmlformats.org/officeDocument/2006/relationships/hyperlink" Target="https://correiaricardina-ui.github.io/questionarios/SRS2_IE_Pais_v1.html" TargetMode="External"/><Relationship Id="rId124" Type="http://schemas.openxmlformats.org/officeDocument/2006/relationships/hyperlink" Target="https://correiaricardina-ui.github.io/questionarios/RCADS25_Pais_v2.html" TargetMode="External"/><Relationship Id="rId125" Type="http://schemas.openxmlformats.org/officeDocument/2006/relationships/hyperlink" Target="https://correiaricardina-ui.github.io/questionarios/RCADS25_Youth_v2.html" TargetMode="External"/><Relationship Id="rId126" Type="http://schemas.openxmlformats.org/officeDocument/2006/relationships/hyperlink" Target="https://correiaricardina-ui.github.io/questionarios/RCADS47_Pais_v2.html" TargetMode="External"/><Relationship Id="rId127" Type="http://schemas.openxmlformats.org/officeDocument/2006/relationships/hyperlink" Target="https://correiaricardina-ui.github.io/questionarios/RCADS47_Youth_v2.html" TargetMode="External"/><Relationship Id="rId128" Type="http://schemas.openxmlformats.org/officeDocument/2006/relationships/hyperlink" Target="https://correiaricardina-ui.github.io/questionarios/RSES_v1.html" TargetMode="External"/><Relationship Id="rId129" Type="http://schemas.openxmlformats.org/officeDocument/2006/relationships/hyperlink" Target="https://correiaricardina-ui.github.io/questionarios/SCARED_R_Crianca.html" TargetMode="External"/><Relationship Id="rId130" Type="http://schemas.openxmlformats.org/officeDocument/2006/relationships/hyperlink" Target="https://correiaricardina-ui.github.io/questionarios/SCARED_R_Pais.html" TargetMode="External"/><Relationship Id="rId131" Type="http://schemas.openxmlformats.org/officeDocument/2006/relationships/hyperlink" Target="https://correiaricardina-ui.github.io/questionarios/PSI4_adap.html" TargetMode="External"/><Relationship Id="rId132" Type="http://schemas.openxmlformats.org/officeDocument/2006/relationships/hyperlink" Target="https://correiaricardina-ui.github.io/questionarios/SEQC_v2.html" TargetMode="External"/><Relationship Id="rId133" Type="http://schemas.openxmlformats.org/officeDocument/2006/relationships/hyperlink" Target="https://correiaricardina-ui.github.io/questionarios/SOCIOGRAMA_RC_v1.html" TargetMode="External"/><Relationship Id="rId134" Type="http://schemas.openxmlformats.org/officeDocument/2006/relationships/hyperlink" Target="https://correiaricardina-ui.github.io/questionarios/SPAS_Pais.html" TargetMode="External"/><Relationship Id="rId135" Type="http://schemas.openxmlformats.org/officeDocument/2006/relationships/hyperlink" Target="https://correiaricardina-ui.github.io/questionarios/SPAS_Educador.html" TargetMode="External"/><Relationship Id="rId136" Type="http://schemas.openxmlformats.org/officeDocument/2006/relationships/hyperlink" Target="https://correiaricardina-ui.github.io/questionarios/SPPA.html" TargetMode="External"/><Relationship Id="rId137" Type="http://schemas.openxmlformats.org/officeDocument/2006/relationships/hyperlink" Target="https://correiaricardina-ui.github.io/questionarios/SPPC_Bateria.html" TargetMode="External"/><Relationship Id="rId138" Type="http://schemas.openxmlformats.org/officeDocument/2006/relationships/hyperlink" Target="https://correiaricardina-ui.github.io/questionarios/SPPC_Professor.html" TargetMode="External"/><Relationship Id="rId139" Type="http://schemas.openxmlformats.org/officeDocument/2006/relationships/hyperlink" Target="https://correiaricardina-ui.github.io/questionarios/SPPCS_v1.html" TargetMode="External"/><Relationship Id="rId140" Type="http://schemas.openxmlformats.org/officeDocument/2006/relationships/hyperlink" Target="https://correiaricardina-ui.github.io/questionarios/SPPLD_Bateria.html" TargetMode="External"/><Relationship Id="rId141" Type="http://schemas.openxmlformats.org/officeDocument/2006/relationships/hyperlink" Target="https://correiaricardina-ui.github.io/questionarios/SRS2_IE_Prof_v1.html" TargetMode="External"/><Relationship Id="rId142" Type="http://schemas.openxmlformats.org/officeDocument/2006/relationships/hyperlink" Target="https://correiaricardina-ui.github.io/questionarios/IIM_AdolAdultos_v1.html" TargetMode="External"/><Relationship Id="rId143" Type="http://schemas.openxmlformats.org/officeDocument/2006/relationships/hyperlink" Target="https://correiaricardina-ui.github.io/questionarios/STAIC_C2_v1.html" TargetMode="External"/><Relationship Id="rId144" Type="http://schemas.openxmlformats.org/officeDocument/2006/relationships/hyperlink" Target="https://correiaricardina-ui.github.io/questionarios/STAXI_NA_v1.html" TargetMode="External"/><Relationship Id="rId145" Type="http://schemas.openxmlformats.org/officeDocument/2006/relationships/hyperlink" Target="https://correiaricardina-ui.github.io/questionarios/SWAN_v1.html" TargetMode="External"/><Relationship Id="rId146" Type="http://schemas.openxmlformats.org/officeDocument/2006/relationships/hyperlink" Target="https://correiaricardina-ui.github.io/questionarios/BSI_v1.html" TargetMode="External"/><Relationship Id="rId147"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0.xml.rels><?xml version="1.0" encoding="UTF-8"?>
<Relationships xmlns="http://schemas.openxmlformats.org/package/2006/relationships"><Relationship Id="rId1" Type="http://schemas.openxmlformats.org/officeDocument/2006/relationships/drawing" Target="../drawings/drawing1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2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25.5" hidden="false" customHeight="true" outlineLevel="0" collapsed="false">
      <c r="A1" s="2" t="s">
        <v>0</v>
      </c>
      <c r="B1" s="2"/>
      <c r="C1" s="2"/>
      <c r="D1" s="2"/>
      <c r="E1" s="2"/>
      <c r="F1" s="2"/>
      <c r="G1" s="2"/>
      <c r="H1" s="2"/>
      <c r="I1" s="2"/>
      <c r="J1" s="2"/>
      <c r="K1" s="2"/>
      <c r="L1" s="2"/>
      <c r="M1" s="2"/>
    </row>
    <row r="2" customFormat="false" ht="15.75" hidden="false" customHeight="true" outlineLevel="0" collapsed="false">
      <c r="A2" s="3" t="s">
        <v>1</v>
      </c>
      <c r="B2" s="3"/>
      <c r="C2" s="3"/>
      <c r="D2" s="3"/>
      <c r="E2" s="3"/>
      <c r="F2" s="3"/>
      <c r="G2" s="3"/>
      <c r="H2" s="3"/>
      <c r="I2" s="3"/>
      <c r="J2" s="3"/>
      <c r="K2" s="3"/>
      <c r="L2" s="3"/>
      <c r="M2" s="3"/>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ROW()-3</f>
        <v>1</v>
      </c>
      <c r="B4" s="6" t="s">
        <v>15</v>
      </c>
      <c r="C4" s="6" t="s">
        <v>16</v>
      </c>
      <c r="D4" s="6" t="s">
        <v>17</v>
      </c>
      <c r="E4" s="6" t="s">
        <v>18</v>
      </c>
      <c r="F4" s="5" t="n">
        <v>16</v>
      </c>
      <c r="G4" s="5" t="n">
        <v>99</v>
      </c>
      <c r="H4" s="5" t="n">
        <v>4</v>
      </c>
      <c r="I4" s="6" t="s">
        <v>19</v>
      </c>
      <c r="J4" s="6" t="s">
        <v>20</v>
      </c>
      <c r="K4" s="6" t="s">
        <v>21</v>
      </c>
      <c r="L4" s="6" t="s">
        <v>22</v>
      </c>
      <c r="M4" s="7" t="s">
        <v>23</v>
      </c>
    </row>
    <row r="5" customFormat="false" ht="42" hidden="false" customHeight="true" outlineLevel="0" collapsed="false">
      <c r="A5" s="5" t="n">
        <f aca="false">ROW()-3</f>
        <v>2</v>
      </c>
      <c r="B5" s="6" t="s">
        <v>24</v>
      </c>
      <c r="C5" s="6" t="s">
        <v>16</v>
      </c>
      <c r="D5" s="6" t="s">
        <v>25</v>
      </c>
      <c r="E5" s="6" t="s">
        <v>26</v>
      </c>
      <c r="F5" s="5" t="n">
        <v>0</v>
      </c>
      <c r="G5" s="5" t="n">
        <v>5.9</v>
      </c>
      <c r="H5" s="5" t="n">
        <v>4</v>
      </c>
      <c r="I5" s="6" t="s">
        <v>27</v>
      </c>
      <c r="J5" s="6" t="s">
        <v>28</v>
      </c>
      <c r="K5" s="6" t="s">
        <v>29</v>
      </c>
      <c r="L5" s="6" t="s">
        <v>30</v>
      </c>
      <c r="M5" s="7" t="s">
        <v>31</v>
      </c>
    </row>
    <row r="6" customFormat="false" ht="42" hidden="false" customHeight="true" outlineLevel="0" collapsed="false">
      <c r="A6" s="5" t="n">
        <f aca="false">ROW()-3</f>
        <v>3</v>
      </c>
      <c r="B6" s="6" t="s">
        <v>32</v>
      </c>
      <c r="C6" s="6" t="s">
        <v>16</v>
      </c>
      <c r="D6" s="6" t="s">
        <v>33</v>
      </c>
      <c r="E6" s="6" t="s">
        <v>34</v>
      </c>
      <c r="F6" s="5" t="n">
        <v>6</v>
      </c>
      <c r="G6" s="5" t="n">
        <v>20.9</v>
      </c>
      <c r="H6" s="5" t="n">
        <v>4</v>
      </c>
      <c r="I6" s="6" t="s">
        <v>35</v>
      </c>
      <c r="J6" s="6" t="s">
        <v>28</v>
      </c>
      <c r="K6" s="6" t="s">
        <v>36</v>
      </c>
      <c r="L6" s="6" t="s">
        <v>37</v>
      </c>
      <c r="M6" s="7" t="s">
        <v>38</v>
      </c>
    </row>
    <row r="7" customFormat="false" ht="42" hidden="false" customHeight="true" outlineLevel="0" collapsed="false">
      <c r="A7" s="5" t="n">
        <f aca="false">ROW()-3</f>
        <v>4</v>
      </c>
      <c r="B7" s="6" t="s">
        <v>39</v>
      </c>
      <c r="C7" s="6" t="s">
        <v>16</v>
      </c>
      <c r="D7" s="6" t="s">
        <v>33</v>
      </c>
      <c r="E7" s="6" t="s">
        <v>26</v>
      </c>
      <c r="F7" s="5" t="n">
        <v>0</v>
      </c>
      <c r="G7" s="5" t="n">
        <v>5.9</v>
      </c>
      <c r="H7" s="5" t="n">
        <v>4</v>
      </c>
      <c r="I7" s="6" t="s">
        <v>40</v>
      </c>
      <c r="J7" s="6" t="s">
        <v>28</v>
      </c>
      <c r="K7" s="6" t="s">
        <v>41</v>
      </c>
      <c r="L7" s="6" t="s">
        <v>42</v>
      </c>
      <c r="M7" s="7" t="s">
        <v>43</v>
      </c>
    </row>
    <row r="8" customFormat="false" ht="42" hidden="false" customHeight="true" outlineLevel="0" collapsed="false">
      <c r="A8" s="5" t="n">
        <f aca="false">ROW()-3</f>
        <v>5</v>
      </c>
      <c r="B8" s="6" t="s">
        <v>44</v>
      </c>
      <c r="C8" s="6" t="s">
        <v>16</v>
      </c>
      <c r="D8" s="6" t="s">
        <v>45</v>
      </c>
      <c r="E8" s="6" t="s">
        <v>34</v>
      </c>
      <c r="F8" s="5" t="n">
        <v>6</v>
      </c>
      <c r="G8" s="5" t="n">
        <v>20.9</v>
      </c>
      <c r="H8" s="5" t="n">
        <v>4</v>
      </c>
      <c r="I8" s="6" t="s">
        <v>46</v>
      </c>
      <c r="J8" s="6" t="s">
        <v>28</v>
      </c>
      <c r="K8" s="6" t="s">
        <v>47</v>
      </c>
      <c r="L8" s="6" t="s">
        <v>48</v>
      </c>
      <c r="M8" s="7" t="s">
        <v>49</v>
      </c>
    </row>
    <row r="9" customFormat="false" ht="42" hidden="false" customHeight="true" outlineLevel="0" collapsed="false">
      <c r="A9" s="5" t="n">
        <f aca="false">ROW()-3</f>
        <v>6</v>
      </c>
      <c r="B9" s="6" t="s">
        <v>50</v>
      </c>
      <c r="C9" s="6" t="s">
        <v>51</v>
      </c>
      <c r="D9" s="6" t="s">
        <v>33</v>
      </c>
      <c r="E9" s="6" t="s">
        <v>52</v>
      </c>
      <c r="F9" s="5" t="n">
        <v>0</v>
      </c>
      <c r="G9" s="5" t="n">
        <v>83.2</v>
      </c>
      <c r="H9" s="5" t="n">
        <v>5</v>
      </c>
      <c r="I9" s="6" t="s">
        <v>53</v>
      </c>
      <c r="J9" s="6" t="s">
        <v>54</v>
      </c>
      <c r="K9" s="6" t="s">
        <v>55</v>
      </c>
      <c r="L9" s="6" t="s">
        <v>56</v>
      </c>
      <c r="M9" s="7" t="s">
        <v>57</v>
      </c>
    </row>
    <row r="10" customFormat="false" ht="42" hidden="false" customHeight="true" outlineLevel="0" collapsed="false">
      <c r="A10" s="5" t="n">
        <f aca="false">ROW()-3</f>
        <v>7</v>
      </c>
      <c r="B10" s="6" t="s">
        <v>58</v>
      </c>
      <c r="C10" s="6" t="s">
        <v>51</v>
      </c>
      <c r="D10" s="6" t="s">
        <v>33</v>
      </c>
      <c r="E10" s="6" t="s">
        <v>52</v>
      </c>
      <c r="F10" s="5" t="n">
        <v>0</v>
      </c>
      <c r="G10" s="5" t="n">
        <v>83.2</v>
      </c>
      <c r="H10" s="5" t="n">
        <v>4</v>
      </c>
      <c r="I10" s="6" t="s">
        <v>59</v>
      </c>
      <c r="J10" s="6" t="s">
        <v>60</v>
      </c>
      <c r="K10" s="6" t="s">
        <v>61</v>
      </c>
      <c r="L10" s="6" t="s">
        <v>62</v>
      </c>
      <c r="M10" s="7" t="s">
        <v>63</v>
      </c>
    </row>
    <row r="11" customFormat="false" ht="42" hidden="false" customHeight="true" outlineLevel="0" collapsed="false">
      <c r="A11" s="5" t="n">
        <f aca="false">ROW()-3</f>
        <v>8</v>
      </c>
      <c r="B11" s="6" t="s">
        <v>64</v>
      </c>
      <c r="C11" s="6" t="s">
        <v>51</v>
      </c>
      <c r="D11" s="6" t="s">
        <v>33</v>
      </c>
      <c r="E11" s="6" t="s">
        <v>65</v>
      </c>
      <c r="F11" s="5" t="n">
        <v>0</v>
      </c>
      <c r="G11" s="5" t="n">
        <v>99</v>
      </c>
      <c r="H11" s="5" t="n">
        <v>5</v>
      </c>
      <c r="I11" s="6" t="s">
        <v>66</v>
      </c>
      <c r="J11" s="6" t="s">
        <v>67</v>
      </c>
      <c r="K11" s="6" t="s">
        <v>68</v>
      </c>
      <c r="L11" s="6" t="s">
        <v>69</v>
      </c>
      <c r="M11" s="7" t="s">
        <v>70</v>
      </c>
    </row>
    <row r="12" customFormat="false" ht="42" hidden="false" customHeight="true" outlineLevel="0" collapsed="false">
      <c r="A12" s="5" t="n">
        <f aca="false">ROW()-3</f>
        <v>9</v>
      </c>
      <c r="B12" s="6" t="s">
        <v>71</v>
      </c>
      <c r="C12" s="6" t="s">
        <v>72</v>
      </c>
      <c r="D12" s="6" t="s">
        <v>17</v>
      </c>
      <c r="E12" s="6" t="s">
        <v>73</v>
      </c>
      <c r="F12" s="5" t="n">
        <v>16</v>
      </c>
      <c r="G12" s="5" t="n">
        <v>99</v>
      </c>
      <c r="H12" s="5" t="n">
        <v>5</v>
      </c>
      <c r="I12" s="6" t="s">
        <v>74</v>
      </c>
      <c r="J12" s="6" t="s">
        <v>75</v>
      </c>
      <c r="K12" s="6" t="s">
        <v>76</v>
      </c>
      <c r="L12" s="6" t="s">
        <v>77</v>
      </c>
      <c r="M12" s="7" t="s">
        <v>78</v>
      </c>
    </row>
    <row r="13" customFormat="false" ht="42" hidden="false" customHeight="true" outlineLevel="0" collapsed="false">
      <c r="A13" s="5" t="n">
        <f aca="false">ROW()-3</f>
        <v>10</v>
      </c>
      <c r="B13" s="6" t="s">
        <v>79</v>
      </c>
      <c r="C13" s="6" t="s">
        <v>16</v>
      </c>
      <c r="D13" s="6" t="s">
        <v>33</v>
      </c>
      <c r="E13" s="6" t="s">
        <v>80</v>
      </c>
      <c r="F13" s="5" t="n">
        <v>4</v>
      </c>
      <c r="G13" s="5" t="n">
        <v>11.9</v>
      </c>
      <c r="H13" s="5" t="n">
        <v>6</v>
      </c>
      <c r="I13" s="6" t="s">
        <v>81</v>
      </c>
      <c r="J13" s="6" t="s">
        <v>82</v>
      </c>
      <c r="K13" s="6" t="s">
        <v>83</v>
      </c>
      <c r="L13" s="6" t="s">
        <v>84</v>
      </c>
      <c r="M13" s="7" t="s">
        <v>85</v>
      </c>
    </row>
    <row r="14" customFormat="false" ht="42" hidden="false" customHeight="true" outlineLevel="0" collapsed="false">
      <c r="A14" s="5" t="n">
        <f aca="false">ROW()-3</f>
        <v>11</v>
      </c>
      <c r="B14" s="6" t="s">
        <v>86</v>
      </c>
      <c r="C14" s="6" t="s">
        <v>72</v>
      </c>
      <c r="D14" s="6" t="s">
        <v>87</v>
      </c>
      <c r="E14" s="6" t="s">
        <v>88</v>
      </c>
      <c r="F14" s="5" t="n">
        <v>1.5</v>
      </c>
      <c r="G14" s="5" t="n">
        <v>5.9</v>
      </c>
      <c r="H14" s="5" t="n">
        <v>10</v>
      </c>
      <c r="I14" s="6" t="s">
        <v>89</v>
      </c>
      <c r="J14" s="6" t="s">
        <v>90</v>
      </c>
      <c r="K14" s="6" t="s">
        <v>91</v>
      </c>
      <c r="L14" s="6" t="s">
        <v>92</v>
      </c>
      <c r="M14" s="7" t="s">
        <v>93</v>
      </c>
    </row>
    <row r="15" customFormat="false" ht="42" hidden="false" customHeight="true" outlineLevel="0" collapsed="false">
      <c r="A15" s="5" t="n">
        <f aca="false">ROW()-3</f>
        <v>12</v>
      </c>
      <c r="B15" s="6" t="s">
        <v>94</v>
      </c>
      <c r="C15" s="6" t="s">
        <v>72</v>
      </c>
      <c r="D15" s="6" t="s">
        <v>87</v>
      </c>
      <c r="E15" s="6" t="s">
        <v>95</v>
      </c>
      <c r="F15" s="5" t="n">
        <v>6</v>
      </c>
      <c r="G15" s="5" t="n">
        <v>17.9</v>
      </c>
      <c r="H15" s="5" t="n">
        <v>10</v>
      </c>
      <c r="I15" s="6" t="s">
        <v>96</v>
      </c>
      <c r="J15" s="6" t="s">
        <v>97</v>
      </c>
      <c r="K15" s="6" t="s">
        <v>98</v>
      </c>
      <c r="L15" s="6" t="s">
        <v>99</v>
      </c>
      <c r="M15" s="7" t="s">
        <v>100</v>
      </c>
    </row>
    <row r="16" customFormat="false" ht="42" hidden="false" customHeight="true" outlineLevel="0" collapsed="false">
      <c r="A16" s="5" t="n">
        <f aca="false">ROW()-3</f>
        <v>13</v>
      </c>
      <c r="B16" s="6" t="s">
        <v>101</v>
      </c>
      <c r="C16" s="6" t="s">
        <v>72</v>
      </c>
      <c r="D16" s="6" t="s">
        <v>45</v>
      </c>
      <c r="E16" s="6" t="s">
        <v>95</v>
      </c>
      <c r="F16" s="5" t="n">
        <v>6</v>
      </c>
      <c r="G16" s="5" t="n">
        <v>17.9</v>
      </c>
      <c r="H16" s="5" t="n">
        <v>5</v>
      </c>
      <c r="I16" s="6" t="s">
        <v>102</v>
      </c>
      <c r="J16" s="6" t="s">
        <v>103</v>
      </c>
      <c r="K16" s="6" t="s">
        <v>104</v>
      </c>
      <c r="L16" s="6" t="s">
        <v>105</v>
      </c>
      <c r="M16" s="7" t="s">
        <v>106</v>
      </c>
    </row>
    <row r="17" customFormat="false" ht="42" hidden="false" customHeight="true" outlineLevel="0" collapsed="false">
      <c r="A17" s="5" t="n">
        <f aca="false">ROW()-3</f>
        <v>14</v>
      </c>
      <c r="B17" s="6" t="s">
        <v>107</v>
      </c>
      <c r="C17" s="6" t="s">
        <v>72</v>
      </c>
      <c r="D17" s="6" t="s">
        <v>17</v>
      </c>
      <c r="E17" s="6" t="s">
        <v>108</v>
      </c>
      <c r="F17" s="5" t="n">
        <v>11</v>
      </c>
      <c r="G17" s="5" t="n">
        <v>17.9</v>
      </c>
      <c r="H17" s="5" t="n">
        <v>9</v>
      </c>
      <c r="I17" s="6" t="s">
        <v>109</v>
      </c>
      <c r="J17" s="6" t="s">
        <v>110</v>
      </c>
      <c r="K17" s="6" t="s">
        <v>111</v>
      </c>
      <c r="L17" s="6" t="s">
        <v>112</v>
      </c>
      <c r="M17" s="7" t="s">
        <v>113</v>
      </c>
    </row>
    <row r="18" customFormat="false" ht="42" hidden="false" customHeight="true" outlineLevel="0" collapsed="false">
      <c r="A18" s="5" t="n">
        <f aca="false">ROW()-3</f>
        <v>15</v>
      </c>
      <c r="B18" s="6" t="s">
        <v>114</v>
      </c>
      <c r="C18" s="6" t="s">
        <v>115</v>
      </c>
      <c r="D18" s="6" t="s">
        <v>17</v>
      </c>
      <c r="E18" s="6" t="s">
        <v>108</v>
      </c>
      <c r="F18" s="5" t="n">
        <v>11</v>
      </c>
      <c r="G18" s="5" t="n">
        <v>17.9</v>
      </c>
      <c r="H18" s="5" t="n">
        <v>6</v>
      </c>
      <c r="I18" s="6" t="s">
        <v>116</v>
      </c>
      <c r="J18" s="6" t="s">
        <v>117</v>
      </c>
      <c r="K18" s="6" t="s">
        <v>118</v>
      </c>
      <c r="L18" s="6" t="s">
        <v>119</v>
      </c>
      <c r="M18" s="7" t="s">
        <v>120</v>
      </c>
    </row>
    <row r="19" customFormat="false" ht="42" hidden="false" customHeight="true" outlineLevel="0" collapsed="false">
      <c r="A19" s="5" t="n">
        <f aca="false">ROW()-3</f>
        <v>16</v>
      </c>
      <c r="B19" s="6" t="s">
        <v>121</v>
      </c>
      <c r="C19" s="6" t="s">
        <v>122</v>
      </c>
      <c r="D19" s="6" t="s">
        <v>123</v>
      </c>
      <c r="E19" s="6" t="s">
        <v>124</v>
      </c>
      <c r="F19" s="5" t="n">
        <v>12</v>
      </c>
      <c r="G19" s="5" t="n">
        <v>99</v>
      </c>
      <c r="H19" s="5" t="n">
        <v>3</v>
      </c>
      <c r="I19" s="6" t="s">
        <v>125</v>
      </c>
      <c r="J19" s="6" t="s">
        <v>126</v>
      </c>
      <c r="K19" s="6" t="s">
        <v>127</v>
      </c>
      <c r="L19" s="6" t="s">
        <v>128</v>
      </c>
      <c r="M19" s="7" t="s">
        <v>129</v>
      </c>
    </row>
    <row r="20" customFormat="false" ht="42" hidden="false" customHeight="true" outlineLevel="0" collapsed="false">
      <c r="A20" s="5" t="n">
        <f aca="false">ROW()-3</f>
        <v>17</v>
      </c>
      <c r="B20" s="6" t="s">
        <v>130</v>
      </c>
      <c r="C20" s="6" t="s">
        <v>131</v>
      </c>
      <c r="D20" s="6" t="s">
        <v>17</v>
      </c>
      <c r="E20" s="6" t="s">
        <v>108</v>
      </c>
      <c r="F20" s="5" t="n">
        <v>11</v>
      </c>
      <c r="G20" s="5" t="n">
        <v>17.9</v>
      </c>
      <c r="H20" s="5" t="n">
        <v>11</v>
      </c>
      <c r="I20" s="6" t="s">
        <v>132</v>
      </c>
      <c r="J20" s="6" t="s">
        <v>133</v>
      </c>
      <c r="K20" s="6" t="s">
        <v>134</v>
      </c>
      <c r="L20" s="6" t="s">
        <v>135</v>
      </c>
      <c r="M20" s="7" t="s">
        <v>136</v>
      </c>
    </row>
    <row r="21" customFormat="false" ht="42" hidden="false" customHeight="true" outlineLevel="0" collapsed="false">
      <c r="A21" s="5" t="n">
        <f aca="false">ROW()-3</f>
        <v>18</v>
      </c>
      <c r="B21" s="6" t="s">
        <v>137</v>
      </c>
      <c r="C21" s="6" t="s">
        <v>131</v>
      </c>
      <c r="D21" s="6" t="s">
        <v>33</v>
      </c>
      <c r="E21" s="6" t="s">
        <v>138</v>
      </c>
      <c r="F21" s="5" t="n">
        <v>5</v>
      </c>
      <c r="G21" s="5" t="n">
        <v>17.9</v>
      </c>
      <c r="H21" s="5" t="n">
        <v>9</v>
      </c>
      <c r="I21" s="6" t="s">
        <v>139</v>
      </c>
      <c r="J21" s="6" t="s">
        <v>140</v>
      </c>
      <c r="K21" s="6" t="s">
        <v>141</v>
      </c>
      <c r="L21" s="6" t="s">
        <v>142</v>
      </c>
      <c r="M21" s="7" t="s">
        <v>143</v>
      </c>
    </row>
    <row r="22" customFormat="false" ht="42" hidden="false" customHeight="true" outlineLevel="0" collapsed="false">
      <c r="A22" s="5" t="n">
        <f aca="false">ROW()-3</f>
        <v>19</v>
      </c>
      <c r="B22" s="6" t="s">
        <v>144</v>
      </c>
      <c r="C22" s="6" t="s">
        <v>131</v>
      </c>
      <c r="D22" s="6" t="s">
        <v>45</v>
      </c>
      <c r="E22" s="6" t="s">
        <v>138</v>
      </c>
      <c r="F22" s="5" t="n">
        <v>5</v>
      </c>
      <c r="G22" s="5" t="n">
        <v>17.9</v>
      </c>
      <c r="H22" s="5" t="n">
        <v>9</v>
      </c>
      <c r="I22" s="6" t="s">
        <v>145</v>
      </c>
      <c r="J22" s="6" t="s">
        <v>140</v>
      </c>
      <c r="K22" s="6" t="s">
        <v>146</v>
      </c>
      <c r="L22" s="6" t="s">
        <v>147</v>
      </c>
      <c r="M22" s="7" t="s">
        <v>148</v>
      </c>
    </row>
    <row r="23" customFormat="false" ht="42" hidden="false" customHeight="true" outlineLevel="0" collapsed="false">
      <c r="A23" s="5" t="n">
        <f aca="false">ROW()-3</f>
        <v>20</v>
      </c>
      <c r="B23" s="6" t="s">
        <v>149</v>
      </c>
      <c r="C23" s="6" t="s">
        <v>131</v>
      </c>
      <c r="D23" s="6" t="s">
        <v>33</v>
      </c>
      <c r="E23" s="6" t="s">
        <v>150</v>
      </c>
      <c r="F23" s="5" t="n">
        <v>2</v>
      </c>
      <c r="G23" s="5" t="n">
        <v>5.9</v>
      </c>
      <c r="H23" s="5" t="n">
        <v>9</v>
      </c>
      <c r="I23" s="6" t="s">
        <v>151</v>
      </c>
      <c r="J23" s="6" t="s">
        <v>140</v>
      </c>
      <c r="K23" s="6" t="s">
        <v>152</v>
      </c>
      <c r="L23" s="6" t="s">
        <v>153</v>
      </c>
      <c r="M23" s="7" t="s">
        <v>154</v>
      </c>
    </row>
    <row r="24" customFormat="false" ht="42" hidden="false" customHeight="true" outlineLevel="0" collapsed="false">
      <c r="A24" s="5" t="n">
        <f aca="false">ROW()-3</f>
        <v>21</v>
      </c>
      <c r="B24" s="6" t="s">
        <v>155</v>
      </c>
      <c r="C24" s="6" t="s">
        <v>131</v>
      </c>
      <c r="D24" s="6" t="s">
        <v>156</v>
      </c>
      <c r="E24" s="6" t="s">
        <v>150</v>
      </c>
      <c r="F24" s="5" t="n">
        <v>2</v>
      </c>
      <c r="G24" s="5" t="n">
        <v>5.9</v>
      </c>
      <c r="H24" s="5" t="n">
        <v>9</v>
      </c>
      <c r="I24" s="6" t="s">
        <v>157</v>
      </c>
      <c r="J24" s="6" t="s">
        <v>140</v>
      </c>
      <c r="K24" s="6" t="s">
        <v>158</v>
      </c>
      <c r="L24" s="6" t="s">
        <v>159</v>
      </c>
      <c r="M24" s="7" t="s">
        <v>160</v>
      </c>
    </row>
    <row r="25" customFormat="false" ht="42" hidden="false" customHeight="true" outlineLevel="0" collapsed="false">
      <c r="A25" s="5" t="n">
        <f aca="false">ROW()-3</f>
        <v>22</v>
      </c>
      <c r="B25" s="6" t="s">
        <v>161</v>
      </c>
      <c r="C25" s="6" t="s">
        <v>162</v>
      </c>
      <c r="D25" s="6" t="s">
        <v>163</v>
      </c>
      <c r="E25" s="6" t="s">
        <v>164</v>
      </c>
      <c r="F25" s="5" t="n">
        <v>1.1</v>
      </c>
      <c r="G25" s="5" t="n">
        <v>99</v>
      </c>
      <c r="H25" s="5" t="n">
        <v>12</v>
      </c>
      <c r="I25" s="6" t="s">
        <v>165</v>
      </c>
      <c r="J25" s="6" t="s">
        <v>166</v>
      </c>
      <c r="K25" s="6" t="s">
        <v>167</v>
      </c>
      <c r="L25" s="6" t="s">
        <v>168</v>
      </c>
      <c r="M25" s="7" t="s">
        <v>169</v>
      </c>
    </row>
    <row r="26" customFormat="false" ht="42" hidden="false" customHeight="true" outlineLevel="0" collapsed="false">
      <c r="A26" s="5" t="n">
        <f aca="false">ROW()-3</f>
        <v>23</v>
      </c>
      <c r="B26" s="6" t="s">
        <v>170</v>
      </c>
      <c r="C26" s="6" t="s">
        <v>115</v>
      </c>
      <c r="D26" s="6" t="s">
        <v>171</v>
      </c>
      <c r="E26" s="6" t="s">
        <v>172</v>
      </c>
      <c r="F26" s="5" t="n">
        <v>0.7</v>
      </c>
      <c r="G26" s="5" t="n">
        <v>1.5</v>
      </c>
      <c r="H26" s="5" t="n">
        <v>4</v>
      </c>
      <c r="I26" s="6" t="s">
        <v>173</v>
      </c>
      <c r="J26" s="6" t="s">
        <v>174</v>
      </c>
      <c r="K26" s="6" t="s">
        <v>175</v>
      </c>
      <c r="L26" s="6" t="s">
        <v>176</v>
      </c>
      <c r="M26" s="7" t="s">
        <v>177</v>
      </c>
    </row>
    <row r="27" customFormat="false" ht="42" hidden="false" customHeight="true" outlineLevel="0" collapsed="false">
      <c r="A27" s="5" t="n">
        <f aca="false">ROW()-3</f>
        <v>24</v>
      </c>
      <c r="B27" s="6" t="s">
        <v>178</v>
      </c>
      <c r="C27" s="6" t="s">
        <v>115</v>
      </c>
      <c r="D27" s="6" t="s">
        <v>33</v>
      </c>
      <c r="E27" s="6" t="s">
        <v>179</v>
      </c>
      <c r="F27" s="5" t="n">
        <v>0.3</v>
      </c>
      <c r="G27" s="5" t="n">
        <v>1.5</v>
      </c>
      <c r="H27" s="5" t="n">
        <v>4</v>
      </c>
      <c r="I27" s="6" t="s">
        <v>180</v>
      </c>
      <c r="J27" s="6" t="s">
        <v>174</v>
      </c>
      <c r="K27" s="6" t="s">
        <v>181</v>
      </c>
      <c r="L27" s="6" t="s">
        <v>182</v>
      </c>
      <c r="M27" s="7" t="s">
        <v>183</v>
      </c>
    </row>
    <row r="28" customFormat="false" ht="42" hidden="false" customHeight="true" outlineLevel="0" collapsed="false">
      <c r="A28" s="5" t="n">
        <f aca="false">ROW()-3</f>
        <v>25</v>
      </c>
      <c r="B28" s="6" t="s">
        <v>184</v>
      </c>
      <c r="C28" s="6" t="s">
        <v>16</v>
      </c>
      <c r="D28" s="6" t="s">
        <v>185</v>
      </c>
      <c r="E28" s="6" t="s">
        <v>186</v>
      </c>
      <c r="F28" s="5" t="n">
        <v>6</v>
      </c>
      <c r="G28" s="5" t="n">
        <v>100</v>
      </c>
      <c r="H28" s="5" t="n">
        <v>15</v>
      </c>
      <c r="I28" s="6" t="s">
        <v>187</v>
      </c>
      <c r="J28" s="6" t="s">
        <v>188</v>
      </c>
      <c r="K28" s="6" t="s">
        <v>189</v>
      </c>
      <c r="L28" s="6" t="s">
        <v>190</v>
      </c>
      <c r="M28" s="7" t="s">
        <v>191</v>
      </c>
    </row>
    <row r="29" customFormat="false" ht="42" hidden="false" customHeight="true" outlineLevel="0" collapsed="false">
      <c r="A29" s="5" t="n">
        <f aca="false">ROW()-3</f>
        <v>26</v>
      </c>
      <c r="B29" s="6" t="s">
        <v>192</v>
      </c>
      <c r="C29" s="6" t="s">
        <v>16</v>
      </c>
      <c r="D29" s="6" t="s">
        <v>193</v>
      </c>
      <c r="E29" s="6" t="s">
        <v>194</v>
      </c>
      <c r="F29" s="5" t="n">
        <v>0</v>
      </c>
      <c r="G29" s="5" t="n">
        <v>100</v>
      </c>
      <c r="H29" s="5" t="n">
        <v>15</v>
      </c>
      <c r="I29" s="6" t="s">
        <v>195</v>
      </c>
      <c r="J29" s="6" t="s">
        <v>196</v>
      </c>
      <c r="K29" s="6" t="s">
        <v>197</v>
      </c>
      <c r="L29" s="6" t="s">
        <v>198</v>
      </c>
      <c r="M29" s="7" t="s">
        <v>199</v>
      </c>
    </row>
    <row r="30" customFormat="false" ht="42" hidden="false" customHeight="true" outlineLevel="0" collapsed="false">
      <c r="A30" s="5" t="n">
        <f aca="false">ROW()-3</f>
        <v>27</v>
      </c>
      <c r="B30" s="6" t="s">
        <v>200</v>
      </c>
      <c r="C30" s="6" t="s">
        <v>16</v>
      </c>
      <c r="D30" s="6" t="s">
        <v>185</v>
      </c>
      <c r="E30" s="6" t="s">
        <v>201</v>
      </c>
      <c r="F30" s="5" t="n">
        <v>0</v>
      </c>
      <c r="G30" s="5" t="n">
        <v>100</v>
      </c>
      <c r="H30" s="5" t="n">
        <v>15</v>
      </c>
      <c r="I30" s="6" t="s">
        <v>202</v>
      </c>
      <c r="J30" s="6" t="s">
        <v>203</v>
      </c>
      <c r="K30" s="6" t="s">
        <v>204</v>
      </c>
      <c r="L30" s="6" t="s">
        <v>205</v>
      </c>
      <c r="M30" s="7" t="s">
        <v>206</v>
      </c>
    </row>
    <row r="31" customFormat="false" ht="42" hidden="false" customHeight="true" outlineLevel="0" collapsed="false">
      <c r="A31" s="5" t="n">
        <f aca="false">ROW()-3</f>
        <v>28</v>
      </c>
      <c r="B31" s="6" t="s">
        <v>207</v>
      </c>
      <c r="C31" s="6" t="s">
        <v>208</v>
      </c>
      <c r="D31" s="6" t="s">
        <v>209</v>
      </c>
      <c r="E31" s="6" t="s">
        <v>210</v>
      </c>
      <c r="F31" s="5" t="n">
        <v>6</v>
      </c>
      <c r="G31" s="5" t="n">
        <v>99</v>
      </c>
      <c r="H31" s="5" t="n">
        <v>4</v>
      </c>
      <c r="I31" s="6" t="s">
        <v>211</v>
      </c>
      <c r="J31" s="6" t="s">
        <v>212</v>
      </c>
      <c r="K31" s="6" t="s">
        <v>213</v>
      </c>
      <c r="L31" s="6" t="s">
        <v>214</v>
      </c>
      <c r="M31" s="7" t="s">
        <v>215</v>
      </c>
    </row>
    <row r="32" customFormat="false" ht="42" hidden="false" customHeight="true" outlineLevel="0" collapsed="false">
      <c r="A32" s="5" t="n">
        <f aca="false">ROW()-3</f>
        <v>29</v>
      </c>
      <c r="B32" s="6" t="s">
        <v>216</v>
      </c>
      <c r="C32" s="6" t="s">
        <v>217</v>
      </c>
      <c r="D32" s="6" t="s">
        <v>17</v>
      </c>
      <c r="E32" s="6" t="s">
        <v>218</v>
      </c>
      <c r="F32" s="5" t="n">
        <v>7</v>
      </c>
      <c r="G32" s="5" t="n">
        <v>17.9</v>
      </c>
      <c r="H32" s="5" t="n">
        <v>7</v>
      </c>
      <c r="I32" s="6" t="s">
        <v>219</v>
      </c>
      <c r="J32" s="6" t="s">
        <v>220</v>
      </c>
      <c r="K32" s="6" t="s">
        <v>221</v>
      </c>
      <c r="L32" s="6" t="s">
        <v>222</v>
      </c>
      <c r="M32" s="7" t="s">
        <v>223</v>
      </c>
    </row>
    <row r="33" customFormat="false" ht="42" hidden="false" customHeight="true" outlineLevel="0" collapsed="false">
      <c r="A33" s="5" t="n">
        <f aca="false">ROW()-3</f>
        <v>30</v>
      </c>
      <c r="B33" s="6" t="s">
        <v>224</v>
      </c>
      <c r="C33" s="6" t="s">
        <v>208</v>
      </c>
      <c r="D33" s="6" t="s">
        <v>17</v>
      </c>
      <c r="E33" s="6" t="s">
        <v>164</v>
      </c>
      <c r="F33" s="5" t="n">
        <v>13</v>
      </c>
      <c r="G33" s="5" t="n">
        <v>99</v>
      </c>
      <c r="H33" s="5" t="n">
        <v>10</v>
      </c>
      <c r="I33" s="6" t="s">
        <v>225</v>
      </c>
      <c r="J33" s="6" t="s">
        <v>226</v>
      </c>
      <c r="K33" s="6" t="s">
        <v>227</v>
      </c>
      <c r="L33" s="6" t="s">
        <v>228</v>
      </c>
      <c r="M33" s="7" t="s">
        <v>229</v>
      </c>
    </row>
    <row r="34" customFormat="false" ht="42" hidden="false" customHeight="true" outlineLevel="0" collapsed="false">
      <c r="A34" s="5" t="n">
        <f aca="false">ROW()-3</f>
        <v>31</v>
      </c>
      <c r="B34" s="6" t="s">
        <v>230</v>
      </c>
      <c r="C34" s="6" t="s">
        <v>208</v>
      </c>
      <c r="D34" s="6" t="s">
        <v>17</v>
      </c>
      <c r="E34" s="6" t="s">
        <v>231</v>
      </c>
      <c r="F34" s="5" t="n">
        <v>12</v>
      </c>
      <c r="G34" s="5" t="n">
        <v>99</v>
      </c>
      <c r="H34" s="5" t="n">
        <v>11</v>
      </c>
      <c r="I34" s="6" t="s">
        <v>232</v>
      </c>
      <c r="J34" s="6" t="s">
        <v>233</v>
      </c>
      <c r="K34" s="6" t="s">
        <v>234</v>
      </c>
      <c r="L34" s="6" t="s">
        <v>235</v>
      </c>
      <c r="M34" s="7" t="s">
        <v>236</v>
      </c>
    </row>
    <row r="35" customFormat="false" ht="42" hidden="false" customHeight="true" outlineLevel="0" collapsed="false">
      <c r="A35" s="5" t="n">
        <f aca="false">ROW()-3</f>
        <v>32</v>
      </c>
      <c r="B35" s="6" t="s">
        <v>237</v>
      </c>
      <c r="C35" s="6" t="s">
        <v>208</v>
      </c>
      <c r="D35" s="6" t="s">
        <v>17</v>
      </c>
      <c r="E35" s="6" t="s">
        <v>238</v>
      </c>
      <c r="F35" s="5" t="n">
        <v>9</v>
      </c>
      <c r="G35" s="5" t="n">
        <v>11.9</v>
      </c>
      <c r="H35" s="5" t="n">
        <v>11</v>
      </c>
      <c r="I35" s="6" t="s">
        <v>239</v>
      </c>
      <c r="J35" s="6" t="s">
        <v>233</v>
      </c>
      <c r="K35" s="6" t="s">
        <v>240</v>
      </c>
      <c r="L35" s="6" t="s">
        <v>241</v>
      </c>
      <c r="M35" s="7" t="s">
        <v>242</v>
      </c>
    </row>
    <row r="36" customFormat="false" ht="42" hidden="false" customHeight="true" outlineLevel="0" collapsed="false">
      <c r="A36" s="5" t="n">
        <f aca="false">ROW()-3</f>
        <v>33</v>
      </c>
      <c r="B36" s="6" t="s">
        <v>243</v>
      </c>
      <c r="C36" s="6" t="s">
        <v>122</v>
      </c>
      <c r="D36" s="6" t="s">
        <v>17</v>
      </c>
      <c r="E36" s="6" t="s">
        <v>244</v>
      </c>
      <c r="F36" s="5" t="n">
        <v>8</v>
      </c>
      <c r="G36" s="5" t="n">
        <v>12.9</v>
      </c>
      <c r="H36" s="5" t="n">
        <v>4</v>
      </c>
      <c r="I36" s="6" t="s">
        <v>245</v>
      </c>
      <c r="J36" s="6" t="s">
        <v>246</v>
      </c>
      <c r="K36" s="6" t="s">
        <v>247</v>
      </c>
      <c r="L36" s="6" t="s">
        <v>248</v>
      </c>
      <c r="M36" s="7" t="s">
        <v>249</v>
      </c>
    </row>
    <row r="37" customFormat="false" ht="42" hidden="false" customHeight="true" outlineLevel="0" collapsed="false">
      <c r="A37" s="5" t="n">
        <f aca="false">ROW()-3</f>
        <v>34</v>
      </c>
      <c r="B37" s="6" t="s">
        <v>250</v>
      </c>
      <c r="C37" s="6" t="s">
        <v>131</v>
      </c>
      <c r="D37" s="6" t="s">
        <v>33</v>
      </c>
      <c r="E37" s="6" t="s">
        <v>65</v>
      </c>
      <c r="F37" s="5" t="n">
        <v>0</v>
      </c>
      <c r="G37" s="5" t="n">
        <v>99</v>
      </c>
      <c r="H37" s="5" t="n">
        <v>6</v>
      </c>
      <c r="I37" s="6" t="s">
        <v>251</v>
      </c>
      <c r="J37" s="6" t="s">
        <v>252</v>
      </c>
      <c r="K37" s="6" t="s">
        <v>253</v>
      </c>
      <c r="L37" s="6" t="s">
        <v>254</v>
      </c>
      <c r="M37" s="7" t="s">
        <v>255</v>
      </c>
    </row>
    <row r="38" customFormat="false" ht="42" hidden="false" customHeight="true" outlineLevel="0" collapsed="false">
      <c r="A38" s="5" t="n">
        <f aca="false">ROW()-3</f>
        <v>35</v>
      </c>
      <c r="B38" s="6" t="s">
        <v>256</v>
      </c>
      <c r="C38" s="6" t="s">
        <v>131</v>
      </c>
      <c r="D38" s="6" t="s">
        <v>156</v>
      </c>
      <c r="E38" s="6" t="s">
        <v>65</v>
      </c>
      <c r="F38" s="5" t="n">
        <v>0</v>
      </c>
      <c r="G38" s="5" t="n">
        <v>99</v>
      </c>
      <c r="H38" s="5" t="n">
        <v>4</v>
      </c>
      <c r="I38" s="6" t="s">
        <v>257</v>
      </c>
      <c r="J38" s="6" t="s">
        <v>258</v>
      </c>
      <c r="K38" s="6" t="s">
        <v>259</v>
      </c>
      <c r="L38" s="6" t="s">
        <v>260</v>
      </c>
      <c r="M38" s="7" t="s">
        <v>261</v>
      </c>
    </row>
    <row r="39" customFormat="false" ht="42" hidden="false" customHeight="true" outlineLevel="0" collapsed="false">
      <c r="A39" s="5" t="n">
        <f aca="false">ROW()-3</f>
        <v>36</v>
      </c>
      <c r="B39" s="6" t="s">
        <v>262</v>
      </c>
      <c r="C39" s="6" t="s">
        <v>217</v>
      </c>
      <c r="D39" s="6" t="s">
        <v>17</v>
      </c>
      <c r="E39" s="6" t="s">
        <v>263</v>
      </c>
      <c r="F39" s="5" t="n">
        <v>8</v>
      </c>
      <c r="G39" s="5" t="n">
        <v>17.9</v>
      </c>
      <c r="H39" s="5" t="n">
        <v>2</v>
      </c>
      <c r="I39" s="6" t="s">
        <v>264</v>
      </c>
      <c r="J39" s="6" t="s">
        <v>265</v>
      </c>
      <c r="K39" s="6" t="s">
        <v>266</v>
      </c>
      <c r="L39" s="6" t="s">
        <v>267</v>
      </c>
      <c r="M39" s="7" t="s">
        <v>268</v>
      </c>
    </row>
    <row r="40" customFormat="false" ht="42" hidden="false" customHeight="true" outlineLevel="0" collapsed="false">
      <c r="A40" s="5" t="n">
        <f aca="false">ROW()-3</f>
        <v>37</v>
      </c>
      <c r="B40" s="6" t="s">
        <v>269</v>
      </c>
      <c r="C40" s="6" t="s">
        <v>122</v>
      </c>
      <c r="D40" s="6" t="s">
        <v>270</v>
      </c>
      <c r="E40" s="6" t="s">
        <v>271</v>
      </c>
      <c r="F40" s="5" t="n">
        <v>6</v>
      </c>
      <c r="G40" s="5" t="n">
        <v>17.9</v>
      </c>
      <c r="H40" s="5" t="n">
        <v>4</v>
      </c>
      <c r="I40" s="6" t="s">
        <v>272</v>
      </c>
      <c r="J40" s="6" t="s">
        <v>273</v>
      </c>
      <c r="K40" s="6" t="s">
        <v>274</v>
      </c>
      <c r="L40" s="6" t="s">
        <v>275</v>
      </c>
      <c r="M40" s="7" t="s">
        <v>276</v>
      </c>
    </row>
    <row r="41" customFormat="false" ht="42" hidden="false" customHeight="true" outlineLevel="0" collapsed="false">
      <c r="A41" s="5" t="n">
        <f aca="false">ROW()-3</f>
        <v>38</v>
      </c>
      <c r="B41" s="6" t="s">
        <v>277</v>
      </c>
      <c r="C41" s="6" t="s">
        <v>278</v>
      </c>
      <c r="D41" s="6" t="s">
        <v>17</v>
      </c>
      <c r="E41" s="6" t="s">
        <v>279</v>
      </c>
      <c r="F41" s="5" t="n">
        <v>12</v>
      </c>
      <c r="G41" s="5" t="n">
        <v>16.9</v>
      </c>
      <c r="H41" s="5" t="n">
        <v>6</v>
      </c>
      <c r="I41" s="6" t="s">
        <v>280</v>
      </c>
      <c r="J41" s="6" t="s">
        <v>281</v>
      </c>
      <c r="K41" s="6" t="s">
        <v>282</v>
      </c>
      <c r="L41" s="6" t="s">
        <v>283</v>
      </c>
      <c r="M41" s="7" t="s">
        <v>284</v>
      </c>
    </row>
    <row r="42" customFormat="false" ht="42" hidden="false" customHeight="true" outlineLevel="0" collapsed="false">
      <c r="A42" s="5" t="n">
        <f aca="false">ROW()-3</f>
        <v>39</v>
      </c>
      <c r="B42" s="6" t="s">
        <v>285</v>
      </c>
      <c r="C42" s="6" t="s">
        <v>278</v>
      </c>
      <c r="D42" s="6" t="s">
        <v>17</v>
      </c>
      <c r="E42" s="6" t="s">
        <v>279</v>
      </c>
      <c r="F42" s="5" t="n">
        <v>12</v>
      </c>
      <c r="G42" s="5" t="n">
        <v>16.9</v>
      </c>
      <c r="H42" s="5" t="n">
        <v>6</v>
      </c>
      <c r="I42" s="6" t="s">
        <v>286</v>
      </c>
      <c r="J42" s="6" t="s">
        <v>281</v>
      </c>
      <c r="K42" s="6" t="s">
        <v>287</v>
      </c>
      <c r="L42" s="6" t="s">
        <v>288</v>
      </c>
      <c r="M42" s="7" t="s">
        <v>289</v>
      </c>
    </row>
    <row r="43" customFormat="false" ht="42" hidden="false" customHeight="true" outlineLevel="0" collapsed="false">
      <c r="A43" s="5" t="n">
        <f aca="false">ROW()-3</f>
        <v>40</v>
      </c>
      <c r="B43" s="6" t="s">
        <v>290</v>
      </c>
      <c r="C43" s="6" t="s">
        <v>278</v>
      </c>
      <c r="D43" s="6" t="s">
        <v>17</v>
      </c>
      <c r="E43" s="6" t="s">
        <v>291</v>
      </c>
      <c r="F43" s="5" t="n">
        <v>7</v>
      </c>
      <c r="G43" s="5" t="n">
        <v>11.9</v>
      </c>
      <c r="H43" s="5" t="n">
        <v>3</v>
      </c>
      <c r="I43" s="6" t="s">
        <v>292</v>
      </c>
      <c r="J43" s="6" t="s">
        <v>293</v>
      </c>
      <c r="K43" s="6" t="s">
        <v>294</v>
      </c>
      <c r="L43" s="6" t="s">
        <v>295</v>
      </c>
      <c r="M43" s="7" t="s">
        <v>296</v>
      </c>
    </row>
    <row r="44" customFormat="false" ht="42" hidden="false" customHeight="true" outlineLevel="0" collapsed="false">
      <c r="A44" s="5" t="n">
        <f aca="false">ROW()-3</f>
        <v>41</v>
      </c>
      <c r="B44" s="6" t="s">
        <v>297</v>
      </c>
      <c r="C44" s="6" t="s">
        <v>278</v>
      </c>
      <c r="D44" s="6" t="s">
        <v>17</v>
      </c>
      <c r="E44" s="6" t="s">
        <v>291</v>
      </c>
      <c r="F44" s="5" t="n">
        <v>7</v>
      </c>
      <c r="G44" s="5" t="n">
        <v>11.9</v>
      </c>
      <c r="H44" s="5" t="n">
        <v>3</v>
      </c>
      <c r="I44" s="6" t="s">
        <v>298</v>
      </c>
      <c r="J44" s="6" t="s">
        <v>293</v>
      </c>
      <c r="K44" s="6" t="s">
        <v>299</v>
      </c>
      <c r="L44" s="6" t="s">
        <v>300</v>
      </c>
      <c r="M44" s="7" t="s">
        <v>301</v>
      </c>
    </row>
    <row r="45" customFormat="false" ht="42" hidden="false" customHeight="true" outlineLevel="0" collapsed="false">
      <c r="A45" s="5" t="n">
        <f aca="false">ROW()-3</f>
        <v>42</v>
      </c>
      <c r="B45" s="6" t="s">
        <v>302</v>
      </c>
      <c r="C45" s="6" t="s">
        <v>278</v>
      </c>
      <c r="D45" s="6" t="s">
        <v>33</v>
      </c>
      <c r="E45" s="6" t="s">
        <v>303</v>
      </c>
      <c r="F45" s="5" t="n">
        <v>0</v>
      </c>
      <c r="G45" s="5" t="n">
        <v>83.2</v>
      </c>
      <c r="H45" s="5" t="n">
        <v>6</v>
      </c>
      <c r="I45" s="6" t="s">
        <v>304</v>
      </c>
      <c r="J45" s="6" t="s">
        <v>305</v>
      </c>
      <c r="K45" s="6" t="s">
        <v>306</v>
      </c>
      <c r="L45" s="6" t="s">
        <v>307</v>
      </c>
      <c r="M45" s="7" t="s">
        <v>308</v>
      </c>
    </row>
    <row r="46" customFormat="false" ht="42" hidden="false" customHeight="true" outlineLevel="0" collapsed="false">
      <c r="A46" s="5" t="n">
        <f aca="false">ROW()-3</f>
        <v>43</v>
      </c>
      <c r="B46" s="6" t="s">
        <v>309</v>
      </c>
      <c r="C46" s="6" t="s">
        <v>131</v>
      </c>
      <c r="D46" s="6" t="s">
        <v>33</v>
      </c>
      <c r="E46" s="6" t="s">
        <v>95</v>
      </c>
      <c r="F46" s="5" t="n">
        <v>6</v>
      </c>
      <c r="G46" s="5" t="n">
        <v>17.9</v>
      </c>
      <c r="H46" s="5" t="n">
        <v>10</v>
      </c>
      <c r="I46" s="6" t="s">
        <v>310</v>
      </c>
      <c r="J46" s="6" t="s">
        <v>311</v>
      </c>
      <c r="K46" s="6" t="s">
        <v>312</v>
      </c>
      <c r="L46" s="6" t="s">
        <v>313</v>
      </c>
      <c r="M46" s="7" t="s">
        <v>314</v>
      </c>
    </row>
    <row r="47" customFormat="false" ht="42" hidden="false" customHeight="true" outlineLevel="0" collapsed="false">
      <c r="A47" s="5" t="n">
        <f aca="false">ROW()-3</f>
        <v>44</v>
      </c>
      <c r="B47" s="6" t="s">
        <v>315</v>
      </c>
      <c r="C47" s="6" t="s">
        <v>131</v>
      </c>
      <c r="D47" s="6" t="s">
        <v>33</v>
      </c>
      <c r="E47" s="6" t="s">
        <v>95</v>
      </c>
      <c r="F47" s="5" t="n">
        <v>6</v>
      </c>
      <c r="G47" s="5" t="n">
        <v>17.9</v>
      </c>
      <c r="H47" s="5" t="n">
        <v>6</v>
      </c>
      <c r="I47" s="6" t="s">
        <v>316</v>
      </c>
      <c r="J47" s="6" t="s">
        <v>317</v>
      </c>
      <c r="K47" s="6" t="s">
        <v>318</v>
      </c>
      <c r="L47" s="6" t="s">
        <v>319</v>
      </c>
      <c r="M47" s="7" t="s">
        <v>320</v>
      </c>
    </row>
    <row r="48" customFormat="false" ht="42" hidden="false" customHeight="true" outlineLevel="0" collapsed="false">
      <c r="A48" s="5" t="n">
        <f aca="false">ROW()-3</f>
        <v>45</v>
      </c>
      <c r="B48" s="6" t="s">
        <v>321</v>
      </c>
      <c r="C48" s="6" t="s">
        <v>131</v>
      </c>
      <c r="D48" s="6" t="s">
        <v>45</v>
      </c>
      <c r="E48" s="6" t="s">
        <v>95</v>
      </c>
      <c r="F48" s="5" t="n">
        <v>6</v>
      </c>
      <c r="G48" s="5" t="n">
        <v>17.9</v>
      </c>
      <c r="H48" s="5" t="n">
        <v>9</v>
      </c>
      <c r="I48" s="6" t="s">
        <v>322</v>
      </c>
      <c r="J48" s="6" t="s">
        <v>323</v>
      </c>
      <c r="K48" s="6" t="s">
        <v>324</v>
      </c>
      <c r="L48" s="6" t="s">
        <v>325</v>
      </c>
      <c r="M48" s="7" t="s">
        <v>326</v>
      </c>
    </row>
    <row r="49" customFormat="false" ht="42" hidden="false" customHeight="true" outlineLevel="0" collapsed="false">
      <c r="A49" s="5" t="n">
        <f aca="false">ROW()-3</f>
        <v>46</v>
      </c>
      <c r="B49" s="6" t="s">
        <v>327</v>
      </c>
      <c r="C49" s="6" t="s">
        <v>131</v>
      </c>
      <c r="D49" s="6" t="s">
        <v>45</v>
      </c>
      <c r="E49" s="6" t="s">
        <v>95</v>
      </c>
      <c r="F49" s="5" t="n">
        <v>6</v>
      </c>
      <c r="G49" s="5" t="n">
        <v>17.9</v>
      </c>
      <c r="H49" s="5" t="n">
        <v>5</v>
      </c>
      <c r="I49" s="6" t="s">
        <v>328</v>
      </c>
      <c r="J49" s="6" t="s">
        <v>329</v>
      </c>
      <c r="K49" s="6" t="s">
        <v>330</v>
      </c>
      <c r="L49" s="6" t="s">
        <v>331</v>
      </c>
      <c r="M49" s="7" t="s">
        <v>332</v>
      </c>
    </row>
    <row r="50" customFormat="false" ht="42" hidden="false" customHeight="true" outlineLevel="0" collapsed="false">
      <c r="A50" s="5" t="n">
        <f aca="false">ROW()-3</f>
        <v>47</v>
      </c>
      <c r="B50" s="6" t="s">
        <v>333</v>
      </c>
      <c r="C50" s="6" t="s">
        <v>162</v>
      </c>
      <c r="D50" s="6" t="s">
        <v>334</v>
      </c>
      <c r="E50" s="6" t="s">
        <v>335</v>
      </c>
      <c r="F50" s="5" t="n">
        <v>0</v>
      </c>
      <c r="G50" s="5" t="n">
        <v>99</v>
      </c>
      <c r="H50" s="5" t="n">
        <v>6</v>
      </c>
      <c r="I50" s="6" t="s">
        <v>336</v>
      </c>
      <c r="J50" s="6" t="s">
        <v>337</v>
      </c>
      <c r="K50" s="6" t="s">
        <v>338</v>
      </c>
      <c r="L50" s="6" t="s">
        <v>339</v>
      </c>
      <c r="M50" s="7" t="s">
        <v>340</v>
      </c>
    </row>
    <row r="51" customFormat="false" ht="42" hidden="false" customHeight="true" outlineLevel="0" collapsed="false">
      <c r="A51" s="5" t="n">
        <f aca="false">ROW()-3</f>
        <v>48</v>
      </c>
      <c r="B51" s="6" t="s">
        <v>341</v>
      </c>
      <c r="C51" s="6" t="s">
        <v>162</v>
      </c>
      <c r="D51" s="6" t="s">
        <v>17</v>
      </c>
      <c r="E51" s="6" t="s">
        <v>342</v>
      </c>
      <c r="F51" s="5" t="n">
        <v>12</v>
      </c>
      <c r="G51" s="5" t="n">
        <v>17.9</v>
      </c>
      <c r="H51" s="5" t="n">
        <v>5</v>
      </c>
      <c r="I51" s="6" t="s">
        <v>343</v>
      </c>
      <c r="J51" s="6" t="s">
        <v>344</v>
      </c>
      <c r="K51" s="6" t="s">
        <v>345</v>
      </c>
      <c r="L51" s="6" t="s">
        <v>346</v>
      </c>
      <c r="M51" s="7" t="s">
        <v>347</v>
      </c>
    </row>
    <row r="52" customFormat="false" ht="42" hidden="false" customHeight="true" outlineLevel="0" collapsed="false">
      <c r="A52" s="5" t="n">
        <f aca="false">ROW()-3</f>
        <v>49</v>
      </c>
      <c r="B52" s="6" t="s">
        <v>348</v>
      </c>
      <c r="C52" s="6" t="s">
        <v>162</v>
      </c>
      <c r="D52" s="6" t="s">
        <v>185</v>
      </c>
      <c r="E52" s="6" t="s">
        <v>349</v>
      </c>
      <c r="F52" s="5" t="n">
        <v>0</v>
      </c>
      <c r="G52" s="5" t="n">
        <v>100</v>
      </c>
      <c r="H52" s="5" t="n">
        <v>5</v>
      </c>
      <c r="I52" s="6" t="s">
        <v>350</v>
      </c>
      <c r="J52" s="6" t="s">
        <v>351</v>
      </c>
      <c r="K52" s="6" t="s">
        <v>352</v>
      </c>
      <c r="L52" s="6" t="s">
        <v>353</v>
      </c>
      <c r="M52" s="7" t="s">
        <v>354</v>
      </c>
    </row>
    <row r="53" customFormat="false" ht="42" hidden="false" customHeight="true" outlineLevel="0" collapsed="false">
      <c r="A53" s="5" t="n">
        <f aca="false">ROW()-3</f>
        <v>50</v>
      </c>
      <c r="B53" s="6" t="s">
        <v>355</v>
      </c>
      <c r="C53" s="6" t="s">
        <v>162</v>
      </c>
      <c r="D53" s="6" t="s">
        <v>185</v>
      </c>
      <c r="E53" s="6" t="s">
        <v>356</v>
      </c>
      <c r="F53" s="5" t="n">
        <v>6</v>
      </c>
      <c r="G53" s="5" t="n">
        <v>11.9</v>
      </c>
      <c r="H53" s="5" t="n">
        <v>5</v>
      </c>
      <c r="I53" s="6" t="s">
        <v>357</v>
      </c>
      <c r="J53" s="6" t="s">
        <v>358</v>
      </c>
      <c r="K53" s="6" t="s">
        <v>359</v>
      </c>
      <c r="L53" s="6" t="s">
        <v>360</v>
      </c>
      <c r="M53" s="7" t="s">
        <v>361</v>
      </c>
    </row>
    <row r="54" customFormat="false" ht="42" hidden="false" customHeight="true" outlineLevel="0" collapsed="false">
      <c r="A54" s="5" t="n">
        <f aca="false">ROW()-3</f>
        <v>51</v>
      </c>
      <c r="B54" s="6" t="s">
        <v>362</v>
      </c>
      <c r="C54" s="6" t="s">
        <v>72</v>
      </c>
      <c r="D54" s="6" t="s">
        <v>156</v>
      </c>
      <c r="E54" s="6" t="s">
        <v>88</v>
      </c>
      <c r="F54" s="5" t="n">
        <v>1.5</v>
      </c>
      <c r="G54" s="5" t="n">
        <v>5.9</v>
      </c>
      <c r="H54" s="5" t="n">
        <v>1</v>
      </c>
      <c r="I54" s="6" t="s">
        <v>363</v>
      </c>
      <c r="J54" s="6" t="s">
        <v>364</v>
      </c>
      <c r="K54" s="6" t="s">
        <v>365</v>
      </c>
      <c r="L54" s="6" t="s">
        <v>366</v>
      </c>
      <c r="M54" s="7" t="s">
        <v>367</v>
      </c>
    </row>
    <row r="55" customFormat="false" ht="42" hidden="false" customHeight="true" outlineLevel="0" collapsed="false">
      <c r="A55" s="5" t="n">
        <f aca="false">ROW()-3</f>
        <v>52</v>
      </c>
      <c r="B55" s="6" t="s">
        <v>368</v>
      </c>
      <c r="C55" s="6" t="s">
        <v>208</v>
      </c>
      <c r="D55" s="6" t="s">
        <v>17</v>
      </c>
      <c r="E55" s="6" t="s">
        <v>369</v>
      </c>
      <c r="F55" s="5" t="n">
        <v>14</v>
      </c>
      <c r="G55" s="5" t="n">
        <v>99</v>
      </c>
      <c r="H55" s="5" t="n">
        <v>7</v>
      </c>
      <c r="I55" s="6" t="s">
        <v>370</v>
      </c>
      <c r="J55" s="6" t="s">
        <v>371</v>
      </c>
      <c r="K55" s="6" t="s">
        <v>372</v>
      </c>
      <c r="L55" s="6" t="s">
        <v>373</v>
      </c>
      <c r="M55" s="7" t="s">
        <v>374</v>
      </c>
    </row>
    <row r="56" customFormat="false" ht="42" hidden="false" customHeight="true" outlineLevel="0" collapsed="false">
      <c r="A56" s="5" t="n">
        <f aca="false">ROW()-3</f>
        <v>53</v>
      </c>
      <c r="B56" s="6" t="s">
        <v>375</v>
      </c>
      <c r="C56" s="6" t="s">
        <v>51</v>
      </c>
      <c r="D56" s="6" t="s">
        <v>33</v>
      </c>
      <c r="E56" s="6" t="s">
        <v>65</v>
      </c>
      <c r="F56" s="5" t="n">
        <v>0</v>
      </c>
      <c r="G56" s="5" t="n">
        <v>99</v>
      </c>
      <c r="H56" s="5" t="n">
        <v>3</v>
      </c>
      <c r="I56" s="6" t="s">
        <v>376</v>
      </c>
      <c r="J56" s="6" t="s">
        <v>377</v>
      </c>
      <c r="K56" s="6" t="s">
        <v>378</v>
      </c>
      <c r="L56" s="6" t="s">
        <v>379</v>
      </c>
      <c r="M56" s="7" t="s">
        <v>380</v>
      </c>
    </row>
    <row r="57" customFormat="false" ht="42" hidden="false" customHeight="true" outlineLevel="0" collapsed="false">
      <c r="A57" s="5" t="n">
        <f aca="false">ROW()-3</f>
        <v>54</v>
      </c>
      <c r="B57" s="6" t="s">
        <v>381</v>
      </c>
      <c r="C57" s="6" t="s">
        <v>162</v>
      </c>
      <c r="D57" s="6" t="s">
        <v>185</v>
      </c>
      <c r="E57" s="6" t="s">
        <v>382</v>
      </c>
      <c r="F57" s="5" t="n">
        <v>7</v>
      </c>
      <c r="G57" s="5" t="n">
        <v>9</v>
      </c>
      <c r="H57" s="5" t="n">
        <v>8</v>
      </c>
      <c r="I57" s="6" t="s">
        <v>383</v>
      </c>
      <c r="J57" s="6" t="s">
        <v>384</v>
      </c>
      <c r="K57" s="6" t="s">
        <v>385</v>
      </c>
      <c r="L57" s="6" t="s">
        <v>386</v>
      </c>
      <c r="M57" s="7" t="s">
        <v>387</v>
      </c>
    </row>
    <row r="58" customFormat="false" ht="42" hidden="false" customHeight="true" outlineLevel="0" collapsed="false">
      <c r="A58" s="5" t="n">
        <f aca="false">ROW()-3</f>
        <v>55</v>
      </c>
      <c r="B58" s="6" t="s">
        <v>388</v>
      </c>
      <c r="C58" s="6" t="s">
        <v>131</v>
      </c>
      <c r="D58" s="6" t="s">
        <v>389</v>
      </c>
      <c r="E58" s="6" t="s">
        <v>390</v>
      </c>
      <c r="F58" s="5" t="n">
        <v>5</v>
      </c>
      <c r="G58" s="5" t="n">
        <v>99</v>
      </c>
      <c r="H58" s="5" t="n">
        <v>11</v>
      </c>
      <c r="I58" s="6" t="s">
        <v>391</v>
      </c>
      <c r="J58" s="6" t="s">
        <v>392</v>
      </c>
      <c r="K58" s="6" t="s">
        <v>393</v>
      </c>
      <c r="L58" s="6" t="s">
        <v>394</v>
      </c>
      <c r="M58" s="7" t="s">
        <v>395</v>
      </c>
    </row>
    <row r="59" customFormat="false" ht="42" hidden="false" customHeight="true" outlineLevel="0" collapsed="false">
      <c r="A59" s="5" t="n">
        <f aca="false">ROW()-3</f>
        <v>56</v>
      </c>
      <c r="B59" s="6" t="s">
        <v>396</v>
      </c>
      <c r="C59" s="6" t="s">
        <v>397</v>
      </c>
      <c r="D59" s="6" t="s">
        <v>17</v>
      </c>
      <c r="E59" s="6" t="s">
        <v>172</v>
      </c>
      <c r="F59" s="5" t="n">
        <v>8</v>
      </c>
      <c r="G59" s="5" t="n">
        <v>17.9</v>
      </c>
      <c r="H59" s="5" t="n">
        <v>5</v>
      </c>
      <c r="I59" s="6" t="s">
        <v>398</v>
      </c>
      <c r="J59" s="6" t="s">
        <v>399</v>
      </c>
      <c r="K59" s="6" t="s">
        <v>400</v>
      </c>
      <c r="L59" s="6" t="s">
        <v>401</v>
      </c>
      <c r="M59" s="7" t="s">
        <v>402</v>
      </c>
    </row>
    <row r="60" customFormat="false" ht="42" hidden="false" customHeight="true" outlineLevel="0" collapsed="false">
      <c r="A60" s="5" t="n">
        <f aca="false">ROW()-3</f>
        <v>57</v>
      </c>
      <c r="B60" s="6" t="s">
        <v>403</v>
      </c>
      <c r="C60" s="6" t="s">
        <v>122</v>
      </c>
      <c r="D60" s="6" t="s">
        <v>17</v>
      </c>
      <c r="E60" s="6" t="s">
        <v>404</v>
      </c>
      <c r="F60" s="5" t="n">
        <v>11</v>
      </c>
      <c r="G60" s="5" t="n">
        <v>99</v>
      </c>
      <c r="H60" s="5" t="n">
        <v>4</v>
      </c>
      <c r="I60" s="6" t="s">
        <v>405</v>
      </c>
      <c r="J60" s="6" t="s">
        <v>406</v>
      </c>
      <c r="K60" s="6" t="s">
        <v>407</v>
      </c>
      <c r="L60" s="6" t="s">
        <v>408</v>
      </c>
      <c r="M60" s="7" t="s">
        <v>409</v>
      </c>
    </row>
    <row r="61" customFormat="false" ht="42" hidden="false" customHeight="true" outlineLevel="0" collapsed="false">
      <c r="A61" s="5" t="n">
        <f aca="false">ROW()-3</f>
        <v>58</v>
      </c>
      <c r="B61" s="6" t="s">
        <v>410</v>
      </c>
      <c r="C61" s="6" t="s">
        <v>122</v>
      </c>
      <c r="D61" s="6" t="s">
        <v>17</v>
      </c>
      <c r="E61" s="6" t="s">
        <v>411</v>
      </c>
      <c r="F61" s="5" t="n">
        <v>10</v>
      </c>
      <c r="G61" s="5" t="n">
        <v>99</v>
      </c>
      <c r="H61" s="5" t="n">
        <v>6</v>
      </c>
      <c r="I61" s="6" t="s">
        <v>412</v>
      </c>
      <c r="J61" s="6" t="s">
        <v>413</v>
      </c>
      <c r="K61" s="6" t="s">
        <v>414</v>
      </c>
      <c r="L61" s="6" t="s">
        <v>415</v>
      </c>
      <c r="M61" s="7" t="s">
        <v>416</v>
      </c>
    </row>
    <row r="62" customFormat="false" ht="42" hidden="false" customHeight="true" outlineLevel="0" collapsed="false">
      <c r="A62" s="5" t="n">
        <f aca="false">ROW()-3</f>
        <v>59</v>
      </c>
      <c r="B62" s="6" t="s">
        <v>417</v>
      </c>
      <c r="C62" s="6" t="s">
        <v>122</v>
      </c>
      <c r="D62" s="6" t="s">
        <v>17</v>
      </c>
      <c r="E62" s="6" t="s">
        <v>404</v>
      </c>
      <c r="F62" s="5" t="n">
        <v>11</v>
      </c>
      <c r="G62" s="5" t="n">
        <v>99</v>
      </c>
      <c r="H62" s="5" t="n">
        <v>5</v>
      </c>
      <c r="I62" s="6" t="s">
        <v>418</v>
      </c>
      <c r="J62" s="6" t="s">
        <v>419</v>
      </c>
      <c r="K62" s="6" t="s">
        <v>420</v>
      </c>
      <c r="L62" s="6" t="s">
        <v>421</v>
      </c>
      <c r="M62" s="7" t="s">
        <v>422</v>
      </c>
    </row>
    <row r="63" customFormat="false" ht="42" hidden="false" customHeight="true" outlineLevel="0" collapsed="false">
      <c r="A63" s="5" t="n">
        <f aca="false">ROW()-3</f>
        <v>60</v>
      </c>
      <c r="B63" s="6" t="s">
        <v>423</v>
      </c>
      <c r="C63" s="6" t="s">
        <v>424</v>
      </c>
      <c r="D63" s="6" t="s">
        <v>270</v>
      </c>
      <c r="E63" s="6" t="s">
        <v>425</v>
      </c>
      <c r="F63" s="5" t="n">
        <v>12</v>
      </c>
      <c r="G63" s="5" t="n">
        <v>99</v>
      </c>
      <c r="H63" s="5" t="n">
        <v>6</v>
      </c>
      <c r="I63" s="6" t="s">
        <v>426</v>
      </c>
      <c r="J63" s="6" t="s">
        <v>427</v>
      </c>
      <c r="K63" s="6" t="s">
        <v>428</v>
      </c>
      <c r="L63" s="6" t="s">
        <v>429</v>
      </c>
      <c r="M63" s="7" t="s">
        <v>430</v>
      </c>
    </row>
    <row r="64" customFormat="false" ht="42" hidden="false" customHeight="true" outlineLevel="0" collapsed="false">
      <c r="A64" s="5" t="n">
        <f aca="false">ROW()-3</f>
        <v>61</v>
      </c>
      <c r="B64" s="6" t="s">
        <v>431</v>
      </c>
      <c r="C64" s="6" t="s">
        <v>424</v>
      </c>
      <c r="D64" s="6" t="s">
        <v>270</v>
      </c>
      <c r="E64" s="6" t="s">
        <v>425</v>
      </c>
      <c r="F64" s="5" t="n">
        <v>12</v>
      </c>
      <c r="G64" s="5" t="n">
        <v>99</v>
      </c>
      <c r="H64" s="5" t="n">
        <v>4</v>
      </c>
      <c r="I64" s="6" t="s">
        <v>432</v>
      </c>
      <c r="J64" s="6" t="s">
        <v>433</v>
      </c>
      <c r="K64" s="6" t="s">
        <v>434</v>
      </c>
      <c r="L64" s="6" t="s">
        <v>435</v>
      </c>
      <c r="M64" s="7" t="s">
        <v>436</v>
      </c>
    </row>
    <row r="65" customFormat="false" ht="42" hidden="false" customHeight="true" outlineLevel="0" collapsed="false">
      <c r="A65" s="5" t="n">
        <f aca="false">ROW()-3</f>
        <v>62</v>
      </c>
      <c r="B65" s="6" t="s">
        <v>437</v>
      </c>
      <c r="C65" s="6" t="s">
        <v>438</v>
      </c>
      <c r="D65" s="6" t="s">
        <v>439</v>
      </c>
      <c r="E65" s="6" t="s">
        <v>440</v>
      </c>
      <c r="F65" s="5" t="n">
        <v>0.3</v>
      </c>
      <c r="G65" s="5" t="n">
        <v>0.6</v>
      </c>
      <c r="H65" s="5" t="n">
        <v>7</v>
      </c>
      <c r="I65" s="6" t="s">
        <v>441</v>
      </c>
      <c r="J65" s="6" t="s">
        <v>442</v>
      </c>
      <c r="K65" s="6" t="s">
        <v>443</v>
      </c>
      <c r="L65" s="6" t="s">
        <v>444</v>
      </c>
      <c r="M65" s="7" t="s">
        <v>445</v>
      </c>
    </row>
    <row r="66" customFormat="false" ht="42" hidden="false" customHeight="true" outlineLevel="0" collapsed="false">
      <c r="A66" s="5" t="n">
        <f aca="false">ROW()-3</f>
        <v>63</v>
      </c>
      <c r="B66" s="6" t="s">
        <v>446</v>
      </c>
      <c r="C66" s="6" t="s">
        <v>208</v>
      </c>
      <c r="D66" s="6" t="s">
        <v>33</v>
      </c>
      <c r="E66" s="6" t="s">
        <v>447</v>
      </c>
      <c r="F66" s="5" t="n">
        <v>3</v>
      </c>
      <c r="G66" s="5" t="n">
        <v>17.9</v>
      </c>
      <c r="H66" s="5" t="n">
        <v>3</v>
      </c>
      <c r="I66" s="6" t="s">
        <v>448</v>
      </c>
      <c r="J66" s="6" t="s">
        <v>449</v>
      </c>
      <c r="K66" s="6" t="s">
        <v>450</v>
      </c>
      <c r="L66" s="6" t="s">
        <v>451</v>
      </c>
      <c r="M66" s="7" t="s">
        <v>452</v>
      </c>
    </row>
    <row r="67" customFormat="false" ht="42" hidden="false" customHeight="true" outlineLevel="0" collapsed="false">
      <c r="A67" s="5" t="n">
        <f aca="false">ROW()-3</f>
        <v>64</v>
      </c>
      <c r="B67" s="6" t="s">
        <v>453</v>
      </c>
      <c r="C67" s="6" t="s">
        <v>208</v>
      </c>
      <c r="D67" s="6" t="s">
        <v>156</v>
      </c>
      <c r="E67" s="6" t="s">
        <v>447</v>
      </c>
      <c r="F67" s="5" t="n">
        <v>3</v>
      </c>
      <c r="G67" s="5" t="n">
        <v>17.9</v>
      </c>
      <c r="H67" s="5" t="n">
        <v>3</v>
      </c>
      <c r="I67" s="6" t="s">
        <v>454</v>
      </c>
      <c r="J67" s="6" t="s">
        <v>449</v>
      </c>
      <c r="K67" s="6" t="s">
        <v>455</v>
      </c>
      <c r="L67" s="6" t="s">
        <v>456</v>
      </c>
      <c r="M67" s="7" t="s">
        <v>457</v>
      </c>
    </row>
    <row r="68" customFormat="false" ht="42" hidden="false" customHeight="true" outlineLevel="0" collapsed="false">
      <c r="A68" s="5" t="n">
        <f aca="false">ROW()-3</f>
        <v>65</v>
      </c>
      <c r="B68" s="6" t="s">
        <v>458</v>
      </c>
      <c r="C68" s="6" t="s">
        <v>208</v>
      </c>
      <c r="D68" s="6" t="s">
        <v>17</v>
      </c>
      <c r="E68" s="6" t="s">
        <v>459</v>
      </c>
      <c r="F68" s="5" t="n">
        <v>9</v>
      </c>
      <c r="G68" s="5" t="n">
        <v>17</v>
      </c>
      <c r="H68" s="5" t="n">
        <v>4</v>
      </c>
      <c r="I68" s="6" t="s">
        <v>460</v>
      </c>
      <c r="J68" s="6" t="s">
        <v>461</v>
      </c>
      <c r="K68" s="6" t="s">
        <v>462</v>
      </c>
      <c r="L68" s="6" t="s">
        <v>463</v>
      </c>
      <c r="M68" s="7" t="s">
        <v>464</v>
      </c>
    </row>
    <row r="69" customFormat="false" ht="42" hidden="false" customHeight="true" outlineLevel="0" collapsed="false">
      <c r="A69" s="5" t="n">
        <f aca="false">ROW()-3</f>
        <v>66</v>
      </c>
      <c r="B69" s="6" t="s">
        <v>465</v>
      </c>
      <c r="C69" s="6" t="s">
        <v>208</v>
      </c>
      <c r="D69" s="6" t="s">
        <v>17</v>
      </c>
      <c r="E69" s="6" t="s">
        <v>466</v>
      </c>
      <c r="F69" s="5" t="n">
        <v>10</v>
      </c>
      <c r="G69" s="5" t="n">
        <v>19</v>
      </c>
      <c r="H69" s="5" t="n">
        <v>2</v>
      </c>
      <c r="I69" s="6" t="s">
        <v>467</v>
      </c>
      <c r="J69" s="6" t="s">
        <v>468</v>
      </c>
      <c r="K69" s="6" t="s">
        <v>469</v>
      </c>
      <c r="L69" s="6" t="s">
        <v>470</v>
      </c>
      <c r="M69" s="7" t="s">
        <v>471</v>
      </c>
    </row>
    <row r="70" customFormat="false" ht="42" hidden="false" customHeight="true" outlineLevel="0" collapsed="false">
      <c r="A70" s="5" t="n">
        <f aca="false">ROW()-3</f>
        <v>67</v>
      </c>
      <c r="B70" s="6" t="s">
        <v>472</v>
      </c>
      <c r="C70" s="6" t="s">
        <v>278</v>
      </c>
      <c r="D70" s="6" t="s">
        <v>473</v>
      </c>
      <c r="E70" s="6" t="s">
        <v>474</v>
      </c>
      <c r="F70" s="5" t="n">
        <v>1</v>
      </c>
      <c r="G70" s="5" t="n">
        <v>8.2</v>
      </c>
      <c r="H70" s="5" t="n">
        <v>7</v>
      </c>
      <c r="I70" s="6" t="s">
        <v>475</v>
      </c>
      <c r="J70" s="6" t="s">
        <v>476</v>
      </c>
      <c r="K70" s="6" t="s">
        <v>477</v>
      </c>
      <c r="L70" s="6" t="s">
        <v>478</v>
      </c>
      <c r="M70" s="7" t="s">
        <v>479</v>
      </c>
    </row>
    <row r="71" customFormat="false" ht="42" hidden="false" customHeight="true" outlineLevel="0" collapsed="false">
      <c r="A71" s="5" t="n">
        <f aca="false">ROW()-3</f>
        <v>68</v>
      </c>
      <c r="B71" s="6" t="s">
        <v>480</v>
      </c>
      <c r="C71" s="6" t="s">
        <v>278</v>
      </c>
      <c r="D71" s="6" t="s">
        <v>481</v>
      </c>
      <c r="E71" s="6" t="s">
        <v>482</v>
      </c>
      <c r="F71" s="5" t="n">
        <v>0</v>
      </c>
      <c r="G71" s="5" t="n">
        <v>83.2</v>
      </c>
      <c r="H71" s="5" t="n">
        <v>7</v>
      </c>
      <c r="I71" s="6" t="s">
        <v>483</v>
      </c>
      <c r="J71" s="6" t="s">
        <v>484</v>
      </c>
      <c r="K71" s="6" t="s">
        <v>485</v>
      </c>
      <c r="L71" s="6" t="s">
        <v>486</v>
      </c>
      <c r="M71" s="7" t="s">
        <v>487</v>
      </c>
    </row>
    <row r="72" customFormat="false" ht="42" hidden="false" customHeight="true" outlineLevel="0" collapsed="false">
      <c r="A72" s="5" t="n">
        <f aca="false">ROW()-3</f>
        <v>69</v>
      </c>
      <c r="B72" s="6" t="s">
        <v>488</v>
      </c>
      <c r="C72" s="6" t="s">
        <v>278</v>
      </c>
      <c r="D72" s="6" t="s">
        <v>481</v>
      </c>
      <c r="E72" s="6" t="s">
        <v>482</v>
      </c>
      <c r="F72" s="5" t="n">
        <v>0</v>
      </c>
      <c r="G72" s="5" t="n">
        <v>83.2</v>
      </c>
      <c r="H72" s="5" t="n">
        <v>2</v>
      </c>
      <c r="I72" s="6" t="s">
        <v>489</v>
      </c>
      <c r="J72" s="6" t="s">
        <v>490</v>
      </c>
      <c r="K72" s="6" t="s">
        <v>491</v>
      </c>
      <c r="L72" s="6" t="s">
        <v>492</v>
      </c>
      <c r="M72" s="7" t="s">
        <v>493</v>
      </c>
    </row>
    <row r="73" customFormat="false" ht="42" hidden="false" customHeight="true" outlineLevel="0" collapsed="false">
      <c r="A73" s="5" t="n">
        <f aca="false">ROW()-3</f>
        <v>70</v>
      </c>
      <c r="B73" s="6" t="s">
        <v>494</v>
      </c>
      <c r="C73" s="6" t="s">
        <v>278</v>
      </c>
      <c r="D73" s="6" t="s">
        <v>17</v>
      </c>
      <c r="E73" s="6" t="s">
        <v>495</v>
      </c>
      <c r="F73" s="5" t="n">
        <v>11</v>
      </c>
      <c r="G73" s="5" t="n">
        <v>17.9</v>
      </c>
      <c r="H73" s="5" t="n">
        <v>6</v>
      </c>
      <c r="I73" s="6" t="s">
        <v>496</v>
      </c>
      <c r="J73" s="6" t="s">
        <v>497</v>
      </c>
      <c r="K73" s="6" t="s">
        <v>498</v>
      </c>
      <c r="L73" s="6" t="s">
        <v>499</v>
      </c>
      <c r="M73" s="7" t="s">
        <v>500</v>
      </c>
    </row>
    <row r="74" customFormat="false" ht="42" hidden="false" customHeight="true" outlineLevel="0" collapsed="false">
      <c r="A74" s="5" t="n">
        <f aca="false">ROW()-3</f>
        <v>71</v>
      </c>
      <c r="B74" s="6" t="s">
        <v>501</v>
      </c>
      <c r="C74" s="6" t="s">
        <v>278</v>
      </c>
      <c r="D74" s="6" t="s">
        <v>17</v>
      </c>
      <c r="E74" s="6" t="s">
        <v>502</v>
      </c>
      <c r="F74" s="5" t="n">
        <v>7</v>
      </c>
      <c r="G74" s="5" t="n">
        <v>10.9</v>
      </c>
      <c r="H74" s="5" t="n">
        <v>6</v>
      </c>
      <c r="I74" s="6" t="s">
        <v>503</v>
      </c>
      <c r="J74" s="6" t="s">
        <v>497</v>
      </c>
      <c r="K74" s="6" t="s">
        <v>504</v>
      </c>
      <c r="L74" s="6" t="s">
        <v>505</v>
      </c>
      <c r="M74" s="7" t="s">
        <v>506</v>
      </c>
    </row>
    <row r="75" customFormat="false" ht="42" hidden="false" customHeight="true" outlineLevel="0" collapsed="false">
      <c r="A75" s="5" t="n">
        <f aca="false">ROW()-3</f>
        <v>72</v>
      </c>
      <c r="B75" s="6" t="s">
        <v>507</v>
      </c>
      <c r="C75" s="6" t="s">
        <v>278</v>
      </c>
      <c r="D75" s="6" t="s">
        <v>33</v>
      </c>
      <c r="E75" s="6" t="s">
        <v>508</v>
      </c>
      <c r="F75" s="5" t="n">
        <v>7</v>
      </c>
      <c r="G75" s="5" t="n">
        <v>17.9</v>
      </c>
      <c r="H75" s="5" t="n">
        <v>7</v>
      </c>
      <c r="I75" s="6" t="s">
        <v>509</v>
      </c>
      <c r="J75" s="6" t="s">
        <v>510</v>
      </c>
      <c r="K75" s="6" t="s">
        <v>511</v>
      </c>
      <c r="L75" s="6" t="s">
        <v>512</v>
      </c>
      <c r="M75" s="7" t="s">
        <v>513</v>
      </c>
    </row>
    <row r="76" customFormat="false" ht="42" hidden="false" customHeight="true" outlineLevel="0" collapsed="false">
      <c r="A76" s="5" t="n">
        <f aca="false">ROW()-3</f>
        <v>73</v>
      </c>
      <c r="B76" s="6" t="s">
        <v>514</v>
      </c>
      <c r="C76" s="6" t="s">
        <v>278</v>
      </c>
      <c r="D76" s="6" t="s">
        <v>17</v>
      </c>
      <c r="E76" s="6" t="s">
        <v>495</v>
      </c>
      <c r="F76" s="5" t="n">
        <v>11</v>
      </c>
      <c r="G76" s="5" t="n">
        <v>17.9</v>
      </c>
      <c r="H76" s="5" t="n">
        <v>6</v>
      </c>
      <c r="I76" s="6" t="s">
        <v>515</v>
      </c>
      <c r="J76" s="6" t="s">
        <v>516</v>
      </c>
      <c r="K76" s="6" t="s">
        <v>517</v>
      </c>
      <c r="L76" s="6" t="s">
        <v>518</v>
      </c>
      <c r="M76" s="7" t="s">
        <v>519</v>
      </c>
    </row>
    <row r="77" customFormat="false" ht="42" hidden="false" customHeight="true" outlineLevel="0" collapsed="false">
      <c r="A77" s="5" t="n">
        <f aca="false">ROW()-3</f>
        <v>74</v>
      </c>
      <c r="B77" s="6" t="s">
        <v>520</v>
      </c>
      <c r="C77" s="6" t="s">
        <v>278</v>
      </c>
      <c r="D77" s="6" t="s">
        <v>17</v>
      </c>
      <c r="E77" s="6" t="s">
        <v>502</v>
      </c>
      <c r="F77" s="5" t="n">
        <v>7</v>
      </c>
      <c r="G77" s="5" t="n">
        <v>10.9</v>
      </c>
      <c r="H77" s="5" t="n">
        <v>6</v>
      </c>
      <c r="I77" s="6" t="s">
        <v>521</v>
      </c>
      <c r="J77" s="6" t="s">
        <v>516</v>
      </c>
      <c r="K77" s="6" t="s">
        <v>522</v>
      </c>
      <c r="L77" s="6" t="s">
        <v>523</v>
      </c>
      <c r="M77" s="7" t="s">
        <v>524</v>
      </c>
    </row>
    <row r="78" customFormat="false" ht="42" hidden="false" customHeight="true" outlineLevel="0" collapsed="false">
      <c r="A78" s="5" t="n">
        <f aca="false">ROW()-3</f>
        <v>75</v>
      </c>
      <c r="B78" s="6" t="s">
        <v>525</v>
      </c>
      <c r="C78" s="6" t="s">
        <v>278</v>
      </c>
      <c r="D78" s="6" t="s">
        <v>33</v>
      </c>
      <c r="E78" s="6" t="s">
        <v>526</v>
      </c>
      <c r="F78" s="5" t="n">
        <v>2</v>
      </c>
      <c r="G78" s="5" t="n">
        <v>17.9</v>
      </c>
      <c r="H78" s="5" t="n">
        <v>6</v>
      </c>
      <c r="I78" s="6" t="s">
        <v>527</v>
      </c>
      <c r="J78" s="6" t="s">
        <v>528</v>
      </c>
      <c r="K78" s="6" t="s">
        <v>529</v>
      </c>
      <c r="L78" s="6" t="s">
        <v>530</v>
      </c>
      <c r="M78" s="7" t="s">
        <v>531</v>
      </c>
    </row>
    <row r="79" customFormat="false" ht="42" hidden="false" customHeight="true" outlineLevel="0" collapsed="false">
      <c r="A79" s="5" t="n">
        <f aca="false">ROW()-3</f>
        <v>76</v>
      </c>
      <c r="B79" s="6" t="s">
        <v>532</v>
      </c>
      <c r="C79" s="6" t="s">
        <v>217</v>
      </c>
      <c r="D79" s="6" t="s">
        <v>17</v>
      </c>
      <c r="E79" s="6" t="s">
        <v>263</v>
      </c>
      <c r="F79" s="5" t="n">
        <v>8</v>
      </c>
      <c r="G79" s="5" t="n">
        <v>17.9</v>
      </c>
      <c r="H79" s="5" t="n">
        <v>7</v>
      </c>
      <c r="I79" s="6" t="s">
        <v>533</v>
      </c>
      <c r="J79" s="6" t="s">
        <v>534</v>
      </c>
      <c r="K79" s="6" t="s">
        <v>535</v>
      </c>
      <c r="L79" s="6" t="s">
        <v>536</v>
      </c>
      <c r="M79" s="7" t="s">
        <v>537</v>
      </c>
    </row>
    <row r="80" customFormat="false" ht="42" hidden="false" customHeight="true" outlineLevel="0" collapsed="false">
      <c r="A80" s="5" t="n">
        <f aca="false">ROW()-3</f>
        <v>77</v>
      </c>
      <c r="B80" s="6" t="s">
        <v>538</v>
      </c>
      <c r="C80" s="6" t="s">
        <v>162</v>
      </c>
      <c r="D80" s="6" t="s">
        <v>539</v>
      </c>
      <c r="E80" s="6" t="s">
        <v>263</v>
      </c>
      <c r="F80" s="5" t="n">
        <v>8</v>
      </c>
      <c r="G80" s="5" t="n">
        <v>17</v>
      </c>
      <c r="H80" s="5" t="n">
        <v>4</v>
      </c>
      <c r="I80" s="6" t="s">
        <v>540</v>
      </c>
      <c r="J80" s="6" t="s">
        <v>541</v>
      </c>
      <c r="K80" s="6" t="s">
        <v>542</v>
      </c>
      <c r="L80" s="6" t="s">
        <v>543</v>
      </c>
      <c r="M80" s="7" t="s">
        <v>544</v>
      </c>
    </row>
    <row r="81" customFormat="false" ht="42" hidden="false" customHeight="true" outlineLevel="0" collapsed="false">
      <c r="A81" s="5" t="n">
        <f aca="false">ROW()-3</f>
        <v>78</v>
      </c>
      <c r="B81" s="6" t="s">
        <v>545</v>
      </c>
      <c r="C81" s="6" t="s">
        <v>546</v>
      </c>
      <c r="D81" s="6" t="s">
        <v>17</v>
      </c>
      <c r="E81" s="6" t="s">
        <v>164</v>
      </c>
      <c r="F81" s="5" t="n">
        <v>13</v>
      </c>
      <c r="G81" s="5" t="n">
        <v>99</v>
      </c>
      <c r="H81" s="5" t="n">
        <v>16</v>
      </c>
      <c r="I81" s="6" t="s">
        <v>547</v>
      </c>
      <c r="J81" s="6" t="s">
        <v>548</v>
      </c>
      <c r="K81" s="6" t="s">
        <v>549</v>
      </c>
      <c r="L81" s="6" t="s">
        <v>550</v>
      </c>
      <c r="M81" s="7" t="s">
        <v>551</v>
      </c>
    </row>
    <row r="82" customFormat="false" ht="42" hidden="false" customHeight="true" outlineLevel="0" collapsed="false">
      <c r="A82" s="5" t="n">
        <f aca="false">ROW()-3</f>
        <v>79</v>
      </c>
      <c r="B82" s="6" t="s">
        <v>552</v>
      </c>
      <c r="C82" s="6" t="s">
        <v>546</v>
      </c>
      <c r="D82" s="6" t="s">
        <v>17</v>
      </c>
      <c r="E82" s="6" t="s">
        <v>553</v>
      </c>
      <c r="F82" s="5" t="n">
        <v>8</v>
      </c>
      <c r="G82" s="5" t="n">
        <v>12.9</v>
      </c>
      <c r="H82" s="5" t="n">
        <v>16</v>
      </c>
      <c r="I82" s="6" t="s">
        <v>554</v>
      </c>
      <c r="J82" s="6" t="s">
        <v>548</v>
      </c>
      <c r="K82" s="6" t="s">
        <v>555</v>
      </c>
      <c r="L82" s="6" t="s">
        <v>556</v>
      </c>
      <c r="M82" s="7" t="s">
        <v>557</v>
      </c>
    </row>
    <row r="83" customFormat="false" ht="42" hidden="false" customHeight="true" outlineLevel="0" collapsed="false">
      <c r="A83" s="5" t="n">
        <f aca="false">ROW()-3</f>
        <v>80</v>
      </c>
      <c r="B83" s="6" t="s">
        <v>558</v>
      </c>
      <c r="C83" s="6" t="s">
        <v>546</v>
      </c>
      <c r="D83" s="6" t="s">
        <v>559</v>
      </c>
      <c r="E83" s="6" t="s">
        <v>95</v>
      </c>
      <c r="F83" s="5" t="n">
        <v>6</v>
      </c>
      <c r="G83" s="5" t="n">
        <v>17.9</v>
      </c>
      <c r="H83" s="5" t="n">
        <v>16</v>
      </c>
      <c r="I83" s="6" t="s">
        <v>560</v>
      </c>
      <c r="J83" s="6" t="s">
        <v>548</v>
      </c>
      <c r="K83" s="6" t="s">
        <v>561</v>
      </c>
      <c r="L83" s="6" t="s">
        <v>562</v>
      </c>
      <c r="M83" s="7" t="s">
        <v>563</v>
      </c>
    </row>
    <row r="84" customFormat="false" ht="42" hidden="false" customHeight="true" outlineLevel="0" collapsed="false">
      <c r="A84" s="5" t="n">
        <f aca="false">ROW()-3</f>
        <v>81</v>
      </c>
      <c r="B84" s="6" t="s">
        <v>564</v>
      </c>
      <c r="C84" s="6" t="s">
        <v>546</v>
      </c>
      <c r="D84" s="6" t="s">
        <v>565</v>
      </c>
      <c r="E84" s="6" t="s">
        <v>566</v>
      </c>
      <c r="F84" s="5" t="n">
        <v>14</v>
      </c>
      <c r="G84" s="5" t="n">
        <v>99</v>
      </c>
      <c r="H84" s="5" t="n">
        <v>5</v>
      </c>
      <c r="I84" s="6" t="s">
        <v>567</v>
      </c>
      <c r="J84" s="6" t="s">
        <v>568</v>
      </c>
      <c r="K84" s="6" t="s">
        <v>569</v>
      </c>
      <c r="L84" s="6" t="s">
        <v>570</v>
      </c>
      <c r="M84" s="7" t="s">
        <v>571</v>
      </c>
    </row>
    <row r="85" customFormat="false" ht="42" hidden="false" customHeight="true" outlineLevel="0" collapsed="false">
      <c r="A85" s="5" t="n">
        <f aca="false">ROW()-3</f>
        <v>82</v>
      </c>
      <c r="B85" s="6" t="s">
        <v>572</v>
      </c>
      <c r="C85" s="6" t="s">
        <v>546</v>
      </c>
      <c r="D85" s="6" t="s">
        <v>565</v>
      </c>
      <c r="E85" s="6" t="s">
        <v>573</v>
      </c>
      <c r="F85" s="5" t="n">
        <v>14</v>
      </c>
      <c r="G85" s="5" t="n">
        <v>99</v>
      </c>
      <c r="H85" s="5" t="n">
        <v>15</v>
      </c>
      <c r="I85" s="6" t="s">
        <v>574</v>
      </c>
      <c r="J85" s="6" t="s">
        <v>575</v>
      </c>
      <c r="K85" s="6" t="s">
        <v>576</v>
      </c>
      <c r="L85" s="6" t="s">
        <v>577</v>
      </c>
      <c r="M85" s="7" t="s">
        <v>578</v>
      </c>
    </row>
    <row r="86" customFormat="false" ht="42" hidden="false" customHeight="true" outlineLevel="0" collapsed="false">
      <c r="A86" s="5" t="n">
        <f aca="false">ROW()-3</f>
        <v>83</v>
      </c>
      <c r="B86" s="6" t="s">
        <v>579</v>
      </c>
      <c r="C86" s="6" t="s">
        <v>162</v>
      </c>
      <c r="D86" s="6" t="s">
        <v>580</v>
      </c>
      <c r="E86" s="6" t="s">
        <v>581</v>
      </c>
      <c r="F86" s="5" t="n">
        <v>12</v>
      </c>
      <c r="G86" s="5" t="n">
        <v>25</v>
      </c>
      <c r="H86" s="5" t="n">
        <v>8</v>
      </c>
      <c r="I86" s="6" t="s">
        <v>582</v>
      </c>
      <c r="J86" s="6" t="s">
        <v>583</v>
      </c>
      <c r="K86" s="6" t="s">
        <v>584</v>
      </c>
      <c r="L86" s="6" t="s">
        <v>585</v>
      </c>
      <c r="M86" s="7" t="s">
        <v>586</v>
      </c>
    </row>
    <row r="87" customFormat="false" ht="42" hidden="false" customHeight="true" outlineLevel="0" collapsed="false">
      <c r="A87" s="5" t="n">
        <f aca="false">ROW()-3</f>
        <v>84</v>
      </c>
      <c r="B87" s="6" t="s">
        <v>587</v>
      </c>
      <c r="C87" s="6" t="s">
        <v>208</v>
      </c>
      <c r="D87" s="6" t="s">
        <v>588</v>
      </c>
      <c r="E87" s="6" t="s">
        <v>172</v>
      </c>
      <c r="F87" s="5" t="n">
        <v>8</v>
      </c>
      <c r="G87" s="5" t="n">
        <v>18.9</v>
      </c>
      <c r="H87" s="5" t="n">
        <v>5</v>
      </c>
      <c r="I87" s="6" t="s">
        <v>589</v>
      </c>
      <c r="J87" s="6" t="s">
        <v>590</v>
      </c>
      <c r="K87" s="6" t="s">
        <v>591</v>
      </c>
      <c r="L87" s="6" t="s">
        <v>592</v>
      </c>
      <c r="M87" s="7" t="s">
        <v>593</v>
      </c>
    </row>
    <row r="88" customFormat="false" ht="42" hidden="false" customHeight="true" outlineLevel="0" collapsed="false">
      <c r="A88" s="5" t="n">
        <f aca="false">ROW()-3</f>
        <v>85</v>
      </c>
      <c r="B88" s="6" t="s">
        <v>594</v>
      </c>
      <c r="C88" s="6" t="s">
        <v>217</v>
      </c>
      <c r="D88" s="6" t="s">
        <v>17</v>
      </c>
      <c r="E88" s="6" t="s">
        <v>595</v>
      </c>
      <c r="F88" s="5" t="n">
        <v>6</v>
      </c>
      <c r="G88" s="5" t="n">
        <v>14.9</v>
      </c>
      <c r="H88" s="5" t="n">
        <v>5</v>
      </c>
      <c r="I88" s="6" t="s">
        <v>596</v>
      </c>
      <c r="J88" s="6" t="s">
        <v>597</v>
      </c>
      <c r="K88" s="6" t="s">
        <v>598</v>
      </c>
      <c r="L88" s="6" t="s">
        <v>599</v>
      </c>
      <c r="M88" s="7" t="s">
        <v>600</v>
      </c>
    </row>
    <row r="89" customFormat="false" ht="42" hidden="false" customHeight="true" outlineLevel="0" collapsed="false">
      <c r="A89" s="5" t="n">
        <f aca="false">ROW()-3</f>
        <v>86</v>
      </c>
      <c r="B89" s="6" t="s">
        <v>601</v>
      </c>
      <c r="C89" s="6" t="s">
        <v>546</v>
      </c>
      <c r="D89" s="6" t="s">
        <v>565</v>
      </c>
      <c r="E89" s="6" t="s">
        <v>602</v>
      </c>
      <c r="F89" s="5" t="n">
        <v>14</v>
      </c>
      <c r="G89" s="5" t="n">
        <v>99</v>
      </c>
      <c r="H89" s="5" t="n">
        <v>15</v>
      </c>
      <c r="I89" s="6" t="s">
        <v>603</v>
      </c>
      <c r="J89" s="6" t="s">
        <v>604</v>
      </c>
      <c r="K89" s="6" t="s">
        <v>605</v>
      </c>
      <c r="L89" s="6" t="s">
        <v>606</v>
      </c>
      <c r="M89" s="7" t="s">
        <v>607</v>
      </c>
    </row>
    <row r="90" customFormat="false" ht="42" hidden="false" customHeight="true" outlineLevel="0" collapsed="false">
      <c r="A90" s="5" t="n">
        <f aca="false">ROW()-3</f>
        <v>87</v>
      </c>
      <c r="B90" s="6" t="s">
        <v>608</v>
      </c>
      <c r="C90" s="6" t="s">
        <v>424</v>
      </c>
      <c r="D90" s="6" t="s">
        <v>17</v>
      </c>
      <c r="E90" s="6" t="s">
        <v>609</v>
      </c>
      <c r="F90" s="5" t="n">
        <v>9</v>
      </c>
      <c r="G90" s="5" t="n">
        <v>17.9</v>
      </c>
      <c r="H90" s="5" t="n">
        <v>6</v>
      </c>
      <c r="I90" s="6" t="s">
        <v>610</v>
      </c>
      <c r="J90" s="6" t="s">
        <v>611</v>
      </c>
      <c r="K90" s="6" t="s">
        <v>612</v>
      </c>
      <c r="L90" s="6" t="s">
        <v>613</v>
      </c>
      <c r="M90" s="7" t="s">
        <v>614</v>
      </c>
    </row>
    <row r="91" customFormat="false" ht="42" hidden="false" customHeight="true" outlineLevel="0" collapsed="false">
      <c r="A91" s="5" t="n">
        <f aca="false">ROW()-3</f>
        <v>88</v>
      </c>
      <c r="B91" s="6" t="s">
        <v>615</v>
      </c>
      <c r="C91" s="6" t="s">
        <v>208</v>
      </c>
      <c r="D91" s="6" t="s">
        <v>270</v>
      </c>
      <c r="E91" s="6" t="s">
        <v>616</v>
      </c>
      <c r="F91" s="5" t="n">
        <v>13</v>
      </c>
      <c r="G91" s="5" t="n">
        <v>18.9</v>
      </c>
      <c r="H91" s="5" t="n">
        <v>6</v>
      </c>
      <c r="I91" s="6" t="s">
        <v>617</v>
      </c>
      <c r="J91" s="6" t="s">
        <v>618</v>
      </c>
      <c r="K91" s="6" t="s">
        <v>619</v>
      </c>
      <c r="L91" s="6" t="s">
        <v>620</v>
      </c>
      <c r="M91" s="7" t="s">
        <v>621</v>
      </c>
    </row>
    <row r="92" customFormat="false" ht="42" hidden="false" customHeight="true" outlineLevel="0" collapsed="false">
      <c r="A92" s="5" t="n">
        <f aca="false">ROW()-3</f>
        <v>89</v>
      </c>
      <c r="B92" s="6" t="s">
        <v>622</v>
      </c>
      <c r="C92" s="6" t="s">
        <v>208</v>
      </c>
      <c r="D92" s="6" t="s">
        <v>623</v>
      </c>
      <c r="E92" s="6" t="s">
        <v>624</v>
      </c>
      <c r="F92" s="5" t="n">
        <v>7</v>
      </c>
      <c r="G92" s="5" t="n">
        <v>12.9</v>
      </c>
      <c r="H92" s="5" t="n">
        <v>5</v>
      </c>
      <c r="I92" s="6" t="s">
        <v>625</v>
      </c>
      <c r="J92" s="6" t="s">
        <v>626</v>
      </c>
      <c r="K92" s="6" t="s">
        <v>627</v>
      </c>
      <c r="L92" s="6" t="s">
        <v>628</v>
      </c>
      <c r="M92" s="7" t="s">
        <v>629</v>
      </c>
    </row>
    <row r="93" customFormat="false" ht="42" hidden="false" customHeight="true" outlineLevel="0" collapsed="false">
      <c r="A93" s="5" t="n">
        <f aca="false">ROW()-3</f>
        <v>90</v>
      </c>
      <c r="B93" s="6" t="s">
        <v>630</v>
      </c>
      <c r="C93" s="6" t="s">
        <v>16</v>
      </c>
      <c r="D93" s="6" t="s">
        <v>33</v>
      </c>
      <c r="E93" s="6" t="s">
        <v>631</v>
      </c>
      <c r="F93" s="5" t="n">
        <v>1.5</v>
      </c>
      <c r="G93" s="5" t="n">
        <v>2.9</v>
      </c>
      <c r="H93" s="5" t="n">
        <v>2</v>
      </c>
      <c r="I93" s="6" t="s">
        <v>632</v>
      </c>
      <c r="J93" s="6" t="s">
        <v>633</v>
      </c>
      <c r="K93" s="6" t="s">
        <v>634</v>
      </c>
      <c r="L93" s="6" t="s">
        <v>635</v>
      </c>
      <c r="M93" s="7" t="s">
        <v>636</v>
      </c>
    </row>
    <row r="94" customFormat="false" ht="42" hidden="false" customHeight="true" outlineLevel="0" collapsed="false">
      <c r="A94" s="5" t="n">
        <f aca="false">ROW()-3</f>
        <v>91</v>
      </c>
      <c r="B94" s="6" t="s">
        <v>637</v>
      </c>
      <c r="C94" s="6" t="s">
        <v>16</v>
      </c>
      <c r="D94" s="6" t="s">
        <v>638</v>
      </c>
      <c r="E94" s="6" t="s">
        <v>639</v>
      </c>
      <c r="F94" s="5" t="n">
        <v>5</v>
      </c>
      <c r="G94" s="5" t="n">
        <v>12</v>
      </c>
      <c r="H94" s="5" t="n">
        <v>4</v>
      </c>
      <c r="I94" s="6" t="s">
        <v>640</v>
      </c>
      <c r="J94" s="6" t="s">
        <v>641</v>
      </c>
      <c r="K94" s="6" t="s">
        <v>642</v>
      </c>
      <c r="L94" s="6" t="s">
        <v>643</v>
      </c>
      <c r="M94" s="7" t="s">
        <v>644</v>
      </c>
    </row>
    <row r="95" customFormat="false" ht="42" hidden="false" customHeight="true" outlineLevel="0" collapsed="false">
      <c r="A95" s="5" t="n">
        <f aca="false">ROW()-3</f>
        <v>92</v>
      </c>
      <c r="B95" s="6" t="s">
        <v>645</v>
      </c>
      <c r="C95" s="6" t="s">
        <v>278</v>
      </c>
      <c r="D95" s="6" t="s">
        <v>33</v>
      </c>
      <c r="E95" s="6" t="s">
        <v>646</v>
      </c>
      <c r="F95" s="5" t="n">
        <v>0</v>
      </c>
      <c r="G95" s="5" t="n">
        <v>99</v>
      </c>
      <c r="H95" s="5" t="n">
        <v>3</v>
      </c>
      <c r="I95" s="6" t="s">
        <v>647</v>
      </c>
      <c r="J95" s="6" t="s">
        <v>648</v>
      </c>
      <c r="K95" s="6" t="s">
        <v>649</v>
      </c>
      <c r="L95" s="6" t="s">
        <v>650</v>
      </c>
      <c r="M95" s="7" t="s">
        <v>651</v>
      </c>
    </row>
    <row r="96" customFormat="false" ht="42" hidden="false" customHeight="true" outlineLevel="0" collapsed="false">
      <c r="A96" s="5" t="n">
        <f aca="false">ROW()-3</f>
        <v>93</v>
      </c>
      <c r="B96" s="6" t="s">
        <v>652</v>
      </c>
      <c r="C96" s="6" t="s">
        <v>278</v>
      </c>
      <c r="D96" s="6" t="s">
        <v>33</v>
      </c>
      <c r="E96" s="6" t="s">
        <v>653</v>
      </c>
      <c r="F96" s="5" t="n">
        <v>0</v>
      </c>
      <c r="G96" s="5" t="n">
        <v>99</v>
      </c>
      <c r="H96" s="5" t="n">
        <v>3</v>
      </c>
      <c r="I96" s="6" t="s">
        <v>654</v>
      </c>
      <c r="J96" s="6" t="s">
        <v>648</v>
      </c>
      <c r="K96" s="6" t="s">
        <v>655</v>
      </c>
      <c r="L96" s="6" t="s">
        <v>656</v>
      </c>
      <c r="M96" s="7" t="s">
        <v>657</v>
      </c>
    </row>
    <row r="97" customFormat="false" ht="42" hidden="false" customHeight="true" outlineLevel="0" collapsed="false">
      <c r="A97" s="5" t="n">
        <f aca="false">ROW()-3</f>
        <v>94</v>
      </c>
      <c r="B97" s="6" t="s">
        <v>658</v>
      </c>
      <c r="C97" s="6" t="s">
        <v>278</v>
      </c>
      <c r="D97" s="6" t="s">
        <v>33</v>
      </c>
      <c r="E97" s="6" t="s">
        <v>65</v>
      </c>
      <c r="F97" s="5" t="n">
        <v>0</v>
      </c>
      <c r="G97" s="5" t="n">
        <v>99</v>
      </c>
      <c r="H97" s="5" t="n">
        <v>3</v>
      </c>
      <c r="I97" s="6" t="s">
        <v>659</v>
      </c>
      <c r="J97" s="6" t="s">
        <v>648</v>
      </c>
      <c r="K97" s="6" t="s">
        <v>660</v>
      </c>
      <c r="L97" s="6" t="s">
        <v>661</v>
      </c>
      <c r="M97" s="7" t="s">
        <v>662</v>
      </c>
    </row>
    <row r="98" customFormat="false" ht="42" hidden="false" customHeight="true" outlineLevel="0" collapsed="false">
      <c r="A98" s="5" t="n">
        <f aca="false">ROW()-3</f>
        <v>95</v>
      </c>
      <c r="B98" s="6" t="s">
        <v>663</v>
      </c>
      <c r="C98" s="6" t="s">
        <v>278</v>
      </c>
      <c r="D98" s="6" t="s">
        <v>33</v>
      </c>
      <c r="E98" s="6" t="s">
        <v>26</v>
      </c>
      <c r="F98" s="5" t="n">
        <v>0</v>
      </c>
      <c r="G98" s="5" t="n">
        <v>99</v>
      </c>
      <c r="H98" s="5" t="n">
        <v>3</v>
      </c>
      <c r="I98" s="6" t="s">
        <v>664</v>
      </c>
      <c r="J98" s="6" t="s">
        <v>648</v>
      </c>
      <c r="K98" s="6" t="s">
        <v>665</v>
      </c>
      <c r="L98" s="6" t="s">
        <v>666</v>
      </c>
      <c r="M98" s="7" t="s">
        <v>667</v>
      </c>
    </row>
    <row r="99" customFormat="false" ht="42" hidden="false" customHeight="true" outlineLevel="0" collapsed="false">
      <c r="A99" s="5" t="n">
        <f aca="false">ROW()-3</f>
        <v>96</v>
      </c>
      <c r="B99" s="6" t="s">
        <v>668</v>
      </c>
      <c r="C99" s="6" t="s">
        <v>397</v>
      </c>
      <c r="D99" s="6" t="s">
        <v>17</v>
      </c>
      <c r="E99" s="6" t="s">
        <v>669</v>
      </c>
      <c r="F99" s="5" t="n">
        <v>17</v>
      </c>
      <c r="G99" s="5" t="n">
        <v>99</v>
      </c>
      <c r="H99" s="5" t="n">
        <v>3</v>
      </c>
      <c r="I99" s="6" t="s">
        <v>670</v>
      </c>
      <c r="J99" s="6" t="s">
        <v>671</v>
      </c>
      <c r="K99" s="6" t="s">
        <v>672</v>
      </c>
      <c r="L99" s="6" t="s">
        <v>673</v>
      </c>
      <c r="M99" s="7" t="s">
        <v>674</v>
      </c>
    </row>
    <row r="100" customFormat="false" ht="42" hidden="false" customHeight="true" outlineLevel="0" collapsed="false">
      <c r="A100" s="5" t="n">
        <f aca="false">ROW()-3</f>
        <v>97</v>
      </c>
      <c r="B100" s="6" t="s">
        <v>675</v>
      </c>
      <c r="C100" s="6" t="s">
        <v>16</v>
      </c>
      <c r="D100" s="6" t="s">
        <v>17</v>
      </c>
      <c r="E100" s="6" t="s">
        <v>676</v>
      </c>
      <c r="F100" s="5" t="n">
        <v>1.3</v>
      </c>
      <c r="G100" s="5" t="n">
        <v>2.5</v>
      </c>
      <c r="H100" s="5" t="n">
        <v>7</v>
      </c>
      <c r="I100" s="6" t="s">
        <v>677</v>
      </c>
      <c r="J100" s="6" t="s">
        <v>678</v>
      </c>
      <c r="K100" s="6" t="s">
        <v>679</v>
      </c>
      <c r="L100" s="6" t="s">
        <v>680</v>
      </c>
      <c r="M100" s="7" t="s">
        <v>681</v>
      </c>
    </row>
    <row r="101" customFormat="false" ht="42" hidden="false" customHeight="true" outlineLevel="0" collapsed="false">
      <c r="A101" s="5" t="n">
        <f aca="false">ROW()-3</f>
        <v>98</v>
      </c>
      <c r="B101" s="6" t="s">
        <v>682</v>
      </c>
      <c r="C101" s="6" t="s">
        <v>278</v>
      </c>
      <c r="D101" s="6" t="s">
        <v>683</v>
      </c>
      <c r="E101" s="6" t="s">
        <v>684</v>
      </c>
      <c r="F101" s="5" t="n">
        <v>3</v>
      </c>
      <c r="G101" s="5" t="n">
        <v>17.9</v>
      </c>
      <c r="H101" s="5" t="n">
        <v>6</v>
      </c>
      <c r="I101" s="6" t="s">
        <v>685</v>
      </c>
      <c r="J101" s="6" t="s">
        <v>686</v>
      </c>
      <c r="K101" s="6" t="s">
        <v>687</v>
      </c>
      <c r="L101" s="6" t="s">
        <v>688</v>
      </c>
      <c r="M101" s="7" t="s">
        <v>689</v>
      </c>
    </row>
    <row r="102" customFormat="false" ht="42" hidden="false" customHeight="true" outlineLevel="0" collapsed="false">
      <c r="A102" s="5" t="n">
        <f aca="false">ROW()-3</f>
        <v>99</v>
      </c>
      <c r="B102" s="6" t="s">
        <v>690</v>
      </c>
      <c r="C102" s="6" t="s">
        <v>278</v>
      </c>
      <c r="D102" s="6" t="s">
        <v>683</v>
      </c>
      <c r="E102" s="6" t="s">
        <v>684</v>
      </c>
      <c r="F102" s="5" t="n">
        <v>3</v>
      </c>
      <c r="G102" s="5" t="n">
        <v>17.9</v>
      </c>
      <c r="H102" s="5" t="n">
        <v>10</v>
      </c>
      <c r="I102" s="6" t="s">
        <v>691</v>
      </c>
      <c r="J102" s="6" t="s">
        <v>692</v>
      </c>
      <c r="K102" s="6" t="s">
        <v>693</v>
      </c>
      <c r="L102" s="6" t="s">
        <v>694</v>
      </c>
      <c r="M102" s="7" t="s">
        <v>695</v>
      </c>
    </row>
    <row r="103" customFormat="false" ht="42" hidden="false" customHeight="true" outlineLevel="0" collapsed="false">
      <c r="A103" s="5" t="n">
        <f aca="false">ROW()-3</f>
        <v>100</v>
      </c>
      <c r="B103" s="6" t="s">
        <v>696</v>
      </c>
      <c r="C103" s="6" t="s">
        <v>162</v>
      </c>
      <c r="D103" s="6" t="s">
        <v>17</v>
      </c>
      <c r="E103" s="6" t="s">
        <v>697</v>
      </c>
      <c r="F103" s="5" t="n">
        <v>18</v>
      </c>
      <c r="G103" s="5" t="n">
        <v>99</v>
      </c>
      <c r="H103" s="5" t="n">
        <v>11</v>
      </c>
      <c r="I103" s="6" t="s">
        <v>698</v>
      </c>
      <c r="J103" s="6" t="s">
        <v>699</v>
      </c>
      <c r="K103" s="6" t="s">
        <v>700</v>
      </c>
      <c r="L103" s="6" t="s">
        <v>701</v>
      </c>
      <c r="M103" s="7" t="s">
        <v>702</v>
      </c>
    </row>
    <row r="104" customFormat="false" ht="42" hidden="false" customHeight="true" outlineLevel="0" collapsed="false">
      <c r="A104" s="5" t="n">
        <f aca="false">ROW()-3</f>
        <v>101</v>
      </c>
      <c r="B104" s="6" t="s">
        <v>703</v>
      </c>
      <c r="C104" s="6" t="s">
        <v>424</v>
      </c>
      <c r="D104" s="6" t="s">
        <v>17</v>
      </c>
      <c r="E104" s="6" t="s">
        <v>669</v>
      </c>
      <c r="F104" s="5" t="n">
        <v>17</v>
      </c>
      <c r="G104" s="5" t="n">
        <v>99</v>
      </c>
      <c r="H104" s="5" t="n">
        <v>5</v>
      </c>
      <c r="I104" s="6" t="s">
        <v>704</v>
      </c>
      <c r="J104" s="6" t="s">
        <v>705</v>
      </c>
      <c r="K104" s="6" t="s">
        <v>706</v>
      </c>
      <c r="L104" s="6" t="s">
        <v>707</v>
      </c>
      <c r="M104" s="7" t="s">
        <v>708</v>
      </c>
    </row>
    <row r="105" customFormat="false" ht="42" hidden="false" customHeight="true" outlineLevel="0" collapsed="false">
      <c r="A105" s="5" t="n">
        <f aca="false">ROW()-3</f>
        <v>102</v>
      </c>
      <c r="B105" s="6" t="s">
        <v>709</v>
      </c>
      <c r="C105" s="6" t="s">
        <v>217</v>
      </c>
      <c r="D105" s="6" t="s">
        <v>710</v>
      </c>
      <c r="E105" s="6" t="s">
        <v>218</v>
      </c>
      <c r="F105" s="5" t="n">
        <v>7</v>
      </c>
      <c r="G105" s="5" t="n">
        <v>17.9</v>
      </c>
      <c r="H105" s="5" t="n">
        <v>6</v>
      </c>
      <c r="I105" s="6" t="s">
        <v>711</v>
      </c>
      <c r="J105" s="6" t="s">
        <v>712</v>
      </c>
      <c r="K105" s="6" t="s">
        <v>713</v>
      </c>
      <c r="L105" s="6" t="s">
        <v>714</v>
      </c>
      <c r="M105" s="7" t="s">
        <v>715</v>
      </c>
    </row>
    <row r="106" customFormat="false" ht="42" hidden="false" customHeight="true" outlineLevel="0" collapsed="false">
      <c r="A106" s="5" t="n">
        <f aca="false">ROW()-3</f>
        <v>103</v>
      </c>
      <c r="B106" s="6" t="s">
        <v>716</v>
      </c>
      <c r="C106" s="6" t="s">
        <v>217</v>
      </c>
      <c r="D106" s="6" t="s">
        <v>17</v>
      </c>
      <c r="E106" s="6" t="s">
        <v>717</v>
      </c>
      <c r="F106" s="5" t="n">
        <v>18</v>
      </c>
      <c r="G106" s="5" t="n">
        <v>99</v>
      </c>
      <c r="H106" s="5" t="n">
        <v>7</v>
      </c>
      <c r="I106" s="6" t="s">
        <v>718</v>
      </c>
      <c r="J106" s="6" t="s">
        <v>719</v>
      </c>
      <c r="K106" s="6" t="s">
        <v>720</v>
      </c>
      <c r="L106" s="6" t="s">
        <v>721</v>
      </c>
      <c r="M106" s="7" t="s">
        <v>722</v>
      </c>
    </row>
    <row r="107" customFormat="false" ht="42" hidden="false" customHeight="true" outlineLevel="0" collapsed="false">
      <c r="A107" s="5" t="n">
        <f aca="false">ROW()-3</f>
        <v>104</v>
      </c>
      <c r="B107" s="6" t="s">
        <v>723</v>
      </c>
      <c r="C107" s="6" t="s">
        <v>424</v>
      </c>
      <c r="D107" s="6" t="s">
        <v>17</v>
      </c>
      <c r="E107" s="6" t="s">
        <v>724</v>
      </c>
      <c r="F107" s="5" t="n">
        <v>18</v>
      </c>
      <c r="G107" s="5" t="n">
        <v>99</v>
      </c>
      <c r="H107" s="5" t="n">
        <v>18</v>
      </c>
      <c r="I107" s="6" t="s">
        <v>725</v>
      </c>
      <c r="J107" s="6" t="s">
        <v>726</v>
      </c>
      <c r="K107" s="6" t="s">
        <v>727</v>
      </c>
      <c r="L107" s="6" t="s">
        <v>728</v>
      </c>
      <c r="M107" s="7" t="s">
        <v>729</v>
      </c>
    </row>
    <row r="108" customFormat="false" ht="42" hidden="false" customHeight="true" outlineLevel="0" collapsed="false">
      <c r="A108" s="5" t="n">
        <f aca="false">ROW()-3</f>
        <v>105</v>
      </c>
      <c r="B108" s="6" t="s">
        <v>730</v>
      </c>
      <c r="C108" s="6" t="s">
        <v>424</v>
      </c>
      <c r="D108" s="6" t="s">
        <v>17</v>
      </c>
      <c r="E108" s="6" t="s">
        <v>342</v>
      </c>
      <c r="F108" s="5" t="n">
        <v>12</v>
      </c>
      <c r="G108" s="5" t="n">
        <v>17.9</v>
      </c>
      <c r="H108" s="5" t="n">
        <v>19</v>
      </c>
      <c r="I108" s="6" t="s">
        <v>731</v>
      </c>
      <c r="J108" s="6" t="s">
        <v>732</v>
      </c>
      <c r="K108" s="6" t="s">
        <v>733</v>
      </c>
      <c r="L108" s="6" t="s">
        <v>734</v>
      </c>
      <c r="M108" s="7" t="s">
        <v>735</v>
      </c>
    </row>
    <row r="109" customFormat="false" ht="42" hidden="false" customHeight="true" outlineLevel="0" collapsed="false">
      <c r="A109" s="5" t="n">
        <f aca="false">ROW()-3</f>
        <v>106</v>
      </c>
      <c r="B109" s="6" t="s">
        <v>736</v>
      </c>
      <c r="C109" s="6" t="s">
        <v>397</v>
      </c>
      <c r="D109" s="6" t="s">
        <v>17</v>
      </c>
      <c r="E109" s="6" t="s">
        <v>737</v>
      </c>
      <c r="F109" s="5" t="n">
        <v>10</v>
      </c>
      <c r="G109" s="5" t="n">
        <v>13.9</v>
      </c>
      <c r="H109" s="5" t="n">
        <v>10</v>
      </c>
      <c r="I109" s="6" t="s">
        <v>738</v>
      </c>
      <c r="J109" s="6" t="s">
        <v>739</v>
      </c>
      <c r="K109" s="6" t="s">
        <v>740</v>
      </c>
      <c r="L109" s="6" t="s">
        <v>741</v>
      </c>
      <c r="M109" s="7" t="s">
        <v>742</v>
      </c>
    </row>
    <row r="110" customFormat="false" ht="42" hidden="false" customHeight="true" outlineLevel="0" collapsed="false">
      <c r="A110" s="5" t="n">
        <f aca="false">ROW()-3</f>
        <v>107</v>
      </c>
      <c r="B110" s="6" t="s">
        <v>743</v>
      </c>
      <c r="C110" s="6" t="s">
        <v>397</v>
      </c>
      <c r="D110" s="6" t="s">
        <v>17</v>
      </c>
      <c r="E110" s="6" t="s">
        <v>744</v>
      </c>
      <c r="F110" s="5" t="n">
        <v>14</v>
      </c>
      <c r="G110" s="5" t="n">
        <v>17.9</v>
      </c>
      <c r="H110" s="5" t="n">
        <v>11</v>
      </c>
      <c r="I110" s="6" t="s">
        <v>745</v>
      </c>
      <c r="J110" s="6" t="s">
        <v>746</v>
      </c>
      <c r="K110" s="6" t="s">
        <v>747</v>
      </c>
      <c r="L110" s="6" t="s">
        <v>748</v>
      </c>
      <c r="M110" s="7" t="s">
        <v>749</v>
      </c>
    </row>
    <row r="111" customFormat="false" ht="42" hidden="false" customHeight="true" outlineLevel="0" collapsed="false">
      <c r="A111" s="5" t="n">
        <f aca="false">ROW()-3</f>
        <v>108</v>
      </c>
      <c r="B111" s="6" t="s">
        <v>750</v>
      </c>
      <c r="C111" s="6" t="s">
        <v>397</v>
      </c>
      <c r="D111" s="6" t="s">
        <v>17</v>
      </c>
      <c r="E111" s="6" t="s">
        <v>737</v>
      </c>
      <c r="F111" s="5" t="n">
        <v>10</v>
      </c>
      <c r="G111" s="5" t="n">
        <v>13.9</v>
      </c>
      <c r="H111" s="5" t="n">
        <v>10</v>
      </c>
      <c r="I111" s="6" t="s">
        <v>751</v>
      </c>
      <c r="J111" s="6" t="s">
        <v>739</v>
      </c>
      <c r="K111" s="6" t="s">
        <v>752</v>
      </c>
      <c r="L111" s="6" t="s">
        <v>753</v>
      </c>
      <c r="M111" s="7" t="s">
        <v>754</v>
      </c>
    </row>
    <row r="112" customFormat="false" ht="42" hidden="false" customHeight="true" outlineLevel="0" collapsed="false">
      <c r="A112" s="5" t="n">
        <f aca="false">ROW()-3</f>
        <v>109</v>
      </c>
      <c r="B112" s="6" t="s">
        <v>755</v>
      </c>
      <c r="C112" s="6" t="s">
        <v>397</v>
      </c>
      <c r="D112" s="6" t="s">
        <v>17</v>
      </c>
      <c r="E112" s="6" t="s">
        <v>744</v>
      </c>
      <c r="F112" s="5" t="n">
        <v>14</v>
      </c>
      <c r="G112" s="5" t="n">
        <v>17.9</v>
      </c>
      <c r="H112" s="5" t="n">
        <v>11</v>
      </c>
      <c r="I112" s="6" t="s">
        <v>756</v>
      </c>
      <c r="J112" s="6" t="s">
        <v>746</v>
      </c>
      <c r="K112" s="6" t="s">
        <v>757</v>
      </c>
      <c r="L112" s="6" t="s">
        <v>758</v>
      </c>
      <c r="M112" s="7" t="s">
        <v>759</v>
      </c>
    </row>
    <row r="113" customFormat="false" ht="42" hidden="false" customHeight="true" outlineLevel="0" collapsed="false">
      <c r="A113" s="5" t="n">
        <f aca="false">ROW()-3</f>
        <v>110</v>
      </c>
      <c r="B113" s="6" t="s">
        <v>760</v>
      </c>
      <c r="C113" s="6" t="s">
        <v>397</v>
      </c>
      <c r="D113" s="6" t="s">
        <v>33</v>
      </c>
      <c r="E113" s="6" t="s">
        <v>95</v>
      </c>
      <c r="F113" s="5" t="n">
        <v>6</v>
      </c>
      <c r="G113" s="5" t="n">
        <v>17.9</v>
      </c>
      <c r="H113" s="5" t="n">
        <v>15</v>
      </c>
      <c r="I113" s="6" t="s">
        <v>761</v>
      </c>
      <c r="J113" s="6" t="s">
        <v>762</v>
      </c>
      <c r="K113" s="6" t="s">
        <v>763</v>
      </c>
      <c r="L113" s="6" t="s">
        <v>764</v>
      </c>
      <c r="M113" s="7" t="s">
        <v>765</v>
      </c>
    </row>
    <row r="114" customFormat="false" ht="42" hidden="false" customHeight="true" outlineLevel="0" collapsed="false">
      <c r="A114" s="5" t="n">
        <f aca="false">ROW()-3</f>
        <v>111</v>
      </c>
      <c r="B114" s="6" t="s">
        <v>766</v>
      </c>
      <c r="C114" s="6" t="s">
        <v>397</v>
      </c>
      <c r="D114" s="6" t="s">
        <v>33</v>
      </c>
      <c r="E114" s="6" t="s">
        <v>95</v>
      </c>
      <c r="F114" s="5" t="n">
        <v>6</v>
      </c>
      <c r="G114" s="5" t="n">
        <v>17.9</v>
      </c>
      <c r="H114" s="5" t="n">
        <v>15</v>
      </c>
      <c r="I114" s="6" t="s">
        <v>767</v>
      </c>
      <c r="J114" s="6" t="s">
        <v>762</v>
      </c>
      <c r="K114" s="6" t="s">
        <v>768</v>
      </c>
      <c r="L114" s="6" t="s">
        <v>769</v>
      </c>
      <c r="M114" s="7" t="s">
        <v>770</v>
      </c>
    </row>
    <row r="115" customFormat="false" ht="42" hidden="false" customHeight="true" outlineLevel="0" collapsed="false">
      <c r="A115" s="5" t="n">
        <f aca="false">ROW()-3</f>
        <v>112</v>
      </c>
      <c r="B115" s="6" t="s">
        <v>771</v>
      </c>
      <c r="C115" s="6" t="s">
        <v>397</v>
      </c>
      <c r="D115" s="6" t="s">
        <v>45</v>
      </c>
      <c r="E115" s="6" t="s">
        <v>95</v>
      </c>
      <c r="F115" s="5" t="n">
        <v>6</v>
      </c>
      <c r="G115" s="5" t="n">
        <v>17.9</v>
      </c>
      <c r="H115" s="5" t="n">
        <v>11</v>
      </c>
      <c r="I115" s="6" t="s">
        <v>772</v>
      </c>
      <c r="J115" s="6" t="s">
        <v>773</v>
      </c>
      <c r="K115" s="6" t="s">
        <v>774</v>
      </c>
      <c r="L115" s="6" t="s">
        <v>775</v>
      </c>
      <c r="M115" s="7" t="s">
        <v>776</v>
      </c>
    </row>
    <row r="116" customFormat="false" ht="42" hidden="false" customHeight="true" outlineLevel="0" collapsed="false">
      <c r="A116" s="5" t="n">
        <f aca="false">ROW()-3</f>
        <v>113</v>
      </c>
      <c r="B116" s="6" t="s">
        <v>777</v>
      </c>
      <c r="C116" s="6" t="s">
        <v>397</v>
      </c>
      <c r="D116" s="6" t="s">
        <v>45</v>
      </c>
      <c r="E116" s="6" t="s">
        <v>95</v>
      </c>
      <c r="F116" s="5" t="n">
        <v>6</v>
      </c>
      <c r="G116" s="5" t="n">
        <v>17.9</v>
      </c>
      <c r="H116" s="5" t="n">
        <v>11</v>
      </c>
      <c r="I116" s="6" t="s">
        <v>778</v>
      </c>
      <c r="J116" s="6" t="s">
        <v>773</v>
      </c>
      <c r="K116" s="6" t="s">
        <v>779</v>
      </c>
      <c r="L116" s="6" t="s">
        <v>780</v>
      </c>
      <c r="M116" s="7" t="s">
        <v>781</v>
      </c>
    </row>
    <row r="117" customFormat="false" ht="42" hidden="false" customHeight="true" outlineLevel="0" collapsed="false">
      <c r="A117" s="5" t="n">
        <f aca="false">ROW()-3</f>
        <v>114</v>
      </c>
      <c r="B117" s="6" t="s">
        <v>782</v>
      </c>
      <c r="C117" s="6" t="s">
        <v>217</v>
      </c>
      <c r="D117" s="6" t="s">
        <v>783</v>
      </c>
      <c r="E117" s="6" t="s">
        <v>784</v>
      </c>
      <c r="F117" s="5" t="n">
        <v>12</v>
      </c>
      <c r="G117" s="5" t="n">
        <v>99</v>
      </c>
      <c r="H117" s="5" t="n">
        <v>8</v>
      </c>
      <c r="I117" s="6" t="s">
        <v>785</v>
      </c>
      <c r="J117" s="6" t="s">
        <v>786</v>
      </c>
      <c r="K117" s="6" t="s">
        <v>787</v>
      </c>
      <c r="L117" s="6" t="s">
        <v>788</v>
      </c>
      <c r="M117" s="7" t="s">
        <v>789</v>
      </c>
    </row>
    <row r="118" customFormat="false" ht="42" hidden="false" customHeight="true" outlineLevel="0" collapsed="false">
      <c r="A118" s="5" t="n">
        <f aca="false">ROW()-3</f>
        <v>115</v>
      </c>
      <c r="B118" s="6" t="s">
        <v>790</v>
      </c>
      <c r="C118" s="6" t="s">
        <v>16</v>
      </c>
      <c r="D118" s="6" t="s">
        <v>156</v>
      </c>
      <c r="E118" s="6" t="s">
        <v>791</v>
      </c>
      <c r="F118" s="5" t="n">
        <v>3</v>
      </c>
      <c r="G118" s="5" t="n">
        <v>14.9</v>
      </c>
      <c r="H118" s="5" t="n">
        <v>13</v>
      </c>
      <c r="I118" s="6" t="s">
        <v>792</v>
      </c>
      <c r="J118" s="6" t="s">
        <v>793</v>
      </c>
      <c r="K118" s="6" t="s">
        <v>794</v>
      </c>
      <c r="L118" s="6" t="s">
        <v>795</v>
      </c>
      <c r="M118" s="7" t="s">
        <v>796</v>
      </c>
    </row>
    <row r="119" customFormat="false" ht="42" hidden="false" customHeight="true" outlineLevel="0" collapsed="false">
      <c r="A119" s="5" t="n">
        <f aca="false">ROW()-3</f>
        <v>116</v>
      </c>
      <c r="B119" s="6" t="s">
        <v>797</v>
      </c>
      <c r="C119" s="6" t="s">
        <v>16</v>
      </c>
      <c r="D119" s="6" t="s">
        <v>798</v>
      </c>
      <c r="E119" s="6" t="s">
        <v>791</v>
      </c>
      <c r="F119" s="5" t="n">
        <v>3</v>
      </c>
      <c r="G119" s="5" t="n">
        <v>14.9</v>
      </c>
      <c r="H119" s="5" t="n">
        <v>13</v>
      </c>
      <c r="I119" s="6" t="s">
        <v>799</v>
      </c>
      <c r="J119" s="6" t="s">
        <v>800</v>
      </c>
      <c r="K119" s="6" t="s">
        <v>801</v>
      </c>
      <c r="L119" s="6" t="s">
        <v>802</v>
      </c>
      <c r="M119" s="7" t="s">
        <v>803</v>
      </c>
    </row>
    <row r="120" customFormat="false" ht="42" hidden="false" customHeight="true" outlineLevel="0" collapsed="false">
      <c r="A120" s="5" t="n">
        <f aca="false">ROW()-3</f>
        <v>117</v>
      </c>
      <c r="B120" s="6" t="s">
        <v>804</v>
      </c>
      <c r="C120" s="6" t="s">
        <v>278</v>
      </c>
      <c r="D120" s="6" t="s">
        <v>805</v>
      </c>
      <c r="E120" s="6" t="s">
        <v>806</v>
      </c>
      <c r="F120" s="5" t="n">
        <v>0</v>
      </c>
      <c r="G120" s="5" t="n">
        <v>13</v>
      </c>
      <c r="H120" s="5" t="n">
        <v>4</v>
      </c>
      <c r="I120" s="6" t="s">
        <v>807</v>
      </c>
      <c r="J120" s="6" t="s">
        <v>808</v>
      </c>
      <c r="K120" s="6" t="s">
        <v>809</v>
      </c>
      <c r="L120" s="6" t="s">
        <v>810</v>
      </c>
      <c r="M120" s="7" t="s">
        <v>811</v>
      </c>
    </row>
    <row r="121" customFormat="false" ht="42" hidden="false" customHeight="true" outlineLevel="0" collapsed="false">
      <c r="A121" s="5" t="n">
        <f aca="false">ROW()-3</f>
        <v>118</v>
      </c>
      <c r="B121" s="6" t="s">
        <v>812</v>
      </c>
      <c r="C121" s="6" t="s">
        <v>115</v>
      </c>
      <c r="D121" s="6" t="s">
        <v>17</v>
      </c>
      <c r="E121" s="6" t="s">
        <v>813</v>
      </c>
      <c r="F121" s="5" t="n">
        <v>10</v>
      </c>
      <c r="G121" s="5" t="n">
        <v>17.9</v>
      </c>
      <c r="H121" s="5" t="n">
        <v>5</v>
      </c>
      <c r="I121" s="6" t="s">
        <v>814</v>
      </c>
      <c r="J121" s="6" t="s">
        <v>815</v>
      </c>
      <c r="K121" s="6" t="s">
        <v>816</v>
      </c>
      <c r="L121" s="6" t="s">
        <v>817</v>
      </c>
      <c r="M121" s="7" t="s">
        <v>818</v>
      </c>
    </row>
    <row r="122" customFormat="false" ht="42" hidden="false" customHeight="true" outlineLevel="0" collapsed="false">
      <c r="A122" s="5" t="n">
        <f aca="false">ROW()-3</f>
        <v>119</v>
      </c>
      <c r="B122" s="6" t="s">
        <v>819</v>
      </c>
      <c r="C122" s="6" t="s">
        <v>115</v>
      </c>
      <c r="D122" s="6" t="s">
        <v>17</v>
      </c>
      <c r="E122" s="6" t="s">
        <v>820</v>
      </c>
      <c r="F122" s="5" t="n">
        <v>10</v>
      </c>
      <c r="G122" s="5" t="n">
        <v>15.9</v>
      </c>
      <c r="H122" s="5" t="n">
        <v>4</v>
      </c>
      <c r="I122" s="6" t="s">
        <v>821</v>
      </c>
      <c r="J122" s="6" t="s">
        <v>822</v>
      </c>
      <c r="K122" s="6" t="s">
        <v>823</v>
      </c>
      <c r="L122" s="6" t="s">
        <v>824</v>
      </c>
      <c r="M122" s="7" t="s">
        <v>825</v>
      </c>
    </row>
    <row r="123" customFormat="false" ht="42" hidden="false" customHeight="true" outlineLevel="0" collapsed="false">
      <c r="A123" s="5" t="n">
        <f aca="false">ROW()-3</f>
        <v>120</v>
      </c>
      <c r="B123" s="6" t="s">
        <v>826</v>
      </c>
      <c r="C123" s="6" t="s">
        <v>278</v>
      </c>
      <c r="D123" s="6" t="s">
        <v>827</v>
      </c>
      <c r="E123" s="6" t="s">
        <v>828</v>
      </c>
      <c r="F123" s="5" t="n">
        <v>0</v>
      </c>
      <c r="G123" s="5" t="n">
        <v>99</v>
      </c>
      <c r="H123" s="5" t="n">
        <v>3</v>
      </c>
      <c r="I123" s="6" t="s">
        <v>829</v>
      </c>
      <c r="J123" s="6" t="s">
        <v>830</v>
      </c>
      <c r="K123" s="6" t="s">
        <v>831</v>
      </c>
      <c r="L123" s="6" t="s">
        <v>832</v>
      </c>
      <c r="M123" s="7" t="s">
        <v>833</v>
      </c>
    </row>
    <row r="124" customFormat="false" ht="42" hidden="false" customHeight="true" outlineLevel="0" collapsed="false">
      <c r="A124" s="5" t="n">
        <f aca="false">ROW()-3</f>
        <v>121</v>
      </c>
      <c r="B124" s="6" t="s">
        <v>834</v>
      </c>
      <c r="C124" s="6" t="s">
        <v>278</v>
      </c>
      <c r="D124" s="6" t="s">
        <v>835</v>
      </c>
      <c r="E124" s="6" t="s">
        <v>828</v>
      </c>
      <c r="F124" s="5" t="n">
        <v>0</v>
      </c>
      <c r="G124" s="5" t="n">
        <v>99</v>
      </c>
      <c r="H124" s="5" t="n">
        <v>3</v>
      </c>
      <c r="I124" s="6" t="s">
        <v>836</v>
      </c>
      <c r="J124" s="6" t="s">
        <v>830</v>
      </c>
      <c r="K124" s="6" t="s">
        <v>837</v>
      </c>
      <c r="L124" s="6" t="s">
        <v>838</v>
      </c>
      <c r="M124" s="7" t="s">
        <v>839</v>
      </c>
    </row>
    <row r="125" customFormat="false" ht="42" hidden="false" customHeight="true" outlineLevel="0" collapsed="false">
      <c r="A125" s="5" t="n">
        <f aca="false">ROW()-3</f>
        <v>122</v>
      </c>
      <c r="B125" s="6" t="s">
        <v>840</v>
      </c>
      <c r="C125" s="6" t="s">
        <v>424</v>
      </c>
      <c r="D125" s="6" t="s">
        <v>270</v>
      </c>
      <c r="E125" s="6" t="s">
        <v>841</v>
      </c>
      <c r="F125" s="5" t="n">
        <v>10</v>
      </c>
      <c r="G125" s="5" t="n">
        <v>24.9</v>
      </c>
      <c r="H125" s="5" t="n">
        <v>22</v>
      </c>
      <c r="I125" s="6" t="s">
        <v>842</v>
      </c>
      <c r="J125" s="6" t="s">
        <v>843</v>
      </c>
      <c r="K125" s="6" t="s">
        <v>844</v>
      </c>
      <c r="L125" s="6" t="s">
        <v>845</v>
      </c>
      <c r="M125" s="7" t="s">
        <v>846</v>
      </c>
    </row>
    <row r="126" customFormat="false" ht="42" hidden="false" customHeight="true" outlineLevel="0" collapsed="false">
      <c r="A126" s="5" t="n">
        <f aca="false">ROW()-3</f>
        <v>123</v>
      </c>
      <c r="B126" s="6" t="s">
        <v>847</v>
      </c>
      <c r="C126" s="6" t="s">
        <v>278</v>
      </c>
      <c r="D126" s="6" t="s">
        <v>33</v>
      </c>
      <c r="E126" s="6" t="s">
        <v>26</v>
      </c>
      <c r="F126" s="5" t="n">
        <v>0</v>
      </c>
      <c r="G126" s="5" t="n">
        <v>5.9</v>
      </c>
      <c r="H126" s="5" t="n">
        <v>3</v>
      </c>
      <c r="I126" s="6" t="s">
        <v>848</v>
      </c>
      <c r="J126" s="6" t="s">
        <v>849</v>
      </c>
      <c r="K126" s="6" t="s">
        <v>850</v>
      </c>
      <c r="L126" s="6" t="s">
        <v>851</v>
      </c>
      <c r="M126" s="7" t="s">
        <v>852</v>
      </c>
    </row>
    <row r="127" customFormat="false" ht="42" hidden="false" customHeight="true" outlineLevel="0" collapsed="false">
      <c r="A127" s="5" t="n">
        <f aca="false">ROW()-3</f>
        <v>124</v>
      </c>
      <c r="B127" s="6" t="s">
        <v>853</v>
      </c>
      <c r="C127" s="6" t="s">
        <v>72</v>
      </c>
      <c r="D127" s="6" t="s">
        <v>854</v>
      </c>
      <c r="E127" s="6" t="s">
        <v>95</v>
      </c>
      <c r="F127" s="5" t="n">
        <v>6</v>
      </c>
      <c r="G127" s="5" t="n">
        <v>17.9</v>
      </c>
      <c r="H127" s="5" t="n">
        <v>9</v>
      </c>
      <c r="I127" s="6" t="s">
        <v>855</v>
      </c>
      <c r="J127" s="6" t="s">
        <v>856</v>
      </c>
      <c r="K127" s="6" t="s">
        <v>857</v>
      </c>
      <c r="L127" s="6" t="s">
        <v>858</v>
      </c>
      <c r="M127" s="7" t="s">
        <v>859</v>
      </c>
    </row>
    <row r="128" customFormat="false" ht="42" hidden="false" customHeight="true" outlineLevel="0" collapsed="false">
      <c r="A128" s="5" t="n">
        <f aca="false">ROW()-3</f>
        <v>125</v>
      </c>
      <c r="B128" s="6" t="s">
        <v>860</v>
      </c>
      <c r="C128" s="6" t="s">
        <v>72</v>
      </c>
      <c r="D128" s="6" t="s">
        <v>33</v>
      </c>
      <c r="E128" s="6" t="s">
        <v>95</v>
      </c>
      <c r="F128" s="5" t="n">
        <v>6</v>
      </c>
      <c r="G128" s="5" t="n">
        <v>17.9</v>
      </c>
      <c r="H128" s="5" t="n">
        <v>9</v>
      </c>
      <c r="I128" s="6" t="s">
        <v>861</v>
      </c>
      <c r="J128" s="6" t="s">
        <v>862</v>
      </c>
      <c r="K128" s="6" t="s">
        <v>863</v>
      </c>
      <c r="L128" s="6" t="s">
        <v>864</v>
      </c>
      <c r="M128" s="7" t="s">
        <v>865</v>
      </c>
    </row>
    <row r="129" customFormat="false" ht="42" hidden="false" customHeight="true" outlineLevel="0" collapsed="false">
      <c r="A129" s="5" t="n">
        <f aca="false">ROW()-3</f>
        <v>126</v>
      </c>
      <c r="B129" s="6" t="s">
        <v>866</v>
      </c>
      <c r="C129" s="6" t="s">
        <v>16</v>
      </c>
      <c r="D129" s="6" t="s">
        <v>17</v>
      </c>
      <c r="E129" s="6" t="s">
        <v>73</v>
      </c>
      <c r="F129" s="5" t="n">
        <v>16</v>
      </c>
      <c r="G129" s="5" t="n">
        <v>99</v>
      </c>
      <c r="H129" s="5" t="n">
        <v>5</v>
      </c>
      <c r="I129" s="6" t="s">
        <v>867</v>
      </c>
      <c r="J129" s="6" t="s">
        <v>868</v>
      </c>
      <c r="K129" s="6" t="s">
        <v>869</v>
      </c>
      <c r="L129" s="6" t="s">
        <v>870</v>
      </c>
      <c r="M129" s="7" t="s">
        <v>871</v>
      </c>
    </row>
    <row r="130" customFormat="false" ht="42" hidden="false" customHeight="true" outlineLevel="0" collapsed="false">
      <c r="A130" s="5" t="n">
        <f aca="false">ROW()-3</f>
        <v>127</v>
      </c>
      <c r="B130" s="6" t="s">
        <v>872</v>
      </c>
      <c r="C130" s="6" t="s">
        <v>16</v>
      </c>
      <c r="D130" s="6" t="s">
        <v>873</v>
      </c>
      <c r="E130" s="6" t="s">
        <v>874</v>
      </c>
      <c r="F130" s="5" t="n">
        <v>3</v>
      </c>
      <c r="G130" s="5" t="n">
        <v>70</v>
      </c>
      <c r="H130" s="5" t="n">
        <v>7</v>
      </c>
      <c r="I130" s="6" t="s">
        <v>875</v>
      </c>
      <c r="J130" s="6" t="s">
        <v>876</v>
      </c>
      <c r="K130" s="6" t="s">
        <v>877</v>
      </c>
      <c r="L130" s="6" t="s">
        <v>878</v>
      </c>
      <c r="M130" s="7" t="s">
        <v>879</v>
      </c>
    </row>
    <row r="131" customFormat="false" ht="42" hidden="false" customHeight="true" outlineLevel="0" collapsed="false">
      <c r="A131" s="5" t="n">
        <f aca="false">ROW()-3</f>
        <v>128</v>
      </c>
      <c r="B131" s="6" t="s">
        <v>880</v>
      </c>
      <c r="C131" s="6" t="s">
        <v>217</v>
      </c>
      <c r="D131" s="6" t="s">
        <v>805</v>
      </c>
      <c r="E131" s="6" t="s">
        <v>609</v>
      </c>
      <c r="F131" s="5" t="n">
        <v>9</v>
      </c>
      <c r="G131" s="5" t="n">
        <v>18</v>
      </c>
      <c r="H131" s="5" t="n">
        <v>8</v>
      </c>
      <c r="I131" s="6" t="s">
        <v>881</v>
      </c>
      <c r="J131" s="6" t="s">
        <v>882</v>
      </c>
      <c r="K131" s="6" t="s">
        <v>883</v>
      </c>
      <c r="L131" s="6" t="s">
        <v>884</v>
      </c>
      <c r="M131" s="7" t="s">
        <v>885</v>
      </c>
    </row>
    <row r="132" customFormat="false" ht="42" hidden="false" customHeight="true" outlineLevel="0" collapsed="false">
      <c r="A132" s="5" t="n">
        <f aca="false">ROW()-3</f>
        <v>129</v>
      </c>
      <c r="B132" s="6" t="s">
        <v>886</v>
      </c>
      <c r="C132" s="6" t="s">
        <v>217</v>
      </c>
      <c r="D132" s="6" t="s">
        <v>17</v>
      </c>
      <c r="E132" s="6" t="s">
        <v>609</v>
      </c>
      <c r="F132" s="5" t="n">
        <v>9</v>
      </c>
      <c r="G132" s="5" t="n">
        <v>18</v>
      </c>
      <c r="H132" s="5" t="n">
        <v>8</v>
      </c>
      <c r="I132" s="6" t="s">
        <v>887</v>
      </c>
      <c r="J132" s="6" t="s">
        <v>882</v>
      </c>
      <c r="K132" s="6" t="s">
        <v>888</v>
      </c>
      <c r="L132" s="6" t="s">
        <v>889</v>
      </c>
      <c r="M132" s="7" t="s">
        <v>890</v>
      </c>
    </row>
    <row r="133" customFormat="false" ht="42" hidden="false" customHeight="true" outlineLevel="0" collapsed="false">
      <c r="A133" s="5" t="n">
        <f aca="false">ROW()-3</f>
        <v>130</v>
      </c>
      <c r="B133" s="6" t="s">
        <v>891</v>
      </c>
      <c r="C133" s="6" t="s">
        <v>217</v>
      </c>
      <c r="D133" s="6" t="s">
        <v>805</v>
      </c>
      <c r="E133" s="6" t="s">
        <v>609</v>
      </c>
      <c r="F133" s="5" t="n">
        <v>9</v>
      </c>
      <c r="G133" s="5" t="n">
        <v>18</v>
      </c>
      <c r="H133" s="5" t="n">
        <v>13</v>
      </c>
      <c r="I133" s="6" t="s">
        <v>892</v>
      </c>
      <c r="J133" s="6" t="s">
        <v>893</v>
      </c>
      <c r="K133" s="6" t="s">
        <v>894</v>
      </c>
      <c r="L133" s="6" t="s">
        <v>895</v>
      </c>
      <c r="M133" s="7" t="s">
        <v>896</v>
      </c>
    </row>
    <row r="134" customFormat="false" ht="42" hidden="false" customHeight="true" outlineLevel="0" collapsed="false">
      <c r="A134" s="5" t="n">
        <f aca="false">ROW()-3</f>
        <v>131</v>
      </c>
      <c r="B134" s="6" t="s">
        <v>897</v>
      </c>
      <c r="C134" s="6" t="s">
        <v>217</v>
      </c>
      <c r="D134" s="6" t="s">
        <v>17</v>
      </c>
      <c r="E134" s="6" t="s">
        <v>609</v>
      </c>
      <c r="F134" s="5" t="n">
        <v>9</v>
      </c>
      <c r="G134" s="5" t="n">
        <v>18</v>
      </c>
      <c r="H134" s="5" t="n">
        <v>13</v>
      </c>
      <c r="I134" s="6" t="s">
        <v>898</v>
      </c>
      <c r="J134" s="6" t="s">
        <v>893</v>
      </c>
      <c r="K134" s="6" t="s">
        <v>899</v>
      </c>
      <c r="L134" s="6" t="s">
        <v>900</v>
      </c>
      <c r="M134" s="7" t="s">
        <v>901</v>
      </c>
    </row>
    <row r="135" customFormat="false" ht="42" hidden="false" customHeight="true" outlineLevel="0" collapsed="false">
      <c r="A135" s="5" t="n">
        <f aca="false">ROW()-3</f>
        <v>132</v>
      </c>
      <c r="B135" s="6" t="s">
        <v>902</v>
      </c>
      <c r="C135" s="6" t="s">
        <v>217</v>
      </c>
      <c r="D135" s="6" t="s">
        <v>17</v>
      </c>
      <c r="E135" s="6" t="s">
        <v>903</v>
      </c>
      <c r="F135" s="5" t="n">
        <v>12</v>
      </c>
      <c r="G135" s="5" t="n">
        <v>20</v>
      </c>
      <c r="H135" s="5" t="n">
        <v>1</v>
      </c>
      <c r="I135" s="6" t="s">
        <v>904</v>
      </c>
      <c r="J135" s="6" t="s">
        <v>905</v>
      </c>
      <c r="K135" s="6" t="s">
        <v>906</v>
      </c>
      <c r="L135" s="6" t="s">
        <v>907</v>
      </c>
      <c r="M135" s="7" t="s">
        <v>908</v>
      </c>
    </row>
    <row r="136" customFormat="false" ht="42" hidden="false" customHeight="true" outlineLevel="0" collapsed="false">
      <c r="A136" s="5" t="n">
        <f aca="false">ROW()-3</f>
        <v>133</v>
      </c>
      <c r="B136" s="6" t="s">
        <v>909</v>
      </c>
      <c r="C136" s="6" t="s">
        <v>217</v>
      </c>
      <c r="D136" s="6" t="s">
        <v>17</v>
      </c>
      <c r="E136" s="6" t="s">
        <v>172</v>
      </c>
      <c r="F136" s="5" t="n">
        <v>8</v>
      </c>
      <c r="G136" s="5" t="n">
        <v>17.9</v>
      </c>
      <c r="H136" s="5" t="n">
        <v>8</v>
      </c>
      <c r="I136" s="6" t="s">
        <v>910</v>
      </c>
      <c r="J136" s="6" t="s">
        <v>911</v>
      </c>
      <c r="K136" s="6" t="s">
        <v>912</v>
      </c>
      <c r="L136" s="6" t="s">
        <v>913</v>
      </c>
      <c r="M136" s="7" t="s">
        <v>914</v>
      </c>
    </row>
    <row r="137" customFormat="false" ht="42" hidden="false" customHeight="true" outlineLevel="0" collapsed="false">
      <c r="A137" s="5" t="n">
        <f aca="false">ROW()-3</f>
        <v>134</v>
      </c>
      <c r="B137" s="6" t="s">
        <v>915</v>
      </c>
      <c r="C137" s="6" t="s">
        <v>217</v>
      </c>
      <c r="D137" s="6" t="s">
        <v>33</v>
      </c>
      <c r="E137" s="6" t="s">
        <v>172</v>
      </c>
      <c r="F137" s="5" t="n">
        <v>8</v>
      </c>
      <c r="G137" s="5" t="n">
        <v>17.9</v>
      </c>
      <c r="H137" s="5" t="n">
        <v>8</v>
      </c>
      <c r="I137" s="6" t="s">
        <v>916</v>
      </c>
      <c r="J137" s="6" t="s">
        <v>911</v>
      </c>
      <c r="K137" s="6" t="s">
        <v>917</v>
      </c>
      <c r="L137" s="6" t="s">
        <v>918</v>
      </c>
      <c r="M137" s="7" t="s">
        <v>919</v>
      </c>
    </row>
    <row r="138" customFormat="false" ht="42" hidden="false" customHeight="true" outlineLevel="0" collapsed="false">
      <c r="A138" s="5" t="n">
        <f aca="false">ROW()-3</f>
        <v>135</v>
      </c>
      <c r="B138" s="6" t="s">
        <v>920</v>
      </c>
      <c r="C138" s="6" t="s">
        <v>546</v>
      </c>
      <c r="D138" s="6" t="s">
        <v>565</v>
      </c>
      <c r="E138" s="6" t="s">
        <v>921</v>
      </c>
      <c r="F138" s="5" t="n">
        <v>13</v>
      </c>
      <c r="G138" s="5" t="n">
        <v>99</v>
      </c>
      <c r="H138" s="5" t="n">
        <v>7</v>
      </c>
      <c r="I138" s="6" t="s">
        <v>922</v>
      </c>
      <c r="J138" s="6" t="s">
        <v>923</v>
      </c>
      <c r="K138" s="6" t="s">
        <v>924</v>
      </c>
      <c r="L138" s="6" t="s">
        <v>925</v>
      </c>
      <c r="M138" s="7" t="s">
        <v>926</v>
      </c>
    </row>
    <row r="139" customFormat="false" ht="42" hidden="false" customHeight="true" outlineLevel="0" collapsed="false">
      <c r="A139" s="5" t="n">
        <f aca="false">ROW()-3</f>
        <v>136</v>
      </c>
      <c r="B139" s="6" t="s">
        <v>927</v>
      </c>
      <c r="C139" s="6" t="s">
        <v>397</v>
      </c>
      <c r="D139" s="6" t="s">
        <v>270</v>
      </c>
      <c r="E139" s="6" t="s">
        <v>928</v>
      </c>
      <c r="F139" s="5" t="n">
        <v>11</v>
      </c>
      <c r="G139" s="5" t="n">
        <v>17.9</v>
      </c>
      <c r="H139" s="5" t="n">
        <v>4</v>
      </c>
      <c r="I139" s="6" t="s">
        <v>929</v>
      </c>
      <c r="J139" s="6" t="s">
        <v>930</v>
      </c>
      <c r="K139" s="6" t="s">
        <v>931</v>
      </c>
      <c r="L139" s="6" t="s">
        <v>932</v>
      </c>
      <c r="M139" s="7" t="s">
        <v>933</v>
      </c>
    </row>
    <row r="140" customFormat="false" ht="42" hidden="false" customHeight="true" outlineLevel="0" collapsed="false">
      <c r="A140" s="5" t="n">
        <f aca="false">ROW()-3</f>
        <v>137</v>
      </c>
      <c r="B140" s="6" t="s">
        <v>934</v>
      </c>
      <c r="C140" s="6" t="s">
        <v>131</v>
      </c>
      <c r="D140" s="6" t="s">
        <v>935</v>
      </c>
      <c r="E140" s="6" t="s">
        <v>936</v>
      </c>
      <c r="F140" s="5" t="n">
        <v>5</v>
      </c>
      <c r="G140" s="5" t="n">
        <v>11</v>
      </c>
      <c r="H140" s="5" t="n">
        <v>3</v>
      </c>
      <c r="I140" s="6" t="s">
        <v>937</v>
      </c>
      <c r="J140" s="6" t="s">
        <v>938</v>
      </c>
      <c r="K140" s="6" t="s">
        <v>939</v>
      </c>
      <c r="L140" s="6" t="s">
        <v>940</v>
      </c>
      <c r="M140" s="7" t="s">
        <v>941</v>
      </c>
    </row>
    <row r="141" customFormat="false" ht="42" hidden="false" customHeight="true" outlineLevel="0" collapsed="false">
      <c r="A141" s="5" t="n">
        <f aca="false">ROW()-3</f>
        <v>138</v>
      </c>
      <c r="B141" s="6" t="s">
        <v>942</v>
      </c>
      <c r="C141" s="6" t="s">
        <v>397</v>
      </c>
      <c r="D141" s="6" t="s">
        <v>943</v>
      </c>
      <c r="E141" s="6" t="s">
        <v>95</v>
      </c>
      <c r="F141" s="5" t="n">
        <v>6</v>
      </c>
      <c r="G141" s="5" t="n">
        <v>17.9</v>
      </c>
      <c r="H141" s="5" t="n">
        <v>6</v>
      </c>
      <c r="I141" s="6" t="s">
        <v>944</v>
      </c>
      <c r="J141" s="6" t="s">
        <v>945</v>
      </c>
      <c r="K141" s="6" t="s">
        <v>946</v>
      </c>
      <c r="L141" s="6" t="s">
        <v>947</v>
      </c>
      <c r="M141" s="7" t="s">
        <v>948</v>
      </c>
    </row>
    <row r="142" customFormat="false" ht="42" hidden="false" customHeight="true" outlineLevel="0" collapsed="false">
      <c r="A142" s="5" t="n">
        <f aca="false">ROW()-3</f>
        <v>139</v>
      </c>
      <c r="B142" s="6" t="s">
        <v>949</v>
      </c>
      <c r="C142" s="6" t="s">
        <v>217</v>
      </c>
      <c r="D142" s="6" t="s">
        <v>33</v>
      </c>
      <c r="E142" s="6" t="s">
        <v>950</v>
      </c>
      <c r="F142" s="5" t="n">
        <v>3</v>
      </c>
      <c r="G142" s="5" t="n">
        <v>12.9</v>
      </c>
      <c r="H142" s="5" t="n">
        <v>6</v>
      </c>
      <c r="I142" s="6" t="s">
        <v>951</v>
      </c>
      <c r="J142" s="6" t="s">
        <v>952</v>
      </c>
      <c r="K142" s="6" t="s">
        <v>953</v>
      </c>
      <c r="L142" s="6" t="s">
        <v>954</v>
      </c>
      <c r="M142" s="7" t="s">
        <v>955</v>
      </c>
    </row>
    <row r="143" customFormat="false" ht="42" hidden="false" customHeight="true" outlineLevel="0" collapsed="false">
      <c r="A143" s="5" t="n">
        <f aca="false">ROW()-3</f>
        <v>140</v>
      </c>
      <c r="B143" s="6" t="s">
        <v>956</v>
      </c>
      <c r="C143" s="6" t="s">
        <v>217</v>
      </c>
      <c r="D143" s="6" t="s">
        <v>156</v>
      </c>
      <c r="E143" s="6" t="s">
        <v>950</v>
      </c>
      <c r="F143" s="5" t="n">
        <v>3</v>
      </c>
      <c r="G143" s="5" t="n">
        <v>12.9</v>
      </c>
      <c r="H143" s="5" t="n">
        <v>6</v>
      </c>
      <c r="I143" s="6" t="s">
        <v>957</v>
      </c>
      <c r="J143" s="6" t="s">
        <v>952</v>
      </c>
      <c r="K143" s="6" t="s">
        <v>958</v>
      </c>
      <c r="L143" s="6" t="s">
        <v>959</v>
      </c>
      <c r="M143" s="7" t="s">
        <v>960</v>
      </c>
    </row>
    <row r="144" customFormat="false" ht="42" hidden="false" customHeight="true" outlineLevel="0" collapsed="false">
      <c r="A144" s="5" t="n">
        <f aca="false">ROW()-3</f>
        <v>141</v>
      </c>
      <c r="B144" s="6" t="s">
        <v>961</v>
      </c>
      <c r="C144" s="6" t="s">
        <v>438</v>
      </c>
      <c r="D144" s="6" t="s">
        <v>171</v>
      </c>
      <c r="E144" s="6" t="s">
        <v>616</v>
      </c>
      <c r="F144" s="5" t="n">
        <v>1.1</v>
      </c>
      <c r="G144" s="5" t="n">
        <v>1.5</v>
      </c>
      <c r="H144" s="5" t="n">
        <v>11</v>
      </c>
      <c r="I144" s="6" t="s">
        <v>962</v>
      </c>
      <c r="J144" s="6" t="s">
        <v>963</v>
      </c>
      <c r="K144" s="6" t="s">
        <v>964</v>
      </c>
      <c r="L144" s="6" t="s">
        <v>965</v>
      </c>
      <c r="M144" s="7" t="s">
        <v>966</v>
      </c>
    </row>
    <row r="145" customFormat="false" ht="42" hidden="false" customHeight="true" outlineLevel="0" collapsed="false">
      <c r="A145" s="5" t="n">
        <f aca="false">ROW()-3</f>
        <v>142</v>
      </c>
      <c r="B145" s="6" t="s">
        <v>967</v>
      </c>
      <c r="C145" s="6" t="s">
        <v>438</v>
      </c>
      <c r="D145" s="6" t="s">
        <v>171</v>
      </c>
      <c r="E145" s="6" t="s">
        <v>968</v>
      </c>
      <c r="F145" s="5" t="n">
        <v>0.7</v>
      </c>
      <c r="G145" s="5" t="n">
        <v>1.2</v>
      </c>
      <c r="H145" s="5" t="n">
        <v>9</v>
      </c>
      <c r="I145" s="6" t="s">
        <v>969</v>
      </c>
      <c r="J145" s="6" t="s">
        <v>970</v>
      </c>
      <c r="K145" s="6" t="s">
        <v>971</v>
      </c>
      <c r="L145" s="6" t="s">
        <v>972</v>
      </c>
      <c r="M145" s="7" t="s">
        <v>973</v>
      </c>
    </row>
    <row r="146" customFormat="false" ht="42" hidden="false" customHeight="true" outlineLevel="0" collapsed="false">
      <c r="A146" s="5" t="n">
        <f aca="false">ROW()-3</f>
        <v>143</v>
      </c>
      <c r="B146" s="6" t="s">
        <v>974</v>
      </c>
      <c r="C146" s="6" t="s">
        <v>438</v>
      </c>
      <c r="D146" s="6" t="s">
        <v>45</v>
      </c>
      <c r="E146" s="6" t="s">
        <v>975</v>
      </c>
      <c r="F146" s="5" t="n">
        <v>0.7</v>
      </c>
      <c r="G146" s="5" t="n">
        <v>1.2</v>
      </c>
      <c r="H146" s="5" t="n">
        <v>6</v>
      </c>
      <c r="I146" s="6" t="s">
        <v>976</v>
      </c>
      <c r="J146" s="6" t="s">
        <v>977</v>
      </c>
      <c r="K146" s="6" t="s">
        <v>978</v>
      </c>
      <c r="L146" s="6" t="s">
        <v>979</v>
      </c>
      <c r="M146" s="7" t="s">
        <v>980</v>
      </c>
    </row>
    <row r="147" customFormat="false" ht="42" hidden="false" customHeight="true" outlineLevel="0" collapsed="false">
      <c r="A147" s="5" t="n">
        <f aca="false">ROW()-3</f>
        <v>144</v>
      </c>
      <c r="B147" s="6" t="s">
        <v>981</v>
      </c>
      <c r="C147" s="6" t="s">
        <v>438</v>
      </c>
      <c r="D147" s="6" t="s">
        <v>17</v>
      </c>
      <c r="E147" s="6" t="s">
        <v>982</v>
      </c>
      <c r="F147" s="5" t="n">
        <v>1.4</v>
      </c>
      <c r="G147" s="5" t="n">
        <v>2.5</v>
      </c>
      <c r="H147" s="5" t="n">
        <v>16</v>
      </c>
      <c r="I147" s="6" t="s">
        <v>983</v>
      </c>
      <c r="J147" s="6" t="s">
        <v>984</v>
      </c>
      <c r="K147" s="6" t="s">
        <v>985</v>
      </c>
      <c r="L147" s="6" t="s">
        <v>986</v>
      </c>
      <c r="M147" s="7" t="s">
        <v>987</v>
      </c>
    </row>
    <row r="148" customFormat="false" ht="42" hidden="false" customHeight="true" outlineLevel="0" collapsed="false">
      <c r="A148" s="5" t="n">
        <f aca="false">ROW()-3</f>
        <v>145</v>
      </c>
      <c r="B148" s="6" t="s">
        <v>988</v>
      </c>
      <c r="C148" s="6" t="s">
        <v>438</v>
      </c>
      <c r="D148" s="6" t="s">
        <v>171</v>
      </c>
      <c r="E148" s="6" t="s">
        <v>989</v>
      </c>
      <c r="F148" s="5" t="n">
        <v>0.7</v>
      </c>
      <c r="G148" s="5" t="n">
        <v>1.2</v>
      </c>
      <c r="H148" s="5" t="n">
        <v>13</v>
      </c>
      <c r="I148" s="6" t="s">
        <v>990</v>
      </c>
      <c r="J148" s="6" t="s">
        <v>991</v>
      </c>
      <c r="K148" s="6" t="s">
        <v>992</v>
      </c>
      <c r="L148" s="6" t="s">
        <v>993</v>
      </c>
      <c r="M148" s="7" t="s">
        <v>994</v>
      </c>
    </row>
    <row r="149" customFormat="false" ht="42" hidden="false" customHeight="true" outlineLevel="0" collapsed="false">
      <c r="A149" s="5" t="n">
        <f aca="false">ROW()-3</f>
        <v>146</v>
      </c>
      <c r="B149" s="6" t="s">
        <v>995</v>
      </c>
      <c r="C149" s="6" t="s">
        <v>16</v>
      </c>
      <c r="D149" s="6" t="s">
        <v>33</v>
      </c>
      <c r="E149" s="6" t="s">
        <v>179</v>
      </c>
      <c r="F149" s="5" t="n">
        <v>4</v>
      </c>
      <c r="G149" s="5" t="n">
        <v>17.9</v>
      </c>
      <c r="H149" s="5" t="n">
        <v>7</v>
      </c>
      <c r="I149" s="6" t="s">
        <v>996</v>
      </c>
      <c r="J149" s="6" t="s">
        <v>997</v>
      </c>
      <c r="K149" s="6" t="s">
        <v>998</v>
      </c>
      <c r="L149" s="6" t="s">
        <v>999</v>
      </c>
      <c r="M149" s="7" t="s">
        <v>1000</v>
      </c>
    </row>
    <row r="150" customFormat="false" ht="210" hidden="false" customHeight="true" outlineLevel="0" collapsed="false">
      <c r="A150" s="5" t="n">
        <f aca="false">ROW()-3</f>
        <v>147</v>
      </c>
      <c r="B150" s="6" t="s">
        <v>1001</v>
      </c>
      <c r="C150" s="6" t="s">
        <v>16</v>
      </c>
      <c r="D150" s="6" t="s">
        <v>45</v>
      </c>
      <c r="E150" s="6" t="s">
        <v>179</v>
      </c>
      <c r="F150" s="5" t="n">
        <v>4</v>
      </c>
      <c r="G150" s="5" t="n">
        <v>17.9</v>
      </c>
      <c r="H150" s="5" t="n">
        <v>7</v>
      </c>
      <c r="I150" s="6" t="s">
        <v>1002</v>
      </c>
      <c r="J150" s="6" t="s">
        <v>997</v>
      </c>
      <c r="K150" s="6" t="s">
        <v>1003</v>
      </c>
      <c r="L150" s="6" t="s">
        <v>1004</v>
      </c>
      <c r="M150" s="7" t="s">
        <v>1005</v>
      </c>
    </row>
    <row r="151" customFormat="false" ht="42" hidden="false" customHeight="true" outlineLevel="0" collapsed="false">
      <c r="A151" s="5" t="n">
        <f aca="false">ROW()-3</f>
        <v>148</v>
      </c>
      <c r="B151" s="6" t="s">
        <v>1006</v>
      </c>
      <c r="C151" s="6" t="s">
        <v>217</v>
      </c>
      <c r="D151" s="6" t="s">
        <v>17</v>
      </c>
      <c r="E151" s="6" t="s">
        <v>263</v>
      </c>
      <c r="F151" s="5" t="n">
        <v>8</v>
      </c>
      <c r="G151" s="5" t="n">
        <v>17.9</v>
      </c>
      <c r="H151" s="5" t="n">
        <v>4</v>
      </c>
      <c r="I151" s="6" t="s">
        <v>1007</v>
      </c>
      <c r="J151" s="6" t="s">
        <v>1008</v>
      </c>
      <c r="K151" s="6" t="s">
        <v>1009</v>
      </c>
      <c r="L151" s="6" t="s">
        <v>1010</v>
      </c>
      <c r="M151" s="7" t="s">
        <v>1011</v>
      </c>
    </row>
    <row r="152" customFormat="false" ht="42" hidden="false" customHeight="true" outlineLevel="0" collapsed="false">
      <c r="A152" s="5" t="n">
        <f aca="false">ROW()-3</f>
        <v>149</v>
      </c>
      <c r="B152" s="6" t="s">
        <v>1012</v>
      </c>
      <c r="C152" s="6" t="s">
        <v>72</v>
      </c>
      <c r="D152" s="6" t="s">
        <v>17</v>
      </c>
      <c r="E152" s="6" t="s">
        <v>609</v>
      </c>
      <c r="F152" s="5" t="n">
        <v>9</v>
      </c>
      <c r="G152" s="5" t="n">
        <v>19</v>
      </c>
      <c r="H152" s="5" t="n">
        <v>12</v>
      </c>
      <c r="I152" s="6" t="s">
        <v>1013</v>
      </c>
      <c r="J152" s="6" t="s">
        <v>1014</v>
      </c>
      <c r="K152" s="6" t="s">
        <v>1015</v>
      </c>
      <c r="L152" s="6" t="s">
        <v>1016</v>
      </c>
      <c r="M152" s="7" t="s">
        <v>1017</v>
      </c>
    </row>
    <row r="153" customFormat="false" ht="42" hidden="false" customHeight="true" outlineLevel="0" collapsed="false">
      <c r="A153" s="5" t="n">
        <f aca="false">ROW()-3</f>
        <v>150</v>
      </c>
      <c r="B153" s="6" t="s">
        <v>1018</v>
      </c>
      <c r="C153" s="6" t="s">
        <v>131</v>
      </c>
      <c r="D153" s="6" t="s">
        <v>1019</v>
      </c>
      <c r="E153" s="6" t="s">
        <v>95</v>
      </c>
      <c r="F153" s="5" t="n">
        <v>6</v>
      </c>
      <c r="G153" s="5" t="n">
        <v>17.9</v>
      </c>
      <c r="H153" s="5" t="n">
        <v>2</v>
      </c>
      <c r="I153" s="6" t="s">
        <v>1020</v>
      </c>
      <c r="J153" s="6" t="s">
        <v>1021</v>
      </c>
      <c r="K153" s="6" t="s">
        <v>1022</v>
      </c>
      <c r="L153" s="6" t="s">
        <v>1023</v>
      </c>
      <c r="M153" s="7" t="s">
        <v>1024</v>
      </c>
    </row>
    <row r="154" customFormat="false" ht="42" hidden="false" customHeight="true" outlineLevel="0" collapsed="false">
      <c r="A154" s="5" t="n">
        <f aca="false">ROW()-3</f>
        <v>151</v>
      </c>
      <c r="B154" s="6" t="s">
        <v>1025</v>
      </c>
      <c r="C154" s="6" t="s">
        <v>208</v>
      </c>
      <c r="D154" s="6" t="s">
        <v>17</v>
      </c>
      <c r="E154" s="6" t="s">
        <v>828</v>
      </c>
      <c r="F154" s="5" t="n">
        <v>16</v>
      </c>
      <c r="G154" s="5" t="n">
        <v>99</v>
      </c>
      <c r="H154" s="5" t="n">
        <v>4</v>
      </c>
      <c r="I154" s="6" t="s">
        <v>1026</v>
      </c>
      <c r="J154" s="6" t="s">
        <v>1027</v>
      </c>
      <c r="K154" s="6" t="s">
        <v>1028</v>
      </c>
      <c r="L154" s="6" t="s">
        <v>1029</v>
      </c>
      <c r="M154" s="7" t="s">
        <v>1030</v>
      </c>
    </row>
    <row r="155" customFormat="false" ht="220.5" hidden="false" customHeight="true" outlineLevel="0" collapsed="false">
      <c r="A155" s="5" t="n">
        <f aca="false">ROW()-3</f>
        <v>152</v>
      </c>
      <c r="B155" s="6" t="s">
        <v>1031</v>
      </c>
      <c r="C155" s="6" t="s">
        <v>1032</v>
      </c>
      <c r="D155" s="6" t="s">
        <v>185</v>
      </c>
      <c r="E155" s="6" t="s">
        <v>1033</v>
      </c>
      <c r="F155" s="5" t="n">
        <v>3</v>
      </c>
      <c r="G155" s="5" t="n">
        <v>17.9</v>
      </c>
      <c r="H155" s="5" t="n">
        <v>13</v>
      </c>
      <c r="I155" s="6" t="s">
        <v>1034</v>
      </c>
      <c r="J155" s="6" t="s">
        <v>1035</v>
      </c>
      <c r="K155" s="6" t="s">
        <v>1036</v>
      </c>
      <c r="L155" s="6" t="s">
        <v>1037</v>
      </c>
      <c r="M155" s="7" t="s">
        <v>1038</v>
      </c>
    </row>
    <row r="156" customFormat="false" ht="120" hidden="false" customHeight="true" outlineLevel="0" collapsed="false">
      <c r="A156" s="5" t="n">
        <v>153</v>
      </c>
      <c r="B156" s="6" t="s">
        <v>1039</v>
      </c>
      <c r="C156" s="6" t="s">
        <v>1040</v>
      </c>
      <c r="D156" s="6" t="s">
        <v>33</v>
      </c>
      <c r="E156" s="6" t="s">
        <v>1041</v>
      </c>
      <c r="F156" s="5" t="n">
        <v>2</v>
      </c>
      <c r="G156" s="5" t="n">
        <v>10.9</v>
      </c>
      <c r="H156" s="5" t="n">
        <v>9</v>
      </c>
      <c r="I156" s="6" t="s">
        <v>1042</v>
      </c>
      <c r="J156" s="6" t="s">
        <v>1043</v>
      </c>
      <c r="K156" s="6" t="s">
        <v>1044</v>
      </c>
      <c r="L156" s="6" t="s">
        <v>1045</v>
      </c>
      <c r="M156" s="7" t="s">
        <v>1046</v>
      </c>
    </row>
    <row r="157" customFormat="false" ht="120" hidden="false" customHeight="true" outlineLevel="0" collapsed="false">
      <c r="A157" s="5" t="n">
        <v>154</v>
      </c>
      <c r="B157" s="6" t="s">
        <v>1047</v>
      </c>
      <c r="C157" s="6" t="s">
        <v>1040</v>
      </c>
      <c r="D157" s="6" t="s">
        <v>17</v>
      </c>
      <c r="E157" s="6" t="s">
        <v>624</v>
      </c>
      <c r="F157" s="5" t="n">
        <v>7</v>
      </c>
      <c r="G157" s="5" t="n">
        <v>12.9</v>
      </c>
      <c r="H157" s="5" t="n">
        <v>8</v>
      </c>
      <c r="I157" s="6" t="s">
        <v>1048</v>
      </c>
      <c r="J157" s="6" t="s">
        <v>1049</v>
      </c>
      <c r="K157" s="6" t="s">
        <v>1050</v>
      </c>
      <c r="L157" s="6" t="s">
        <v>1051</v>
      </c>
      <c r="M157" s="7" t="s">
        <v>1052</v>
      </c>
    </row>
    <row r="158" customFormat="false" ht="120" hidden="false" customHeight="true" outlineLevel="0" collapsed="false">
      <c r="A158" s="5" t="n">
        <v>155</v>
      </c>
      <c r="B158" s="6" t="s">
        <v>1053</v>
      </c>
      <c r="C158" s="6" t="s">
        <v>16</v>
      </c>
      <c r="D158" s="6" t="s">
        <v>1054</v>
      </c>
      <c r="E158" s="6" t="s">
        <v>95</v>
      </c>
      <c r="F158" s="5" t="n">
        <v>6</v>
      </c>
      <c r="G158" s="5" t="n">
        <v>18.9</v>
      </c>
      <c r="H158" s="5" t="n">
        <v>5</v>
      </c>
      <c r="I158" s="6" t="s">
        <v>1055</v>
      </c>
      <c r="J158" s="6" t="s">
        <v>1056</v>
      </c>
      <c r="K158" s="6" t="s">
        <v>1057</v>
      </c>
      <c r="L158" s="6" t="s">
        <v>1058</v>
      </c>
      <c r="M158" s="7" t="s">
        <v>1059</v>
      </c>
    </row>
    <row r="159" customFormat="false" ht="84.75" hidden="false" customHeight="true" outlineLevel="0" collapsed="false">
      <c r="A159" s="5" t="n">
        <v>156</v>
      </c>
      <c r="B159" s="6" t="s">
        <v>1060</v>
      </c>
      <c r="C159" s="6" t="s">
        <v>1032</v>
      </c>
      <c r="D159" s="6" t="s">
        <v>17</v>
      </c>
      <c r="E159" s="6" t="s">
        <v>108</v>
      </c>
      <c r="F159" s="5" t="n">
        <v>11</v>
      </c>
      <c r="G159" s="5" t="n">
        <v>18</v>
      </c>
      <c r="H159" s="5" t="n">
        <v>6</v>
      </c>
      <c r="I159" s="6" t="s">
        <v>1061</v>
      </c>
      <c r="J159" s="6" t="s">
        <v>1062</v>
      </c>
      <c r="K159" s="6" t="s">
        <v>1063</v>
      </c>
      <c r="L159" s="6" t="s">
        <v>1064</v>
      </c>
      <c r="M159" s="7" t="s">
        <v>1065</v>
      </c>
    </row>
    <row r="160" customFormat="false" ht="84.75" hidden="false" customHeight="true" outlineLevel="0" collapsed="false">
      <c r="A160" s="5" t="n">
        <f aca="false">ROW()-3</f>
        <v>157</v>
      </c>
      <c r="B160" s="6" t="s">
        <v>1066</v>
      </c>
      <c r="C160" s="6" t="s">
        <v>1032</v>
      </c>
      <c r="D160" s="6" t="s">
        <v>17</v>
      </c>
      <c r="E160" s="6" t="s">
        <v>342</v>
      </c>
      <c r="F160" s="5" t="n">
        <v>12</v>
      </c>
      <c r="G160" s="5" t="n">
        <v>18</v>
      </c>
      <c r="H160" s="5" t="n">
        <v>6</v>
      </c>
      <c r="I160" s="6" t="s">
        <v>1067</v>
      </c>
      <c r="J160" s="6" t="s">
        <v>1068</v>
      </c>
      <c r="K160" s="6" t="s">
        <v>1069</v>
      </c>
      <c r="L160" s="6" t="s">
        <v>1070</v>
      </c>
      <c r="M160" s="7" t="s">
        <v>1071</v>
      </c>
    </row>
    <row r="161" customFormat="false" ht="95.25" hidden="false" customHeight="true" outlineLevel="0" collapsed="false">
      <c r="A161" s="5" t="n">
        <f aca="false">ROW()-3</f>
        <v>158</v>
      </c>
      <c r="B161" s="6" t="s">
        <v>1072</v>
      </c>
      <c r="C161" s="6" t="s">
        <v>1032</v>
      </c>
      <c r="D161" s="6" t="s">
        <v>33</v>
      </c>
      <c r="E161" s="6" t="s">
        <v>52</v>
      </c>
      <c r="F161" s="5" t="n">
        <v>0</v>
      </c>
      <c r="G161" s="5" t="n">
        <v>18</v>
      </c>
      <c r="H161" s="5" t="n">
        <v>6</v>
      </c>
      <c r="I161" s="6" t="s">
        <v>1073</v>
      </c>
      <c r="J161" s="6" t="s">
        <v>1074</v>
      </c>
      <c r="K161" s="6" t="s">
        <v>1075</v>
      </c>
      <c r="L161" s="6" t="s">
        <v>1076</v>
      </c>
      <c r="M161" s="7" t="s">
        <v>1077</v>
      </c>
    </row>
    <row r="162" customFormat="false" ht="95.25" hidden="false" customHeight="true" outlineLevel="0" collapsed="false">
      <c r="A162" s="5" t="n">
        <f aca="false">ROW()-3</f>
        <v>159</v>
      </c>
      <c r="B162" s="6" t="s">
        <v>1078</v>
      </c>
      <c r="C162" s="6" t="s">
        <v>162</v>
      </c>
      <c r="D162" s="6" t="s">
        <v>1079</v>
      </c>
      <c r="E162" s="6" t="s">
        <v>1080</v>
      </c>
      <c r="F162" s="5" t="n">
        <v>11</v>
      </c>
      <c r="G162" s="5" t="n">
        <v>99</v>
      </c>
      <c r="H162" s="5" t="n">
        <v>11</v>
      </c>
      <c r="I162" s="6" t="s">
        <v>1081</v>
      </c>
      <c r="J162" s="6" t="s">
        <v>1082</v>
      </c>
      <c r="K162" s="6" t="s">
        <v>1083</v>
      </c>
      <c r="L162" s="6" t="s">
        <v>1084</v>
      </c>
      <c r="M162" s="7" t="s">
        <v>1085</v>
      </c>
    </row>
    <row r="163" customFormat="false" ht="95.25" hidden="false" customHeight="true" outlineLevel="0" collapsed="false">
      <c r="A163" s="5" t="n">
        <f aca="false">ROW()-3</f>
        <v>160</v>
      </c>
      <c r="B163" s="6" t="s">
        <v>1086</v>
      </c>
      <c r="C163" s="6" t="s">
        <v>1032</v>
      </c>
      <c r="D163" s="6" t="s">
        <v>1079</v>
      </c>
      <c r="E163" s="6" t="s">
        <v>1087</v>
      </c>
      <c r="F163" s="5" t="n">
        <v>6</v>
      </c>
      <c r="G163" s="5" t="n">
        <v>11</v>
      </c>
      <c r="H163" s="5" t="n">
        <v>4</v>
      </c>
      <c r="I163" s="6" t="s">
        <v>1088</v>
      </c>
      <c r="J163" s="6" t="s">
        <v>1089</v>
      </c>
      <c r="K163" s="6" t="s">
        <v>1090</v>
      </c>
      <c r="L163" s="6" t="s">
        <v>1091</v>
      </c>
      <c r="M163" s="7" t="s">
        <v>1092</v>
      </c>
    </row>
    <row r="164" customFormat="false" ht="42.75" hidden="false" customHeight="true" outlineLevel="0" collapsed="false">
      <c r="A164" s="5" t="n">
        <f aca="false">ROW()-3</f>
        <v>161</v>
      </c>
      <c r="B164" s="6" t="s">
        <v>1093</v>
      </c>
      <c r="C164" s="6" t="s">
        <v>217</v>
      </c>
      <c r="D164" s="6" t="s">
        <v>17</v>
      </c>
      <c r="E164" s="6" t="s">
        <v>1094</v>
      </c>
      <c r="F164" s="5" t="n">
        <v>8</v>
      </c>
      <c r="G164" s="5" t="n">
        <v>11</v>
      </c>
      <c r="H164" s="5" t="n">
        <v>5</v>
      </c>
      <c r="I164" s="6" t="s">
        <v>1095</v>
      </c>
      <c r="J164" s="6" t="s">
        <v>1096</v>
      </c>
      <c r="K164" s="6" t="s">
        <v>1097</v>
      </c>
      <c r="L164" s="6" t="s">
        <v>1098</v>
      </c>
      <c r="M164" s="7" t="s">
        <v>1099</v>
      </c>
    </row>
    <row r="165" customFormat="false" ht="32.25" hidden="false" customHeight="true" outlineLevel="0" collapsed="false">
      <c r="A165" s="5" t="n">
        <f aca="false">ROW()-3</f>
        <v>162</v>
      </c>
      <c r="B165" s="6" t="s">
        <v>1100</v>
      </c>
      <c r="C165" s="6" t="s">
        <v>217</v>
      </c>
      <c r="D165" s="6" t="s">
        <v>33</v>
      </c>
      <c r="E165" s="6" t="s">
        <v>1094</v>
      </c>
      <c r="F165" s="5" t="n">
        <v>8</v>
      </c>
      <c r="G165" s="5" t="n">
        <v>11</v>
      </c>
      <c r="H165" s="5" t="n">
        <v>5</v>
      </c>
      <c r="I165" s="6" t="s">
        <v>1101</v>
      </c>
      <c r="J165" s="6" t="s">
        <v>1102</v>
      </c>
      <c r="K165" s="6" t="s">
        <v>1103</v>
      </c>
      <c r="L165" s="6" t="s">
        <v>1104</v>
      </c>
      <c r="M165" s="7" t="s">
        <v>1105</v>
      </c>
    </row>
    <row r="166" customFormat="false" ht="32.25" hidden="false" customHeight="true" outlineLevel="0" collapsed="false">
      <c r="A166" s="5" t="n">
        <f aca="false">ROW()-3</f>
        <v>163</v>
      </c>
      <c r="B166" s="6" t="s">
        <v>1106</v>
      </c>
      <c r="C166" s="6" t="s">
        <v>16</v>
      </c>
      <c r="D166" s="6" t="s">
        <v>1107</v>
      </c>
      <c r="E166" s="6" t="s">
        <v>447</v>
      </c>
      <c r="F166" s="5" t="n">
        <v>3</v>
      </c>
      <c r="G166" s="5" t="n">
        <v>18</v>
      </c>
      <c r="H166" s="5" t="n">
        <v>7</v>
      </c>
      <c r="I166" s="6" t="s">
        <v>1108</v>
      </c>
      <c r="J166" s="6" t="s">
        <v>1109</v>
      </c>
      <c r="K166" s="6" t="s">
        <v>1110</v>
      </c>
      <c r="L166" s="6" t="s">
        <v>1111</v>
      </c>
      <c r="M166" s="7" t="s">
        <v>1112</v>
      </c>
    </row>
    <row r="167" customFormat="false" ht="32.25" hidden="false" customHeight="true" outlineLevel="0" collapsed="false">
      <c r="A167" s="5" t="n">
        <f aca="false">ROW()-3</f>
        <v>164</v>
      </c>
      <c r="B167" s="6" t="s">
        <v>1113</v>
      </c>
      <c r="C167" s="6" t="s">
        <v>1040</v>
      </c>
      <c r="D167" s="6" t="s">
        <v>17</v>
      </c>
      <c r="E167" s="6" t="s">
        <v>231</v>
      </c>
      <c r="F167" s="5" t="n">
        <v>12</v>
      </c>
      <c r="G167" s="5" t="n">
        <v>99</v>
      </c>
      <c r="H167" s="5" t="n">
        <v>5</v>
      </c>
      <c r="I167" s="6" t="s">
        <v>1114</v>
      </c>
      <c r="J167" s="6" t="s">
        <v>1115</v>
      </c>
      <c r="K167" s="6" t="s">
        <v>1116</v>
      </c>
      <c r="L167" s="6" t="s">
        <v>1117</v>
      </c>
      <c r="M167" s="7" t="s">
        <v>1118</v>
      </c>
    </row>
    <row r="168" customFormat="false" ht="32.25" hidden="false" customHeight="true" outlineLevel="0" collapsed="false">
      <c r="A168" s="5" t="n">
        <f aca="false">ROW()-3</f>
        <v>165</v>
      </c>
      <c r="B168" s="6" t="s">
        <v>1119</v>
      </c>
      <c r="C168" s="6" t="s">
        <v>217</v>
      </c>
      <c r="D168" s="6" t="s">
        <v>17</v>
      </c>
      <c r="E168" s="6" t="s">
        <v>231</v>
      </c>
      <c r="F168" s="5" t="n">
        <v>12</v>
      </c>
      <c r="G168" s="5" t="n">
        <v>99</v>
      </c>
      <c r="H168" s="5" t="n">
        <v>4</v>
      </c>
      <c r="I168" s="6" t="s">
        <v>1120</v>
      </c>
      <c r="J168" s="6" t="s">
        <v>1121</v>
      </c>
      <c r="K168" s="6" t="s">
        <v>1122</v>
      </c>
      <c r="L168" s="6" t="s">
        <v>1123</v>
      </c>
      <c r="M168" s="7" t="s">
        <v>1124</v>
      </c>
    </row>
    <row r="169" customFormat="false" ht="32.25" hidden="false" customHeight="true" outlineLevel="0" collapsed="false">
      <c r="A169" s="5" t="n">
        <f aca="false">ROW()-3</f>
        <v>166</v>
      </c>
      <c r="B169" s="6" t="s">
        <v>1125</v>
      </c>
      <c r="C169" s="6" t="s">
        <v>217</v>
      </c>
      <c r="D169" s="6" t="s">
        <v>33</v>
      </c>
      <c r="E169" s="6" t="s">
        <v>684</v>
      </c>
      <c r="F169" s="5" t="n">
        <v>3</v>
      </c>
      <c r="G169" s="5" t="n">
        <v>17</v>
      </c>
      <c r="H169" s="5" t="n">
        <v>10</v>
      </c>
      <c r="I169" s="6" t="s">
        <v>1126</v>
      </c>
      <c r="J169" s="6" t="s">
        <v>1127</v>
      </c>
      <c r="K169" s="6" t="s">
        <v>1128</v>
      </c>
      <c r="L169" s="6" t="s">
        <v>1129</v>
      </c>
      <c r="M169" s="7" t="s">
        <v>1130</v>
      </c>
    </row>
    <row r="170" customFormat="false" ht="32.25" hidden="false" customHeight="true" outlineLevel="0" collapsed="false">
      <c r="A170" s="5" t="n">
        <f aca="false">ROW()-3</f>
        <v>167</v>
      </c>
      <c r="B170" s="6" t="s">
        <v>1131</v>
      </c>
      <c r="C170" s="6" t="s">
        <v>217</v>
      </c>
      <c r="D170" s="6" t="s">
        <v>156</v>
      </c>
      <c r="E170" s="6" t="s">
        <v>684</v>
      </c>
      <c r="F170" s="5" t="n">
        <v>3</v>
      </c>
      <c r="G170" s="5" t="n">
        <v>17</v>
      </c>
      <c r="H170" s="5" t="n">
        <v>5</v>
      </c>
      <c r="I170" s="6" t="s">
        <v>1132</v>
      </c>
      <c r="J170" s="6" t="s">
        <v>1133</v>
      </c>
      <c r="K170" s="6" t="s">
        <v>1134</v>
      </c>
      <c r="L170" s="6" t="s">
        <v>1135</v>
      </c>
      <c r="M170" s="7" t="s">
        <v>1136</v>
      </c>
    </row>
    <row r="171" customFormat="false" ht="32.25" hidden="false" customHeight="true" outlineLevel="0" collapsed="false">
      <c r="A171" s="5" t="n">
        <f aca="false">ROW()-3</f>
        <v>168</v>
      </c>
      <c r="B171" s="6" t="s">
        <v>1137</v>
      </c>
      <c r="C171" s="6" t="s">
        <v>217</v>
      </c>
      <c r="D171" s="6" t="s">
        <v>1138</v>
      </c>
      <c r="E171" s="6" t="s">
        <v>447</v>
      </c>
      <c r="F171" s="5" t="n">
        <v>3</v>
      </c>
      <c r="G171" s="5" t="n">
        <v>18</v>
      </c>
      <c r="H171" s="5" t="n">
        <v>7</v>
      </c>
      <c r="I171" s="6" t="s">
        <v>1139</v>
      </c>
      <c r="J171" s="6" t="s">
        <v>1140</v>
      </c>
      <c r="K171" s="6" t="s">
        <v>1141</v>
      </c>
      <c r="L171" s="6" t="s">
        <v>1142</v>
      </c>
      <c r="M171" s="7" t="s">
        <v>1143</v>
      </c>
    </row>
    <row r="172" customFormat="false" ht="32.25" hidden="false" customHeight="true" outlineLevel="0" collapsed="false">
      <c r="A172" s="5" t="n">
        <f aca="false">ROW()-3</f>
        <v>169</v>
      </c>
      <c r="B172" s="6" t="s">
        <v>1144</v>
      </c>
      <c r="C172" s="6" t="s">
        <v>208</v>
      </c>
      <c r="D172" s="6" t="s">
        <v>33</v>
      </c>
      <c r="E172" s="6" t="s">
        <v>1145</v>
      </c>
      <c r="F172" s="5" t="n">
        <v>3</v>
      </c>
      <c r="G172" s="5" t="n">
        <v>7</v>
      </c>
      <c r="H172" s="5" t="n">
        <v>18</v>
      </c>
      <c r="I172" s="6" t="s">
        <v>1146</v>
      </c>
      <c r="J172" s="6" t="s">
        <v>1147</v>
      </c>
      <c r="K172" s="6" t="s">
        <v>1148</v>
      </c>
      <c r="L172" s="6" t="s">
        <v>1149</v>
      </c>
      <c r="M172" s="7" t="s">
        <v>1150</v>
      </c>
    </row>
    <row r="173" customFormat="false" ht="32.25" hidden="false" customHeight="true" outlineLevel="0" collapsed="false">
      <c r="A173" s="5" t="n">
        <f aca="false">ROW()-3</f>
        <v>170</v>
      </c>
      <c r="B173" s="6" t="s">
        <v>1151</v>
      </c>
      <c r="C173" s="6" t="s">
        <v>278</v>
      </c>
      <c r="D173" s="6" t="s">
        <v>17</v>
      </c>
      <c r="E173" s="6" t="s">
        <v>1152</v>
      </c>
      <c r="F173" s="5" t="n">
        <v>8</v>
      </c>
      <c r="G173" s="5" t="n">
        <v>16</v>
      </c>
      <c r="H173" s="5" t="n">
        <v>13</v>
      </c>
      <c r="I173" s="6" t="s">
        <v>1153</v>
      </c>
      <c r="J173" s="6" t="s">
        <v>1154</v>
      </c>
      <c r="K173" s="6" t="s">
        <v>1155</v>
      </c>
      <c r="L173" s="6" t="s">
        <v>1156</v>
      </c>
      <c r="M173" s="7" t="s">
        <v>1157</v>
      </c>
    </row>
    <row r="174" customFormat="false" ht="32.25" hidden="false" customHeight="true" outlineLevel="0" collapsed="false">
      <c r="A174" s="5" t="n">
        <f aca="false">ROW()-3</f>
        <v>171</v>
      </c>
      <c r="B174" s="6" t="s">
        <v>1158</v>
      </c>
      <c r="C174" s="6" t="s">
        <v>278</v>
      </c>
      <c r="D174" s="6" t="s">
        <v>33</v>
      </c>
      <c r="E174" s="6" t="s">
        <v>52</v>
      </c>
      <c r="F174" s="5" t="n">
        <v>0</v>
      </c>
      <c r="G174" s="5" t="n">
        <v>18</v>
      </c>
      <c r="H174" s="5" t="n">
        <v>15</v>
      </c>
      <c r="I174" s="6" t="s">
        <v>1159</v>
      </c>
      <c r="J174" s="6" t="s">
        <v>1160</v>
      </c>
      <c r="K174" s="6" t="s">
        <v>1161</v>
      </c>
      <c r="L174" s="6" t="s">
        <v>1162</v>
      </c>
      <c r="M174" s="7" t="s">
        <v>1163</v>
      </c>
    </row>
    <row r="175" customFormat="false" ht="32.25" hidden="false" customHeight="true" outlineLevel="0" collapsed="false">
      <c r="A175" s="5" t="n">
        <f aca="false">ROW()-3</f>
        <v>172</v>
      </c>
      <c r="B175" s="6" t="s">
        <v>1164</v>
      </c>
      <c r="C175" s="6" t="s">
        <v>424</v>
      </c>
      <c r="D175" s="6" t="s">
        <v>17</v>
      </c>
      <c r="E175" s="6" t="s">
        <v>95</v>
      </c>
      <c r="F175" s="5" t="n">
        <v>6</v>
      </c>
      <c r="G175" s="5" t="n">
        <v>18</v>
      </c>
      <c r="H175" s="5" t="n">
        <v>11</v>
      </c>
      <c r="I175" s="6" t="s">
        <v>1165</v>
      </c>
      <c r="J175" s="6" t="s">
        <v>1166</v>
      </c>
      <c r="K175" s="6" t="s">
        <v>1167</v>
      </c>
      <c r="L175" s="6" t="s">
        <v>1168</v>
      </c>
      <c r="M175" s="7" t="s">
        <v>1169</v>
      </c>
    </row>
    <row r="176" customFormat="false" ht="32.25" hidden="false" customHeight="true" outlineLevel="0" collapsed="false">
      <c r="A176" s="5" t="n">
        <f aca="false">ROW()-3</f>
        <v>173</v>
      </c>
      <c r="B176" s="6" t="s">
        <v>1170</v>
      </c>
      <c r="C176" s="6" t="s">
        <v>424</v>
      </c>
      <c r="D176" s="6" t="s">
        <v>33</v>
      </c>
      <c r="E176" s="6" t="s">
        <v>179</v>
      </c>
      <c r="F176" s="5" t="n">
        <v>4</v>
      </c>
      <c r="G176" s="5" t="n">
        <v>18</v>
      </c>
      <c r="H176" s="5" t="n">
        <v>5</v>
      </c>
      <c r="I176" s="6" t="s">
        <v>1171</v>
      </c>
      <c r="J176" s="6" t="s">
        <v>1172</v>
      </c>
      <c r="K176" s="6" t="s">
        <v>1173</v>
      </c>
      <c r="L176" s="6" t="s">
        <v>1174</v>
      </c>
      <c r="M176" s="7" t="s">
        <v>1175</v>
      </c>
    </row>
    <row r="177" customFormat="false" ht="32.25" hidden="false" customHeight="true" outlineLevel="0" collapsed="false">
      <c r="A177" s="5" t="n">
        <f aca="false">ROW()-3</f>
        <v>174</v>
      </c>
      <c r="B177" s="6" t="s">
        <v>1176</v>
      </c>
      <c r="C177" s="6" t="s">
        <v>122</v>
      </c>
      <c r="D177" s="6" t="s">
        <v>17</v>
      </c>
      <c r="E177" s="6" t="s">
        <v>1177</v>
      </c>
      <c r="F177" s="5" t="n">
        <v>8</v>
      </c>
      <c r="G177" s="5" t="n">
        <v>14</v>
      </c>
      <c r="H177" s="5" t="n">
        <v>9</v>
      </c>
      <c r="I177" s="6" t="s">
        <v>1178</v>
      </c>
      <c r="J177" s="6" t="s">
        <v>1179</v>
      </c>
      <c r="K177" s="6" t="s">
        <v>1180</v>
      </c>
      <c r="L177" s="6" t="s">
        <v>1181</v>
      </c>
      <c r="M177" s="7" t="s">
        <v>1182</v>
      </c>
    </row>
    <row r="178" customFormat="false" ht="32.25" hidden="false" customHeight="true" outlineLevel="0" collapsed="false">
      <c r="A178" s="5" t="n">
        <f aca="false">ROW()-3</f>
        <v>175</v>
      </c>
      <c r="B178" s="6" t="s">
        <v>1183</v>
      </c>
      <c r="C178" s="6" t="s">
        <v>122</v>
      </c>
      <c r="D178" s="6" t="s">
        <v>33</v>
      </c>
      <c r="E178" s="6" t="s">
        <v>595</v>
      </c>
      <c r="F178" s="5" t="n">
        <v>6</v>
      </c>
      <c r="G178" s="5" t="n">
        <v>14</v>
      </c>
      <c r="H178" s="5" t="n">
        <v>10</v>
      </c>
      <c r="I178" s="6" t="s">
        <v>1184</v>
      </c>
      <c r="J178" s="6" t="s">
        <v>1185</v>
      </c>
      <c r="K178" s="6" t="s">
        <v>1186</v>
      </c>
      <c r="L178" s="6" t="s">
        <v>1187</v>
      </c>
      <c r="M178" s="7" t="s">
        <v>1188</v>
      </c>
    </row>
    <row r="179" customFormat="false" ht="32.25" hidden="false" customHeight="true" outlineLevel="0" collapsed="false">
      <c r="A179" s="5" t="n">
        <f aca="false">ROW()-3</f>
        <v>176</v>
      </c>
      <c r="B179" s="6" t="s">
        <v>1189</v>
      </c>
      <c r="C179" s="6" t="s">
        <v>122</v>
      </c>
      <c r="D179" s="6" t="s">
        <v>33</v>
      </c>
      <c r="E179" s="6" t="s">
        <v>684</v>
      </c>
      <c r="F179" s="5" t="n">
        <v>3</v>
      </c>
      <c r="G179" s="5" t="n">
        <v>17</v>
      </c>
      <c r="H179" s="5" t="n">
        <v>22</v>
      </c>
      <c r="I179" s="6" t="s">
        <v>1190</v>
      </c>
      <c r="J179" s="6" t="s">
        <v>1191</v>
      </c>
      <c r="K179" s="6" t="s">
        <v>1192</v>
      </c>
      <c r="L179" s="6" t="s">
        <v>1193</v>
      </c>
      <c r="M179" s="7" t="s">
        <v>1194</v>
      </c>
    </row>
    <row r="180" customFormat="false" ht="32.25" hidden="false" customHeight="true" outlineLevel="0" collapsed="false">
      <c r="A180" s="5" t="n">
        <f aca="false">ROW()-3</f>
        <v>177</v>
      </c>
      <c r="B180" s="6" t="s">
        <v>1195</v>
      </c>
      <c r="C180" s="6" t="s">
        <v>122</v>
      </c>
      <c r="D180" s="6" t="s">
        <v>33</v>
      </c>
      <c r="E180" s="6" t="s">
        <v>684</v>
      </c>
      <c r="F180" s="5" t="n">
        <v>3</v>
      </c>
      <c r="G180" s="5" t="n">
        <v>17</v>
      </c>
      <c r="H180" s="5" t="n">
        <v>9</v>
      </c>
      <c r="I180" s="6" t="s">
        <v>1196</v>
      </c>
      <c r="J180" s="6" t="s">
        <v>1197</v>
      </c>
      <c r="K180" s="6" t="s">
        <v>1198</v>
      </c>
      <c r="L180" s="6" t="s">
        <v>1199</v>
      </c>
      <c r="M180" s="7" t="s">
        <v>1200</v>
      </c>
    </row>
    <row r="181" customFormat="false" ht="32.25" hidden="false" customHeight="true" outlineLevel="0" collapsed="false">
      <c r="A181" s="5" t="n">
        <f aca="false">ROW()-3</f>
        <v>178</v>
      </c>
      <c r="B181" s="6" t="s">
        <v>1201</v>
      </c>
      <c r="C181" s="6" t="s">
        <v>217</v>
      </c>
      <c r="D181" s="6" t="s">
        <v>1202</v>
      </c>
      <c r="E181" s="6" t="s">
        <v>1203</v>
      </c>
      <c r="F181" s="5" t="n">
        <v>14</v>
      </c>
      <c r="G181" s="5" t="n">
        <v>99</v>
      </c>
      <c r="H181" s="5" t="n">
        <v>6</v>
      </c>
      <c r="I181" s="6" t="s">
        <v>1204</v>
      </c>
      <c r="J181" s="6" t="s">
        <v>1205</v>
      </c>
      <c r="K181" s="6" t="s">
        <v>1206</v>
      </c>
      <c r="L181" s="6" t="s">
        <v>1207</v>
      </c>
      <c r="M181" s="7" t="s">
        <v>1208</v>
      </c>
    </row>
    <row r="182" customFormat="false" ht="32.25" hidden="false" customHeight="true" outlineLevel="0" collapsed="false">
      <c r="A182" s="5" t="n">
        <f aca="false">ROW()-3</f>
        <v>179</v>
      </c>
      <c r="B182" s="6" t="s">
        <v>1209</v>
      </c>
      <c r="C182" s="6" t="s">
        <v>217</v>
      </c>
      <c r="D182" s="6" t="s">
        <v>1210</v>
      </c>
      <c r="E182" s="6" t="s">
        <v>1211</v>
      </c>
      <c r="F182" s="5" t="n">
        <v>13</v>
      </c>
      <c r="G182" s="5" t="n">
        <v>99</v>
      </c>
      <c r="H182" s="5" t="n">
        <v>6</v>
      </c>
      <c r="I182" s="6" t="s">
        <v>1212</v>
      </c>
      <c r="J182" s="6" t="s">
        <v>1213</v>
      </c>
      <c r="K182" s="6" t="s">
        <v>1214</v>
      </c>
      <c r="L182" s="6" t="s">
        <v>1215</v>
      </c>
      <c r="M182" s="7" t="s">
        <v>1216</v>
      </c>
    </row>
    <row r="183" customFormat="false" ht="32.25" hidden="false" customHeight="true" outlineLevel="0" collapsed="false">
      <c r="A183" s="5" t="n">
        <f aca="false">ROW()-3</f>
        <v>180</v>
      </c>
      <c r="B183" s="6" t="s">
        <v>1217</v>
      </c>
      <c r="C183" s="6" t="s">
        <v>217</v>
      </c>
      <c r="D183" s="6" t="s">
        <v>1210</v>
      </c>
      <c r="E183" s="6" t="s">
        <v>1211</v>
      </c>
      <c r="F183" s="5" t="n">
        <v>13</v>
      </c>
      <c r="G183" s="5" t="n">
        <v>99</v>
      </c>
      <c r="H183" s="5" t="n">
        <v>6</v>
      </c>
      <c r="I183" s="6" t="s">
        <v>1218</v>
      </c>
      <c r="J183" s="6" t="s">
        <v>1219</v>
      </c>
      <c r="K183" s="6" t="s">
        <v>1220</v>
      </c>
      <c r="L183" s="6" t="s">
        <v>1221</v>
      </c>
      <c r="M183" s="7" t="s">
        <v>1222</v>
      </c>
    </row>
    <row r="184" customFormat="false" ht="32.25" hidden="false" customHeight="true" outlineLevel="0" collapsed="false">
      <c r="A184" s="5" t="n">
        <f aca="false">ROW()-3</f>
        <v>181</v>
      </c>
      <c r="B184" s="6" t="s">
        <v>1223</v>
      </c>
      <c r="C184" s="6" t="s">
        <v>217</v>
      </c>
      <c r="D184" s="6" t="s">
        <v>1210</v>
      </c>
      <c r="E184" s="6" t="s">
        <v>1224</v>
      </c>
      <c r="F184" s="5" t="n">
        <v>18</v>
      </c>
      <c r="G184" s="5" t="n">
        <v>99</v>
      </c>
      <c r="H184" s="5" t="n">
        <v>11</v>
      </c>
      <c r="I184" s="6" t="s">
        <v>1225</v>
      </c>
      <c r="J184" s="6" t="s">
        <v>1226</v>
      </c>
      <c r="K184" s="6" t="s">
        <v>1227</v>
      </c>
      <c r="L184" s="6" t="s">
        <v>1228</v>
      </c>
      <c r="M184" s="7" t="s">
        <v>1229</v>
      </c>
    </row>
    <row r="185" customFormat="false" ht="32.25" hidden="false" customHeight="true" outlineLevel="0" collapsed="false">
      <c r="A185" s="5" t="n">
        <f aca="false">ROW()-3</f>
        <v>182</v>
      </c>
      <c r="B185" s="6" t="s">
        <v>1230</v>
      </c>
      <c r="C185" s="6" t="s">
        <v>131</v>
      </c>
      <c r="D185" s="6" t="s">
        <v>17</v>
      </c>
      <c r="E185" s="6" t="s">
        <v>1231</v>
      </c>
      <c r="F185" s="5" t="n">
        <v>18</v>
      </c>
      <c r="G185" s="5" t="n">
        <v>90</v>
      </c>
      <c r="H185" s="5" t="n">
        <v>14</v>
      </c>
      <c r="I185" s="6" t="s">
        <v>1232</v>
      </c>
      <c r="J185" s="6" t="s">
        <v>1233</v>
      </c>
      <c r="K185" s="6" t="s">
        <v>1234</v>
      </c>
      <c r="L185" s="6" t="s">
        <v>1235</v>
      </c>
      <c r="M185" s="7" t="s">
        <v>1236</v>
      </c>
    </row>
    <row r="186" customFormat="false" ht="32.25" hidden="false" customHeight="true" outlineLevel="0" collapsed="false">
      <c r="A186" s="5" t="n">
        <f aca="false">ROW()-3</f>
        <v>183</v>
      </c>
      <c r="B186" s="6" t="s">
        <v>1237</v>
      </c>
      <c r="C186" s="6" t="s">
        <v>131</v>
      </c>
      <c r="D186" s="6" t="s">
        <v>1238</v>
      </c>
      <c r="E186" s="6" t="s">
        <v>1231</v>
      </c>
      <c r="F186" s="5" t="n">
        <v>18</v>
      </c>
      <c r="G186" s="5" t="n">
        <v>90</v>
      </c>
      <c r="H186" s="5" t="n">
        <v>14</v>
      </c>
      <c r="I186" s="6" t="s">
        <v>1239</v>
      </c>
      <c r="J186" s="6" t="s">
        <v>1233</v>
      </c>
      <c r="K186" s="6" t="s">
        <v>1240</v>
      </c>
      <c r="L186" s="6" t="s">
        <v>1241</v>
      </c>
      <c r="M186" s="7" t="s">
        <v>1242</v>
      </c>
    </row>
    <row r="187" customFormat="false" ht="32.25" hidden="false" customHeight="true" outlineLevel="0" collapsed="false">
      <c r="A187" s="5" t="n">
        <f aca="false">ROW()-3</f>
        <v>184</v>
      </c>
      <c r="B187" s="6" t="s">
        <v>1243</v>
      </c>
      <c r="C187" s="6" t="s">
        <v>1040</v>
      </c>
      <c r="D187" s="6" t="s">
        <v>1210</v>
      </c>
      <c r="E187" s="6" t="s">
        <v>1224</v>
      </c>
      <c r="F187" s="5" t="n">
        <v>18</v>
      </c>
      <c r="G187" s="5" t="n">
        <v>99</v>
      </c>
      <c r="H187" s="5" t="n">
        <v>14</v>
      </c>
      <c r="I187" s="6" t="s">
        <v>1244</v>
      </c>
      <c r="J187" s="6" t="s">
        <v>1245</v>
      </c>
      <c r="K187" s="6" t="s">
        <v>1246</v>
      </c>
      <c r="L187" s="6" t="s">
        <v>1247</v>
      </c>
      <c r="M187" s="7" t="s">
        <v>1248</v>
      </c>
    </row>
    <row r="188" customFormat="false" ht="32.25" hidden="false" customHeight="true" outlineLevel="0" collapsed="false">
      <c r="A188" s="5" t="n">
        <f aca="false">ROW()-3</f>
        <v>185</v>
      </c>
      <c r="B188" s="6" t="s">
        <v>1249</v>
      </c>
      <c r="C188" s="6" t="s">
        <v>1040</v>
      </c>
      <c r="D188" s="6" t="s">
        <v>1210</v>
      </c>
      <c r="E188" s="6" t="s">
        <v>1224</v>
      </c>
      <c r="F188" s="5" t="n">
        <v>18</v>
      </c>
      <c r="G188" s="5" t="n">
        <v>99</v>
      </c>
      <c r="H188" s="5" t="n">
        <v>15</v>
      </c>
      <c r="I188" s="6" t="s">
        <v>1250</v>
      </c>
      <c r="J188" s="6" t="s">
        <v>1251</v>
      </c>
      <c r="K188" s="6" t="s">
        <v>1252</v>
      </c>
      <c r="L188" s="6" t="s">
        <v>1253</v>
      </c>
      <c r="M188" s="7" t="s">
        <v>1254</v>
      </c>
    </row>
    <row r="189" customFormat="false" ht="32.25" hidden="false" customHeight="true" outlineLevel="0" collapsed="false">
      <c r="A189" s="5" t="n">
        <f aca="false">ROW()-3</f>
        <v>186</v>
      </c>
      <c r="B189" s="6" t="s">
        <v>1255</v>
      </c>
      <c r="C189" s="6" t="s">
        <v>217</v>
      </c>
      <c r="D189" s="6" t="s">
        <v>1210</v>
      </c>
      <c r="E189" s="6" t="s">
        <v>1224</v>
      </c>
      <c r="F189" s="5" t="n">
        <v>18</v>
      </c>
      <c r="G189" s="5" t="n">
        <v>99</v>
      </c>
      <c r="H189" s="5" t="n">
        <v>12</v>
      </c>
      <c r="I189" s="6" t="s">
        <v>1256</v>
      </c>
      <c r="J189" s="6" t="s">
        <v>1257</v>
      </c>
      <c r="K189" s="6" t="s">
        <v>1258</v>
      </c>
      <c r="L189" s="6" t="s">
        <v>1259</v>
      </c>
      <c r="M189" s="7" t="s">
        <v>1260</v>
      </c>
    </row>
    <row r="190" customFormat="false" ht="32.25" hidden="false" customHeight="true" outlineLevel="0" collapsed="false">
      <c r="A190" s="5" t="n">
        <f aca="false">ROW()-3</f>
        <v>187</v>
      </c>
      <c r="B190" s="6" t="s">
        <v>1261</v>
      </c>
      <c r="C190" s="6" t="s">
        <v>217</v>
      </c>
      <c r="D190" s="6" t="s">
        <v>1202</v>
      </c>
      <c r="E190" s="6" t="s">
        <v>1262</v>
      </c>
      <c r="F190" s="5" t="n">
        <v>12</v>
      </c>
      <c r="G190" s="5" t="n">
        <v>17</v>
      </c>
      <c r="H190" s="5" t="n">
        <v>12</v>
      </c>
      <c r="I190" s="6" t="s">
        <v>1256</v>
      </c>
      <c r="J190" s="6" t="s">
        <v>1257</v>
      </c>
      <c r="K190" s="6" t="s">
        <v>1263</v>
      </c>
      <c r="L190" s="6" t="s">
        <v>1264</v>
      </c>
      <c r="M190" s="7" t="s">
        <v>1265</v>
      </c>
    </row>
    <row r="191" customFormat="false" ht="32.25" hidden="false" customHeight="true" outlineLevel="0" collapsed="false">
      <c r="A191" s="5" t="n">
        <f aca="false">ROW()-3</f>
        <v>188</v>
      </c>
      <c r="B191" s="6" t="s">
        <v>1266</v>
      </c>
      <c r="C191" s="6" t="s">
        <v>217</v>
      </c>
      <c r="D191" s="6" t="s">
        <v>1210</v>
      </c>
      <c r="E191" s="6" t="s">
        <v>1224</v>
      </c>
      <c r="F191" s="5" t="n">
        <v>18</v>
      </c>
      <c r="G191" s="5" t="n">
        <v>99</v>
      </c>
      <c r="H191" s="5" t="n">
        <v>8</v>
      </c>
      <c r="I191" s="6" t="s">
        <v>1267</v>
      </c>
      <c r="J191" s="6" t="s">
        <v>1268</v>
      </c>
      <c r="K191" s="6" t="s">
        <v>1269</v>
      </c>
      <c r="L191" s="6" t="s">
        <v>1270</v>
      </c>
      <c r="M191" s="7" t="s">
        <v>1271</v>
      </c>
    </row>
    <row r="192" customFormat="false" ht="32.25" hidden="false" customHeight="true" outlineLevel="0" collapsed="false">
      <c r="A192" s="5" t="n">
        <f aca="false">ROW()-3</f>
        <v>189</v>
      </c>
      <c r="B192" s="6" t="s">
        <v>1272</v>
      </c>
      <c r="C192" s="6" t="s">
        <v>217</v>
      </c>
      <c r="D192" s="6" t="s">
        <v>1202</v>
      </c>
      <c r="E192" s="6" t="s">
        <v>1262</v>
      </c>
      <c r="F192" s="5" t="n">
        <v>12</v>
      </c>
      <c r="G192" s="5" t="n">
        <v>17</v>
      </c>
      <c r="H192" s="5" t="n">
        <v>8</v>
      </c>
      <c r="I192" s="6" t="s">
        <v>1267</v>
      </c>
      <c r="J192" s="6" t="s">
        <v>1268</v>
      </c>
      <c r="K192" s="6" t="s">
        <v>1273</v>
      </c>
      <c r="L192" s="6" t="s">
        <v>1274</v>
      </c>
      <c r="M192" s="7" t="s">
        <v>1275</v>
      </c>
    </row>
    <row r="193" customFormat="false" ht="32.25" hidden="false" customHeight="true" outlineLevel="0" collapsed="false">
      <c r="A193" s="5" t="n">
        <f aca="false">ROW()-3</f>
        <v>190</v>
      </c>
      <c r="B193" s="6" t="s">
        <v>1276</v>
      </c>
      <c r="C193" s="6" t="s">
        <v>131</v>
      </c>
      <c r="D193" s="6" t="s">
        <v>1202</v>
      </c>
      <c r="E193" s="6" t="s">
        <v>1224</v>
      </c>
      <c r="F193" s="5" t="n">
        <v>18</v>
      </c>
      <c r="G193" s="5" t="n">
        <v>99</v>
      </c>
      <c r="H193" s="5" t="n">
        <v>12</v>
      </c>
      <c r="I193" s="6" t="s">
        <v>1277</v>
      </c>
      <c r="J193" s="6" t="s">
        <v>1278</v>
      </c>
      <c r="K193" s="6" t="s">
        <v>1279</v>
      </c>
      <c r="L193" s="6" t="s">
        <v>1280</v>
      </c>
      <c r="M193" s="7" t="s">
        <v>1281</v>
      </c>
    </row>
    <row r="194" customFormat="false" ht="32.25" hidden="false" customHeight="true" outlineLevel="0" collapsed="false">
      <c r="A194" s="5" t="n">
        <f aca="false">ROW()-3</f>
        <v>191</v>
      </c>
      <c r="B194" s="6" t="s">
        <v>1282</v>
      </c>
      <c r="C194" s="6" t="s">
        <v>131</v>
      </c>
      <c r="D194" s="6" t="s">
        <v>1283</v>
      </c>
      <c r="E194" s="6" t="s">
        <v>1224</v>
      </c>
      <c r="F194" s="5" t="n">
        <v>18</v>
      </c>
      <c r="G194" s="5" t="n">
        <v>99</v>
      </c>
      <c r="H194" s="5" t="n">
        <v>12</v>
      </c>
      <c r="I194" s="6" t="s">
        <v>1284</v>
      </c>
      <c r="J194" s="6" t="s">
        <v>1278</v>
      </c>
      <c r="K194" s="6" t="s">
        <v>1285</v>
      </c>
      <c r="L194" s="6" t="s">
        <v>1286</v>
      </c>
      <c r="M194" s="7" t="s">
        <v>1287</v>
      </c>
    </row>
    <row r="195" customFormat="false" ht="470.25" hidden="false" customHeight="true" outlineLevel="0" collapsed="false">
      <c r="A195" s="5" t="n">
        <f aca="false">ROW()-3</f>
        <v>192</v>
      </c>
      <c r="B195" s="6" t="s">
        <v>1288</v>
      </c>
      <c r="C195" s="6" t="s">
        <v>1289</v>
      </c>
      <c r="D195" s="6" t="s">
        <v>1290</v>
      </c>
      <c r="E195" s="6" t="s">
        <v>508</v>
      </c>
      <c r="F195" s="5" t="n">
        <v>7</v>
      </c>
      <c r="G195" s="5" t="n">
        <v>18</v>
      </c>
      <c r="H195" s="5" t="n">
        <v>13</v>
      </c>
      <c r="I195" s="6" t="s">
        <v>1291</v>
      </c>
      <c r="J195" s="6" t="s">
        <v>1292</v>
      </c>
      <c r="K195" s="6" t="s">
        <v>1293</v>
      </c>
      <c r="L195" s="6" t="s">
        <v>1294</v>
      </c>
      <c r="M195" s="7" t="s">
        <v>1295</v>
      </c>
    </row>
    <row r="196" customFormat="false" ht="480.75" hidden="false" customHeight="true" outlineLevel="0" collapsed="false">
      <c r="A196" s="5" t="n">
        <f aca="false">ROW()-3</f>
        <v>193</v>
      </c>
      <c r="B196" s="6" t="s">
        <v>1296</v>
      </c>
      <c r="C196" s="6" t="s">
        <v>1289</v>
      </c>
      <c r="D196" s="6" t="s">
        <v>1297</v>
      </c>
      <c r="E196" s="6" t="s">
        <v>1224</v>
      </c>
      <c r="F196" s="5" t="n">
        <v>18</v>
      </c>
      <c r="G196" s="5" t="n">
        <v>99</v>
      </c>
      <c r="H196" s="5" t="n">
        <v>14</v>
      </c>
      <c r="I196" s="6" t="s">
        <v>1298</v>
      </c>
      <c r="J196" s="6" t="s">
        <v>1299</v>
      </c>
      <c r="K196" s="6" t="s">
        <v>1300</v>
      </c>
      <c r="L196" s="6" t="s">
        <v>1301</v>
      </c>
      <c r="M196" s="7" t="s">
        <v>1302</v>
      </c>
    </row>
    <row r="197" customFormat="false" ht="543.75" hidden="false" customHeight="true" outlineLevel="0" collapsed="false">
      <c r="A197" s="5" t="n">
        <f aca="false">ROW()-3</f>
        <v>194</v>
      </c>
      <c r="B197" s="6" t="s">
        <v>1303</v>
      </c>
      <c r="C197" s="6" t="s">
        <v>1304</v>
      </c>
      <c r="D197" s="6" t="s">
        <v>1297</v>
      </c>
      <c r="E197" s="6" t="s">
        <v>1305</v>
      </c>
      <c r="F197" s="5" t="n">
        <v>12</v>
      </c>
      <c r="G197" s="5" t="n">
        <v>99</v>
      </c>
      <c r="H197" s="5" t="n">
        <v>16</v>
      </c>
      <c r="I197" s="6" t="s">
        <v>1306</v>
      </c>
      <c r="J197" s="6" t="s">
        <v>1307</v>
      </c>
      <c r="K197" s="6" t="s">
        <v>1308</v>
      </c>
      <c r="L197" s="6" t="s">
        <v>1309</v>
      </c>
      <c r="M197" s="7" t="s">
        <v>1310</v>
      </c>
    </row>
    <row r="198" customFormat="false" ht="712.5" hidden="false" customHeight="true" outlineLevel="0" collapsed="false">
      <c r="A198" s="5" t="n">
        <f aca="false">ROW()-3</f>
        <v>195</v>
      </c>
      <c r="B198" s="6" t="s">
        <v>1311</v>
      </c>
      <c r="C198" s="6" t="s">
        <v>424</v>
      </c>
      <c r="D198" s="6" t="s">
        <v>185</v>
      </c>
      <c r="E198" s="6" t="s">
        <v>179</v>
      </c>
      <c r="F198" s="5" t="n">
        <v>4</v>
      </c>
      <c r="G198" s="5" t="n">
        <v>18</v>
      </c>
      <c r="H198" s="5" t="n">
        <v>14</v>
      </c>
      <c r="I198" s="6" t="s">
        <v>1312</v>
      </c>
      <c r="J198" s="6" t="s">
        <v>1313</v>
      </c>
      <c r="K198" s="6" t="s">
        <v>1314</v>
      </c>
      <c r="L198" s="6" t="s">
        <v>1315</v>
      </c>
      <c r="M198" s="7" t="s">
        <v>1316</v>
      </c>
    </row>
    <row r="199" customFormat="false" ht="712.5" hidden="false" customHeight="true" outlineLevel="0" collapsed="false">
      <c r="A199" s="5" t="n">
        <f aca="false">ROW()-3</f>
        <v>196</v>
      </c>
      <c r="B199" s="6" t="s">
        <v>1317</v>
      </c>
      <c r="C199" s="6" t="s">
        <v>16</v>
      </c>
      <c r="D199" s="6" t="s">
        <v>1318</v>
      </c>
      <c r="E199" s="6" t="s">
        <v>1319</v>
      </c>
      <c r="F199" s="5" t="n">
        <v>11</v>
      </c>
      <c r="G199" s="5" t="n">
        <v>99</v>
      </c>
      <c r="H199" s="5" t="n">
        <v>15</v>
      </c>
      <c r="I199" s="6" t="s">
        <v>1320</v>
      </c>
      <c r="J199" s="6" t="s">
        <v>1321</v>
      </c>
      <c r="K199" s="6" t="s">
        <v>1322</v>
      </c>
      <c r="L199" s="6" t="s">
        <v>1323</v>
      </c>
      <c r="M199" s="7" t="s">
        <v>1324</v>
      </c>
    </row>
    <row r="200" customFormat="false" ht="712.5" hidden="false" customHeight="true" outlineLevel="0" collapsed="false">
      <c r="A200" s="5" t="n">
        <f aca="false">ROW()-3</f>
        <v>197</v>
      </c>
      <c r="B200" s="6" t="s">
        <v>1325</v>
      </c>
      <c r="C200" s="6" t="s">
        <v>208</v>
      </c>
      <c r="D200" s="6" t="s">
        <v>1202</v>
      </c>
      <c r="E200" s="6" t="s">
        <v>1305</v>
      </c>
      <c r="F200" s="5" t="n">
        <v>12</v>
      </c>
      <c r="G200" s="5" t="n">
        <v>99</v>
      </c>
      <c r="H200" s="5" t="n">
        <v>15</v>
      </c>
      <c r="I200" s="6" t="s">
        <v>1326</v>
      </c>
      <c r="J200" s="6" t="s">
        <v>1327</v>
      </c>
      <c r="K200" s="6" t="s">
        <v>1328</v>
      </c>
      <c r="L200" s="6" t="s">
        <v>1329</v>
      </c>
      <c r="M200" s="7" t="s">
        <v>1330</v>
      </c>
    </row>
    <row r="201" customFormat="false" ht="712.5" hidden="false" customHeight="true" outlineLevel="0" collapsed="false">
      <c r="A201" s="5" t="n">
        <f aca="false">ROW()-3</f>
        <v>198</v>
      </c>
      <c r="B201" s="6" t="s">
        <v>1331</v>
      </c>
      <c r="C201" s="6" t="s">
        <v>217</v>
      </c>
      <c r="D201" s="6" t="s">
        <v>1332</v>
      </c>
      <c r="E201" s="6" t="s">
        <v>1333</v>
      </c>
      <c r="F201" s="5" t="n">
        <v>6</v>
      </c>
      <c r="G201" s="5" t="n">
        <v>99</v>
      </c>
      <c r="H201" s="5" t="n">
        <v>19</v>
      </c>
      <c r="I201" s="6" t="s">
        <v>1334</v>
      </c>
      <c r="J201" s="6" t="s">
        <v>1335</v>
      </c>
      <c r="K201" s="6" t="s">
        <v>1336</v>
      </c>
      <c r="L201" s="6" t="s">
        <v>1337</v>
      </c>
      <c r="M201" s="7" t="s">
        <v>1338</v>
      </c>
    </row>
    <row r="202" customFormat="false" ht="712.5" hidden="false" customHeight="true" outlineLevel="0" collapsed="false">
      <c r="A202" s="5" t="n">
        <f aca="false">ROW()-3</f>
        <v>199</v>
      </c>
      <c r="B202" s="6" t="s">
        <v>1339</v>
      </c>
      <c r="C202" s="6" t="s">
        <v>16</v>
      </c>
      <c r="D202" s="6" t="s">
        <v>1202</v>
      </c>
      <c r="E202" s="6" t="s">
        <v>108</v>
      </c>
      <c r="F202" s="5" t="n">
        <v>11</v>
      </c>
      <c r="G202" s="5" t="n">
        <v>18</v>
      </c>
      <c r="H202" s="5" t="n">
        <v>11</v>
      </c>
      <c r="I202" s="6" t="s">
        <v>1340</v>
      </c>
      <c r="J202" s="6" t="s">
        <v>1341</v>
      </c>
      <c r="K202" s="6" t="s">
        <v>1342</v>
      </c>
      <c r="L202" s="6" t="s">
        <v>1343</v>
      </c>
      <c r="M202" s="7" t="s">
        <v>1344</v>
      </c>
    </row>
    <row r="203" customFormat="false" ht="712.5" hidden="false" customHeight="true" outlineLevel="0" collapsed="false">
      <c r="A203" s="5" t="n">
        <f aca="false">ROW()-3</f>
        <v>200</v>
      </c>
      <c r="B203" s="6" t="s">
        <v>1345</v>
      </c>
      <c r="C203" s="6" t="s">
        <v>16</v>
      </c>
      <c r="D203" s="6" t="s">
        <v>1346</v>
      </c>
      <c r="E203" s="6" t="s">
        <v>1347</v>
      </c>
      <c r="F203" s="5" t="n">
        <v>6</v>
      </c>
      <c r="G203" s="5" t="n">
        <v>10</v>
      </c>
      <c r="H203" s="5" t="n">
        <v>11</v>
      </c>
      <c r="I203" s="6" t="s">
        <v>1348</v>
      </c>
      <c r="J203" s="6" t="s">
        <v>1341</v>
      </c>
      <c r="K203" s="6" t="s">
        <v>1349</v>
      </c>
      <c r="L203" s="6" t="s">
        <v>1350</v>
      </c>
      <c r="M203" s="7" t="s">
        <v>1351</v>
      </c>
    </row>
    <row r="204" customFormat="false" ht="712.5" hidden="false" customHeight="true" outlineLevel="0" collapsed="false">
      <c r="A204" s="5" t="n">
        <f aca="false">ROW()-3</f>
        <v>201</v>
      </c>
      <c r="B204" s="6" t="s">
        <v>1352</v>
      </c>
      <c r="C204" s="6" t="s">
        <v>16</v>
      </c>
      <c r="D204" s="6" t="s">
        <v>1353</v>
      </c>
      <c r="E204" s="6" t="s">
        <v>95</v>
      </c>
      <c r="F204" s="5" t="n">
        <v>6</v>
      </c>
      <c r="G204" s="5" t="n">
        <v>18</v>
      </c>
      <c r="H204" s="5" t="n">
        <v>5</v>
      </c>
      <c r="I204" s="6" t="s">
        <v>1354</v>
      </c>
      <c r="J204" s="6" t="s">
        <v>1355</v>
      </c>
      <c r="K204" s="6" t="s">
        <v>1356</v>
      </c>
      <c r="L204" s="6" t="s">
        <v>1357</v>
      </c>
      <c r="M204" s="7" t="s">
        <v>1358</v>
      </c>
    </row>
    <row r="205" customFormat="false" ht="712.5" hidden="false" customHeight="true" outlineLevel="0" collapsed="false">
      <c r="A205" s="5" t="n">
        <f aca="false">ROW()-3</f>
        <v>202</v>
      </c>
      <c r="B205" s="6" t="s">
        <v>1359</v>
      </c>
      <c r="C205" s="6" t="s">
        <v>1289</v>
      </c>
      <c r="D205" s="6" t="s">
        <v>1202</v>
      </c>
      <c r="E205" s="6" t="s">
        <v>108</v>
      </c>
      <c r="F205" s="5" t="n">
        <v>11</v>
      </c>
      <c r="G205" s="5" t="n">
        <v>18</v>
      </c>
      <c r="H205" s="5" t="n">
        <v>12</v>
      </c>
      <c r="I205" s="6" t="s">
        <v>1360</v>
      </c>
      <c r="J205" s="6" t="s">
        <v>1361</v>
      </c>
      <c r="K205" s="6" t="s">
        <v>1362</v>
      </c>
      <c r="L205" s="6" t="s">
        <v>1363</v>
      </c>
      <c r="M205" s="7" t="s">
        <v>1364</v>
      </c>
    </row>
    <row r="206" customFormat="false" ht="712.5" hidden="false" customHeight="true" outlineLevel="0" collapsed="false">
      <c r="A206" s="5" t="n">
        <f aca="false">ROW()-3</f>
        <v>203</v>
      </c>
      <c r="B206" s="6" t="s">
        <v>1365</v>
      </c>
      <c r="C206" s="6" t="s">
        <v>16</v>
      </c>
      <c r="D206" s="6" t="s">
        <v>1054</v>
      </c>
      <c r="E206" s="6" t="s">
        <v>95</v>
      </c>
      <c r="F206" s="5" t="n">
        <v>6</v>
      </c>
      <c r="G206" s="5" t="n">
        <v>18</v>
      </c>
      <c r="H206" s="5" t="n">
        <v>7</v>
      </c>
      <c r="I206" s="6" t="s">
        <v>1366</v>
      </c>
      <c r="J206" s="6" t="s">
        <v>1367</v>
      </c>
      <c r="K206" s="6" t="s">
        <v>1368</v>
      </c>
      <c r="L206" s="6" t="s">
        <v>1369</v>
      </c>
      <c r="M206" s="7" t="s">
        <v>1370</v>
      </c>
    </row>
    <row r="207" customFormat="false" ht="712.5" hidden="false" customHeight="true" outlineLevel="0" collapsed="false">
      <c r="A207" s="5" t="n">
        <f aca="false">ROW()-3</f>
        <v>204</v>
      </c>
      <c r="B207" s="6" t="s">
        <v>1371</v>
      </c>
      <c r="C207" s="6" t="s">
        <v>217</v>
      </c>
      <c r="D207" s="6" t="s">
        <v>1372</v>
      </c>
      <c r="E207" s="6" t="s">
        <v>1373</v>
      </c>
      <c r="F207" s="5" t="n">
        <v>6</v>
      </c>
      <c r="G207" s="5" t="n">
        <v>17</v>
      </c>
      <c r="H207" s="5" t="n">
        <v>7</v>
      </c>
      <c r="I207" s="6" t="s">
        <v>1374</v>
      </c>
      <c r="J207" s="6" t="s">
        <v>1375</v>
      </c>
      <c r="K207" s="6" t="s">
        <v>1376</v>
      </c>
      <c r="L207" s="6" t="s">
        <v>1377</v>
      </c>
      <c r="M207" s="7" t="s">
        <v>1378</v>
      </c>
    </row>
    <row r="208" customFormat="false" ht="712.5" hidden="false" customHeight="true" outlineLevel="0" collapsed="false">
      <c r="A208" s="5" t="n">
        <f aca="false">ROW()-3</f>
        <v>205</v>
      </c>
      <c r="B208" s="6" t="s">
        <v>1379</v>
      </c>
      <c r="C208" s="6" t="s">
        <v>16</v>
      </c>
      <c r="D208" s="6" t="s">
        <v>1380</v>
      </c>
      <c r="E208" s="6" t="s">
        <v>95</v>
      </c>
      <c r="F208" s="5" t="n">
        <v>6</v>
      </c>
      <c r="G208" s="5" t="n">
        <v>18</v>
      </c>
      <c r="H208" s="5" t="n">
        <v>6</v>
      </c>
      <c r="I208" s="6" t="s">
        <v>1381</v>
      </c>
      <c r="J208" s="6" t="s">
        <v>1382</v>
      </c>
      <c r="K208" s="6" t="s">
        <v>1383</v>
      </c>
      <c r="L208" s="6" t="s">
        <v>1384</v>
      </c>
      <c r="M208" s="7" t="s">
        <v>1385</v>
      </c>
    </row>
    <row r="209" customFormat="false" ht="712.5" hidden="false" customHeight="true" outlineLevel="0" collapsed="false">
      <c r="A209" s="5" t="n">
        <f aca="false">ROW()-3</f>
        <v>206</v>
      </c>
      <c r="B209" s="6" t="s">
        <v>1386</v>
      </c>
      <c r="C209" s="6" t="s">
        <v>16</v>
      </c>
      <c r="D209" s="6" t="s">
        <v>33</v>
      </c>
      <c r="E209" s="6" t="s">
        <v>1373</v>
      </c>
      <c r="F209" s="5" t="n">
        <v>6</v>
      </c>
      <c r="G209" s="5" t="n">
        <v>17</v>
      </c>
      <c r="H209" s="5" t="n">
        <v>9</v>
      </c>
      <c r="I209" s="6" t="s">
        <v>1387</v>
      </c>
      <c r="J209" s="6" t="s">
        <v>1388</v>
      </c>
      <c r="K209" s="6" t="s">
        <v>1389</v>
      </c>
      <c r="L209" s="6" t="s">
        <v>1390</v>
      </c>
      <c r="M209" s="7" t="s">
        <v>1391</v>
      </c>
    </row>
    <row r="210" customFormat="false" ht="712.5" hidden="false" customHeight="true" outlineLevel="0" collapsed="false">
      <c r="A210" s="5" t="n">
        <f aca="false">ROW()-3</f>
        <v>207</v>
      </c>
      <c r="B210" s="6" t="s">
        <v>1392</v>
      </c>
      <c r="C210" s="6" t="s">
        <v>51</v>
      </c>
      <c r="D210" s="6" t="s">
        <v>1393</v>
      </c>
      <c r="E210" s="6" t="s">
        <v>1394</v>
      </c>
      <c r="F210" s="5" t="n">
        <v>0</v>
      </c>
      <c r="G210" s="5" t="n">
        <v>99</v>
      </c>
      <c r="H210" s="5" t="n">
        <v>10</v>
      </c>
      <c r="I210" s="6" t="s">
        <v>1395</v>
      </c>
      <c r="J210" s="6" t="s">
        <v>1396</v>
      </c>
      <c r="K210" s="6" t="s">
        <v>1397</v>
      </c>
      <c r="L210" s="6" t="s">
        <v>1398</v>
      </c>
      <c r="M210" s="7" t="s">
        <v>1399</v>
      </c>
    </row>
    <row r="211" customFormat="false" ht="712.5" hidden="false" customHeight="true" outlineLevel="0" collapsed="false">
      <c r="A211" s="5" t="n">
        <f aca="false">ROW()-3</f>
        <v>208</v>
      </c>
      <c r="B211" s="6" t="s">
        <v>1400</v>
      </c>
      <c r="C211" s="6" t="s">
        <v>217</v>
      </c>
      <c r="D211" s="6" t="s">
        <v>1202</v>
      </c>
      <c r="E211" s="6" t="s">
        <v>218</v>
      </c>
      <c r="F211" s="5" t="n">
        <v>7</v>
      </c>
      <c r="G211" s="5" t="n">
        <v>17</v>
      </c>
      <c r="H211" s="5" t="n">
        <v>8</v>
      </c>
      <c r="I211" s="6" t="s">
        <v>1401</v>
      </c>
      <c r="J211" s="6" t="s">
        <v>1402</v>
      </c>
      <c r="K211" s="6" t="s">
        <v>1403</v>
      </c>
      <c r="L211" s="6" t="s">
        <v>1404</v>
      </c>
      <c r="M211" s="7" t="s">
        <v>1405</v>
      </c>
    </row>
    <row r="212" customFormat="false" ht="712.5" hidden="false" customHeight="true" outlineLevel="0" collapsed="false">
      <c r="A212" s="5" t="n">
        <f aca="false">ROW()-3</f>
        <v>209</v>
      </c>
      <c r="B212" s="6" t="s">
        <v>1406</v>
      </c>
      <c r="C212" s="6" t="s">
        <v>217</v>
      </c>
      <c r="D212" s="6" t="s">
        <v>33</v>
      </c>
      <c r="E212" s="6" t="s">
        <v>218</v>
      </c>
      <c r="F212" s="5" t="n">
        <v>7</v>
      </c>
      <c r="G212" s="5" t="n">
        <v>17</v>
      </c>
      <c r="H212" s="5" t="n">
        <v>9</v>
      </c>
      <c r="I212" s="6" t="s">
        <v>1407</v>
      </c>
      <c r="J212" s="6" t="s">
        <v>1408</v>
      </c>
      <c r="K212" s="6" t="s">
        <v>1409</v>
      </c>
      <c r="L212" s="6" t="s">
        <v>1410</v>
      </c>
      <c r="M212" s="7" t="s">
        <v>1411</v>
      </c>
    </row>
    <row r="213" customFormat="false" ht="712.5" hidden="false" customHeight="true" outlineLevel="0" collapsed="false">
      <c r="A213" s="5" t="n">
        <f aca="false">ROW()-3</f>
        <v>210</v>
      </c>
      <c r="B213" s="6" t="s">
        <v>1412</v>
      </c>
      <c r="C213" s="6" t="s">
        <v>217</v>
      </c>
      <c r="D213" s="6" t="s">
        <v>1202</v>
      </c>
      <c r="E213" s="6" t="s">
        <v>553</v>
      </c>
      <c r="F213" s="5" t="n">
        <v>8</v>
      </c>
      <c r="G213" s="5" t="n">
        <v>12</v>
      </c>
      <c r="H213" s="5" t="n">
        <v>11</v>
      </c>
      <c r="I213" s="6" t="s">
        <v>1413</v>
      </c>
      <c r="J213" s="6" t="s">
        <v>1414</v>
      </c>
      <c r="K213" s="6" t="s">
        <v>1415</v>
      </c>
      <c r="L213" s="6" t="s">
        <v>1416</v>
      </c>
      <c r="M213" s="7" t="s">
        <v>1417</v>
      </c>
    </row>
    <row r="214" customFormat="false" ht="712.5" hidden="false" customHeight="true" outlineLevel="0" collapsed="false">
      <c r="A214" s="5" t="n">
        <f aca="false">ROW()-3</f>
        <v>211</v>
      </c>
      <c r="B214" s="6" t="s">
        <v>1418</v>
      </c>
      <c r="C214" s="6" t="s">
        <v>208</v>
      </c>
      <c r="D214" s="6" t="s">
        <v>33</v>
      </c>
      <c r="E214" s="6" t="s">
        <v>1373</v>
      </c>
      <c r="F214" s="5" t="n">
        <v>6</v>
      </c>
      <c r="G214" s="5" t="n">
        <v>17</v>
      </c>
      <c r="H214" s="5" t="n">
        <v>12</v>
      </c>
      <c r="I214" s="6" t="s">
        <v>1419</v>
      </c>
      <c r="J214" s="6" t="s">
        <v>1420</v>
      </c>
      <c r="K214" s="6" t="s">
        <v>1421</v>
      </c>
      <c r="L214" s="6" t="s">
        <v>1422</v>
      </c>
      <c r="M214" s="7" t="s">
        <v>1423</v>
      </c>
    </row>
    <row r="215" customFormat="false" ht="712.5" hidden="false" customHeight="true" outlineLevel="0" collapsed="false">
      <c r="A215" s="5" t="n">
        <f aca="false">ROW()-3</f>
        <v>212</v>
      </c>
      <c r="B215" s="6" t="s">
        <v>1424</v>
      </c>
      <c r="C215" s="6" t="s">
        <v>208</v>
      </c>
      <c r="D215" s="6" t="s">
        <v>270</v>
      </c>
      <c r="E215" s="6" t="s">
        <v>495</v>
      </c>
      <c r="F215" s="5" t="n">
        <v>11</v>
      </c>
      <c r="G215" s="5" t="n">
        <v>17</v>
      </c>
      <c r="H215" s="5" t="n">
        <v>12</v>
      </c>
      <c r="I215" s="6" t="s">
        <v>1425</v>
      </c>
      <c r="J215" s="6" t="s">
        <v>1420</v>
      </c>
      <c r="K215" s="6" t="s">
        <v>1426</v>
      </c>
      <c r="L215" s="6" t="s">
        <v>1427</v>
      </c>
      <c r="M215" s="7" t="s">
        <v>1428</v>
      </c>
    </row>
    <row r="216" customFormat="false" ht="712.5" hidden="false" customHeight="true" outlineLevel="0" collapsed="false">
      <c r="A216" s="5" t="n">
        <f aca="false">ROW()-3</f>
        <v>213</v>
      </c>
      <c r="B216" s="6" t="s">
        <v>1429</v>
      </c>
      <c r="C216" s="6" t="s">
        <v>208</v>
      </c>
      <c r="D216" s="6" t="s">
        <v>1430</v>
      </c>
      <c r="E216" s="6" t="s">
        <v>1373</v>
      </c>
      <c r="F216" s="5" t="n">
        <v>6</v>
      </c>
      <c r="G216" s="5" t="n">
        <v>17</v>
      </c>
      <c r="H216" s="5" t="n">
        <v>14</v>
      </c>
      <c r="I216" s="6" t="s">
        <v>1431</v>
      </c>
      <c r="J216" s="6" t="s">
        <v>1432</v>
      </c>
      <c r="K216" s="6" t="s">
        <v>1433</v>
      </c>
      <c r="L216" s="6" t="s">
        <v>1434</v>
      </c>
      <c r="M216" s="7" t="s">
        <v>1435</v>
      </c>
    </row>
    <row r="217" customFormat="false" ht="712.5" hidden="false" customHeight="true" outlineLevel="0" collapsed="false">
      <c r="A217" s="5" t="n">
        <f aca="false">ROW()-3</f>
        <v>214</v>
      </c>
      <c r="B217" s="6" t="s">
        <v>1436</v>
      </c>
      <c r="C217" s="6" t="s">
        <v>72</v>
      </c>
      <c r="D217" s="6" t="s">
        <v>1380</v>
      </c>
      <c r="E217" s="6" t="s">
        <v>1437</v>
      </c>
      <c r="F217" s="5" t="n">
        <v>1.5</v>
      </c>
      <c r="G217" s="5" t="n">
        <v>18</v>
      </c>
      <c r="H217" s="5" t="n">
        <v>8</v>
      </c>
      <c r="I217" s="6" t="s">
        <v>1438</v>
      </c>
      <c r="J217" s="6" t="s">
        <v>1439</v>
      </c>
      <c r="K217" s="6" t="s">
        <v>1383</v>
      </c>
      <c r="L217" s="6" t="s">
        <v>1440</v>
      </c>
      <c r="M217" s="7" t="s">
        <v>1441</v>
      </c>
    </row>
    <row r="218" customFormat="false" ht="712.5" hidden="false" customHeight="true" outlineLevel="0" collapsed="false">
      <c r="A218" s="5" t="n">
        <f aca="false">ROW()-3</f>
        <v>215</v>
      </c>
      <c r="B218" s="6" t="s">
        <v>1442</v>
      </c>
      <c r="C218" s="6" t="s">
        <v>208</v>
      </c>
      <c r="D218" s="6" t="s">
        <v>1443</v>
      </c>
      <c r="E218" s="6" t="s">
        <v>553</v>
      </c>
      <c r="F218" s="5" t="n">
        <v>8</v>
      </c>
      <c r="G218" s="5" t="n">
        <v>12</v>
      </c>
      <c r="H218" s="5" t="n">
        <v>12</v>
      </c>
      <c r="I218" s="6" t="s">
        <v>1444</v>
      </c>
      <c r="J218" s="6" t="s">
        <v>1445</v>
      </c>
      <c r="K218" s="6" t="s">
        <v>1446</v>
      </c>
      <c r="L218" s="6" t="s">
        <v>1447</v>
      </c>
      <c r="M218" s="7" t="s">
        <v>1448</v>
      </c>
    </row>
    <row r="219" customFormat="false" ht="712.5" hidden="false" customHeight="true" outlineLevel="0" collapsed="false">
      <c r="A219" s="5" t="n">
        <f aca="false">ROW()-3</f>
        <v>216</v>
      </c>
      <c r="B219" s="6" t="s">
        <v>1449</v>
      </c>
      <c r="C219" s="6" t="s">
        <v>208</v>
      </c>
      <c r="D219" s="6" t="s">
        <v>1443</v>
      </c>
      <c r="E219" s="6" t="s">
        <v>616</v>
      </c>
      <c r="F219" s="5" t="n">
        <v>13</v>
      </c>
      <c r="G219" s="5" t="n">
        <v>18</v>
      </c>
      <c r="H219" s="5" t="n">
        <v>12</v>
      </c>
      <c r="I219" s="6" t="s">
        <v>1450</v>
      </c>
      <c r="J219" s="6" t="s">
        <v>1445</v>
      </c>
      <c r="K219" s="6" t="s">
        <v>1451</v>
      </c>
      <c r="L219" s="6" t="s">
        <v>1452</v>
      </c>
      <c r="M219" s="7" t="s">
        <v>1453</v>
      </c>
    </row>
    <row r="220" customFormat="false" ht="712.5" hidden="false" customHeight="true" outlineLevel="0" collapsed="false">
      <c r="A220" s="5" t="n">
        <f aca="false">ROW()-3</f>
        <v>217</v>
      </c>
      <c r="B220" s="6" t="s">
        <v>1454</v>
      </c>
      <c r="C220" s="6" t="s">
        <v>208</v>
      </c>
      <c r="D220" s="6" t="s">
        <v>17</v>
      </c>
      <c r="E220" s="6" t="s">
        <v>1455</v>
      </c>
      <c r="F220" s="5" t="n">
        <v>18</v>
      </c>
      <c r="G220" s="5" t="n">
        <v>99</v>
      </c>
      <c r="H220" s="5" t="n">
        <v>12</v>
      </c>
      <c r="I220" s="6" t="s">
        <v>1456</v>
      </c>
      <c r="J220" s="6" t="s">
        <v>1445</v>
      </c>
      <c r="K220" s="6" t="s">
        <v>1457</v>
      </c>
      <c r="L220" s="6" t="s">
        <v>1458</v>
      </c>
      <c r="M220" s="7" t="s">
        <v>1459</v>
      </c>
    </row>
    <row r="221" customFormat="false" ht="712.5" hidden="false" customHeight="true" outlineLevel="0" collapsed="false">
      <c r="A221" s="5" t="n">
        <f aca="false">ROW()-3</f>
        <v>218</v>
      </c>
      <c r="B221" s="6" t="s">
        <v>1460</v>
      </c>
      <c r="C221" s="6" t="s">
        <v>208</v>
      </c>
      <c r="D221" s="6" t="s">
        <v>1430</v>
      </c>
      <c r="E221" s="6" t="s">
        <v>172</v>
      </c>
      <c r="F221" s="5" t="n">
        <v>8</v>
      </c>
      <c r="G221" s="5" t="n">
        <v>18</v>
      </c>
      <c r="H221" s="5" t="n">
        <v>12</v>
      </c>
      <c r="I221" s="6" t="s">
        <v>1461</v>
      </c>
      <c r="J221" s="6" t="s">
        <v>1445</v>
      </c>
      <c r="K221" s="6" t="s">
        <v>1462</v>
      </c>
      <c r="L221" s="6" t="s">
        <v>1463</v>
      </c>
      <c r="M221" s="7" t="s">
        <v>1464</v>
      </c>
    </row>
    <row r="222" customFormat="false" ht="712.5" hidden="false" customHeight="true" outlineLevel="0" collapsed="false">
      <c r="A222" s="5" t="n">
        <f aca="false">ROW()-3</f>
        <v>219</v>
      </c>
      <c r="B222" s="6" t="s">
        <v>1465</v>
      </c>
      <c r="C222" s="6" t="s">
        <v>131</v>
      </c>
      <c r="D222" s="6" t="s">
        <v>33</v>
      </c>
      <c r="E222" s="6" t="s">
        <v>1373</v>
      </c>
      <c r="F222" s="5" t="n">
        <v>6</v>
      </c>
      <c r="G222" s="5" t="n">
        <v>17</v>
      </c>
      <c r="H222" s="5" t="n">
        <v>16</v>
      </c>
      <c r="I222" s="6" t="s">
        <v>1466</v>
      </c>
      <c r="J222" s="6" t="s">
        <v>1467</v>
      </c>
      <c r="K222" s="6" t="s">
        <v>1468</v>
      </c>
      <c r="L222" s="6" t="s">
        <v>1469</v>
      </c>
      <c r="M222" s="6" t="s">
        <v>1470</v>
      </c>
    </row>
    <row r="223" customFormat="false" ht="712.5" hidden="false" customHeight="true" outlineLevel="0" collapsed="false">
      <c r="A223" s="5" t="n">
        <f aca="false">ROW()-3</f>
        <v>220</v>
      </c>
      <c r="B223" s="6" t="s">
        <v>1471</v>
      </c>
      <c r="C223" s="6" t="s">
        <v>131</v>
      </c>
      <c r="D223" s="6" t="s">
        <v>17</v>
      </c>
      <c r="E223" s="6" t="s">
        <v>1262</v>
      </c>
      <c r="F223" s="5" t="n">
        <v>12</v>
      </c>
      <c r="G223" s="5" t="n">
        <v>17</v>
      </c>
      <c r="H223" s="5" t="n">
        <v>16</v>
      </c>
      <c r="I223" s="6" t="s">
        <v>1472</v>
      </c>
      <c r="J223" s="6" t="s">
        <v>1467</v>
      </c>
      <c r="K223" s="6" t="s">
        <v>1473</v>
      </c>
      <c r="L223" s="6" t="s">
        <v>1474</v>
      </c>
      <c r="M223" s="6" t="s">
        <v>1475</v>
      </c>
    </row>
    <row r="224" customFormat="false" ht="712.5" hidden="false" customHeight="true" outlineLevel="0" collapsed="false">
      <c r="A224" s="5" t="n">
        <f aca="false">ROW()-3</f>
        <v>221</v>
      </c>
      <c r="B224" s="6" t="s">
        <v>1476</v>
      </c>
      <c r="C224" s="6" t="s">
        <v>131</v>
      </c>
      <c r="D224" s="6" t="s">
        <v>1477</v>
      </c>
      <c r="E224" s="6" t="s">
        <v>1373</v>
      </c>
      <c r="F224" s="5" t="n">
        <v>6</v>
      </c>
      <c r="G224" s="5" t="n">
        <v>17</v>
      </c>
      <c r="H224" s="5" t="n">
        <v>16</v>
      </c>
      <c r="I224" s="6" t="s">
        <v>1478</v>
      </c>
      <c r="J224" s="6" t="s">
        <v>1467</v>
      </c>
      <c r="K224" s="6" t="s">
        <v>1479</v>
      </c>
      <c r="L224" s="6" t="s">
        <v>1480</v>
      </c>
      <c r="M224" s="6" t="s">
        <v>1481</v>
      </c>
    </row>
  </sheetData>
  <mergeCells count="2">
    <mergeCell ref="A1:M1"/>
    <mergeCell ref="A2:M2"/>
  </mergeCells>
  <hyperlinks>
    <hyperlink ref="M4" r:id="rId1" display="https://correiaricardina-ui.github.io/questionarios/ABAS3_Autorrelato_v1.html"/>
    <hyperlink ref="M5" r:id="rId2" display="https://correiaricardina-ui.github.io/questionarios/ABAS3_PreEscolar_Educador.html"/>
    <hyperlink ref="M6" r:id="rId3" display="https://correiaricardina-ui.github.io/questionarios/ABAS3_Pais_v2.html"/>
    <hyperlink ref="M7" r:id="rId4" display="https://correiaricardina-ui.github.io/questionarios/ABAS3_PreEscolar.html"/>
    <hyperlink ref="M8" r:id="rId5" display="https://correiaricardina-ui.github.io/questionarios/ABAS3_Professor_v2.html"/>
    <hyperlink ref="M9" r:id="rId6" display="https://correiaricardina-ui.github.io/questionarios/Anamnese_HP_v1.html"/>
    <hyperlink ref="M10" r:id="rId7" display="https://correiaricardina-ui.github.io/questionarios/Anamnese_complementar_v2.html"/>
    <hyperlink ref="M12" r:id="rId8" display="https://correiaricardina-ui.github.io/questionarios/AQ_BussPerry_v1.html"/>
    <hyperlink ref="M13" r:id="rId9" display="https://correiaricardina-ui.github.io/questionarios/AQ_Child_v1.html"/>
    <hyperlink ref="M14" r:id="rId10" display="https://correiaricardina-ui.github.io/questionarios/CBCL_15_v5.html"/>
    <hyperlink ref="M15" r:id="rId11" display="https://correiaricardina-ui.github.io/questionarios/CBCL_618_v1.html"/>
    <hyperlink ref="M16" r:id="rId12" display="https://correiaricardina-ui.github.io/questionarios/TRF_618_v1.html"/>
    <hyperlink ref="M17" r:id="rId13" display="https://correiaricardina-ui.github.io/questionarios/YSR_1118_v2.html"/>
    <hyperlink ref="M18" r:id="rId14" display="https://correiaricardina-ui.github.io/questionarios/BAS3_v1.html"/>
    <hyperlink ref="M19" r:id="rId15" display="https://correiaricardina-ui.github.io/questionarios/BESAA_v1.html"/>
    <hyperlink ref="M20" r:id="rId16" display="https://correiaricardina-ui.github.io/questionarios/BRIEF_Autoavaliacao_v2.html"/>
    <hyperlink ref="M21" r:id="rId17" display="https://correiaricardina-ui.github.io/questionarios/BRIEF_Pais_v5.html"/>
    <hyperlink ref="M22" r:id="rId18" display="https://correiaricardina-ui.github.io/questionarios/BRIEF_Professores_v3.html"/>
    <hyperlink ref="M23" r:id="rId19" display="https://correiaricardina-ui.github.io/questionarios/BRIEF_PreEscolar_Pais_v2.html"/>
    <hyperlink ref="M24" r:id="rId20" display="https://correiaricardina-ui.github.io/questionarios/BRIEF_PreEscolar_Professores_v2.html"/>
    <hyperlink ref="M25" r:id="rId21" display="https://correiaricardina-ui.github.io/questionarios/BSI_v1.html"/>
    <hyperlink ref="M26" r:id="rId22" display="https://correiaricardina-ui.github.io/questionarios/CABS_Autorrelato.html"/>
    <hyperlink ref="M27" r:id="rId23" display="https://correiaricardina-ui.github.io/questionarios/CABS_Heterorrelato.html"/>
    <hyperlink ref="M28" r:id="rId24" display="https://correiaricardina-ui.github.io/questionarios/CARS2-HP_v1.html"/>
    <hyperlink ref="M29" r:id="rId25" display="https://correiaricardina-ui.github.io/questionarios/CARS2-QPC_v1.html"/>
    <hyperlink ref="M30" r:id="rId26" display="https://correiaricardina-ui.github.io/questionarios/CARS2-ST_v1.html"/>
    <hyperlink ref="M31" r:id="rId27" display="https://correiaricardina-ui.github.io/questionarios/CCBQ_v1.html"/>
    <hyperlink ref="M32" r:id="rId28" display="https://correiaricardina-ui.github.io/questionarios/CDI2_SR_v1.html"/>
    <hyperlink ref="M33" r:id="rId29" display="https://correiaricardina-ui.github.io/questionarios/CERQ_18_v1.html"/>
    <hyperlink ref="M34" r:id="rId30" display="https://correiaricardina-ui.github.io/questionarios/CERQ_36_v1.html"/>
    <hyperlink ref="M35" r:id="rId31" display="https://correiaricardina-ui.github.io/questionarios/CERQ_K_v1.html"/>
    <hyperlink ref="M36" r:id="rId32" display="https://correiaricardina-ui.github.io/questionarios/ChEAT_v1.html"/>
    <hyperlink ref="M37" r:id="rId33" display="https://correiaricardina-ui.github.io/questionarios/checklist_obs_medicacao_PHDA_casa.html"/>
    <hyperlink ref="M38" r:id="rId34" display="https://correiaricardina-ui.github.io/questionarios/checklist_obs_medicacao_PHDA_escola.html"/>
    <hyperlink ref="M39" r:id="rId35" display="https://correiaricardina-ui.github.io/questionarios/CMAS_R_v1.html"/>
    <hyperlink ref="M40" r:id="rId36" display="https://correiaricardina-ui.github.io/questionarios/Collins_Silhuetas.html"/>
    <hyperlink ref="M41" r:id="rId37" display="https://correiaricardina-ui.github.io/questionarios/COMPA_A_Mae.html"/>
    <hyperlink ref="M42" r:id="rId38" display="https://correiaricardina-ui.github.io/questionarios/COMPA_A_Pai.html"/>
    <hyperlink ref="M43" r:id="rId39" display="https://correiaricardina-ui.github.io/questionarios/COMPA_C_Mae.html"/>
    <hyperlink ref="M44" r:id="rId40" display="https://correiaricardina-ui.github.io/questionarios/COMPA_C_Pai.html"/>
    <hyperlink ref="M45" r:id="rId41" display="https://correiaricardina-ui.github.io/questionarios/COMPA_P.html"/>
    <hyperlink ref="M46" r:id="rId42" display="https://correiaricardina-ui.github.io/questionarios/Conners3_Pais_Full.html"/>
    <hyperlink ref="M47" r:id="rId43" display="https://correiaricardina-ui.github.io/questionarios/Conners3_Pais_Short.html"/>
    <hyperlink ref="M48" r:id="rId44" display="https://correiaricardina-ui.github.io/questionarios/Conners3_Professores_Full.html"/>
    <hyperlink ref="M49" r:id="rId45" display="https://correiaricardina-ui.github.io/questionarios/Conners3_Professores_Short.html"/>
    <hyperlink ref="M50" r:id="rId46" display="https://correiaricardina-ui.github.io/questionarios/CSSRS_v1.html"/>
    <hyperlink ref="M51" r:id="rId47" display="https://correiaricardina-ui.github.io/questionarios/C-SSRS-A_Adolescente_v1.html"/>
    <hyperlink ref="M52" r:id="rId48" display="https://correiaricardina-ui.github.io/questionarios/C-SSRS-DC_DeficeCognitivo_v1.html"/>
    <hyperlink ref="M53" r:id="rId49" display="https://correiaricardina-ui.github.io/questionarios/C-SSRS-P_Pediatrica_v1.html"/>
    <hyperlink ref="M54" r:id="rId50" display="https://correiaricardina-ui.github.io/questionarios/CTRF_15_v2.html"/>
    <hyperlink ref="M55" r:id="rId51" display="https://correiaricardina-ui.github.io/questionarios/DERS_v1.html"/>
    <hyperlink ref="M56" r:id="rId52" display="https://correiaricardina-ui.github.io/questionarios/Diario_Episodios_v1.html"/>
    <hyperlink ref="M58" r:id="rId53" display="https://correiaricardina-ui.github.io/questionarios/DIVA5_v1.html"/>
    <hyperlink ref="M59" r:id="rId54" display="https://correiaricardina-ui.github.io/questionarios/EAFE_v2.html"/>
    <hyperlink ref="M60" r:id="rId55" display="https://correiaricardina-ui.github.io/questionarios/EAT26_v2.html"/>
    <hyperlink ref="M61" r:id="rId56" display="https://correiaricardina-ui.github.io/questionarios/ECE-FEA.html"/>
    <hyperlink ref="M62" r:id="rId57" display="https://correiaricardina-ui.github.io/questionarios/EDEQ_v1.html"/>
    <hyperlink ref="M63" r:id="rId58" display="https://correiaricardina-ui.github.io/questionarios/EMP_F_v1.html"/>
    <hyperlink ref="M64" r:id="rId59" display="https://correiaricardina-ui.github.io/questionarios/EMP_HF_v1.html"/>
    <hyperlink ref="M65" r:id="rId60" display="https://correiaricardina-ui.github.io/questionarios/EPCAS_PE_v1.html"/>
    <hyperlink ref="M66" r:id="rId61" display="https://correiaricardina-ui.github.io/questionarios/ERC_Pais_v1.html"/>
    <hyperlink ref="M67" r:id="rId62" display="https://correiaricardina-ui.github.io/questionarios/ERC_Professores_v1.html"/>
    <hyperlink ref="M68" r:id="rId63" display="https://correiaricardina-ui.github.io/questionarios/ERICA_v1.html"/>
    <hyperlink ref="M69" r:id="rId64" display="https://correiaricardina-ui.github.io/questionarios/ERQ_CA_v1.html"/>
    <hyperlink ref="M70" r:id="rId65" display="https://correiaricardina-ui.github.io/questionarios/FACES_IV_adap.html"/>
    <hyperlink ref="M71" r:id="rId66" display="https://correiaricardina-ui.github.io/questionarios/FAD_60_v1.html"/>
    <hyperlink ref="M72" r:id="rId67" display="https://correiaricardina-ui.github.io/questionarios/FAD_GF_v2.html"/>
    <hyperlink ref="M73" r:id="rId68" display="https://correiaricardina-ui.github.io/questionarios/FAS_CR_Adolescencia.html"/>
    <hyperlink ref="M74" r:id="rId69" display="https://correiaricardina-ui.github.io/questionarios/FAS_CR_Infancia.html"/>
    <hyperlink ref="M75" r:id="rId70" display="https://correiaricardina-ui.github.io/questionarios/FAS_Parental.html"/>
    <hyperlink ref="M76" r:id="rId71" display="https://correiaricardina-ui.github.io/questionarios/FASA_CR_Adolescencia.html"/>
    <hyperlink ref="M77" r:id="rId72" display="https://correiaricardina-ui.github.io/questionarios/FASA_CR_Infancia.html"/>
    <hyperlink ref="M78" r:id="rId73" display="https://correiaricardina-ui.github.io/questionarios/FASA_Parental.html"/>
    <hyperlink ref="M79" r:id="rId74" display="https://correiaricardina-ui.github.io/questionarios/FSSC_R_v1.html"/>
    <hyperlink ref="M81" r:id="rId75" display="https://correiaricardina-ui.github.io/questionarios/IIM_AdolAdultos_v1.html"/>
    <hyperlink ref="M82" r:id="rId76" display="https://correiaricardina-ui.github.io/questionarios/IIM_Criancas_v1.html"/>
    <hyperlink ref="M83" r:id="rId77" display="https://correiaricardina-ui.github.io/questionarios/IIM_Heterorrelato_v1.html"/>
    <hyperlink ref="M84" r:id="rId78" display="https://correiaricardina-ui.github.io/questionarios/IMC_C.html"/>
    <hyperlink ref="M85" r:id="rId79" display="https://correiaricardina-ui.github.io/questionarios/IPP-R_v1.html"/>
    <hyperlink ref="M86" r:id="rId80" display="https://correiaricardina-ui.github.io/questionarios/ISAS_v1.html"/>
    <hyperlink ref="M87" r:id="rId81" display="https://correiaricardina-ui.github.io/questionarios/ISC24.html"/>
    <hyperlink ref="M88" r:id="rId82" display="https://correiaricardina-ui.github.io/questionarios/ISS_ESI_v1.html"/>
    <hyperlink ref="M89" r:id="rId83" display="https://correiaricardina-ui.github.io/questionarios/IVP_Super_v1.html"/>
    <hyperlink ref="M90" r:id="rId84" display="https://correiaricardina-ui.github.io/questionarios/JTCI_92.html"/>
    <hyperlink ref="M91" r:id="rId85" display="https://correiaricardina-ui.github.io/questionarios/Kidcope_Adolescentes_v1.html"/>
    <hyperlink ref="M92" r:id="rId86" display="https://correiaricardina-ui.github.io/questionarios/Kidcope_Criancas_v1.html"/>
    <hyperlink ref="M93" r:id="rId87" display="https://correiaricardina-ui.github.io/questionarios/LDS_v2.html"/>
    <hyperlink ref="M95" r:id="rId88" display="https://correiaricardina-ui.github.io/questionarios/MAP_ParentalAvaliacaoSistemica_1214_v1.html"/>
    <hyperlink ref="M96" r:id="rId89" display="https://correiaricardina-ui.github.io/questionarios/MAP_ParentalAvaliacaoSistemica_1518_v1.html"/>
    <hyperlink ref="M97" r:id="rId90" display="https://correiaricardina-ui.github.io/questionarios/MAP_ParentalAvaliacaoSistemica_v1.html"/>
    <hyperlink ref="M98" r:id="rId91" display="https://correiaricardina-ui.github.io/questionarios/MAP_ParentalAvaliacaoSistemica_PI_v1.html"/>
    <hyperlink ref="M99" r:id="rId92" display="https://correiaricardina-ui.github.io/questionarios/MBI-SS_v1.html"/>
    <hyperlink ref="M100" r:id="rId93" display="https://correiaricardina-ui.github.io/questionarios/M-CHAT-R-F_v1.html"/>
    <hyperlink ref="M101" r:id="rId94" display="https://correiaricardina-ui.github.io/questionarios/MCP_Breve.html"/>
    <hyperlink ref="M102" r:id="rId95" display="https://correiaricardina-ui.github.io/questionarios/MCP_Completo.html"/>
    <hyperlink ref="M103" r:id="rId96" display="https://correiaricardina-ui.github.io/questionarios/MDQ_v1.html"/>
    <hyperlink ref="M104" r:id="rId97" display="https://correiaricardina-ui.github.io/questionarios/NEO_PIR_v1.html"/>
    <hyperlink ref="M105" r:id="rId98" display="https://correiaricardina-ui.github.io/questionarios/OCI_CV_R_v1.html"/>
    <hyperlink ref="M106" r:id="rId99" display="https://correiaricardina-ui.github.io/questionarios/OCI_R_v1.html"/>
    <hyperlink ref="M107" r:id="rId100" display="https://correiaricardina-ui.github.io/questionarios/PAI_adult_final.html"/>
    <hyperlink ref="M108" r:id="rId101" display="https://correiaricardina-ui.github.io/questionarios/PAI_A_final.html"/>
    <hyperlink ref="M109" r:id="rId102" display="https://correiaricardina-ui.github.io/questionarios/PALS_Student_2-3ciclo_v1.html"/>
    <hyperlink ref="M110" r:id="rId103" display="https://correiaricardina-ui.github.io/questionarios/PALS_Student_Secundario_v1.html"/>
    <hyperlink ref="M111" r:id="rId104" display="https://correiaricardina-ui.github.io/questionarios/PALS_Student_2-3ciclo_Reduzido_v1.html"/>
    <hyperlink ref="M112" r:id="rId105" display="https://correiaricardina-ui.github.io/questionarios/PALS_Student_Secundario_Reduzido_v1.html"/>
    <hyperlink ref="M113" r:id="rId106" display="https://correiaricardina-ui.github.io/questionarios/PALS_Parent_v1.html"/>
    <hyperlink ref="M114" r:id="rId107" display="https://correiaricardina-ui.github.io/questionarios/PALS_Parent_Reduzido_v1.html"/>
    <hyperlink ref="M115" r:id="rId108" display="https://correiaricardina-ui.github.io/questionarios/PALS_Teacher_v1.html"/>
    <hyperlink ref="M116" r:id="rId109" display="https://correiaricardina-ui.github.io/questionarios/PALS_Teacher_Reduzido_v1.html"/>
    <hyperlink ref="M117" r:id="rId110" display="https://correiaricardina-ui.github.io/questionarios/PPGRJ_v1.html"/>
    <hyperlink ref="M118" r:id="rId111" display="https://correiaricardina-ui.github.io/questionarios/PS2_Escola_v1.html"/>
    <hyperlink ref="M119" r:id="rId112" display="https://correiaricardina-ui.github.io/questionarios/PS2_Pais_v1.html"/>
    <hyperlink ref="M120" r:id="rId113" display="https://correiaricardina-ui.github.io/questionarios/PSI4_adap.html"/>
    <hyperlink ref="M121" r:id="rId114" display="https://correiaricardina-ui.github.io/questionarios/QACSE_C_v1.html"/>
    <hyperlink ref="M122" r:id="rId115" display="https://correiaricardina-ui.github.io/questionarios/QACSE_R_v1.html"/>
    <hyperlink ref="M123" r:id="rId116" display="https://correiaricardina-ui.github.io/questionarios/QC_Mae.html"/>
    <hyperlink ref="M124" r:id="rId117" display="https://correiaricardina-ui.github.io/questionarios/QC_Pai.html"/>
    <hyperlink ref="M125" r:id="rId118" display="https://correiaricardina-ui.github.io/questionarios/QEA_questionario.html"/>
    <hyperlink ref="M126" r:id="rId119" display="https://correiaricardina-ui.github.io/questionarios/QEDP_v2.html"/>
    <hyperlink ref="M127" r:id="rId120" display="https://correiaricardina-ui.github.io/questionarios/QEE_Escola_v1.html"/>
    <hyperlink ref="M128" r:id="rId121" display="https://correiaricardina-ui.github.io/questionarios/QEP_Pais_v1.html"/>
    <hyperlink ref="M129" r:id="rId122" display="https://correiaricardina-ui.github.io/questionarios/RAADS_R_v1.html"/>
    <hyperlink ref="M130" r:id="rId123" display="https://correiaricardina-ui.github.io/questionarios/RBS_R.html"/>
    <hyperlink ref="M131" r:id="rId124" display="https://correiaricardina-ui.github.io/questionarios/RCADS25_Pais_v2.html"/>
    <hyperlink ref="M132" r:id="rId125" display="https://correiaricardina-ui.github.io/questionarios/RCADS25_Youth_v2.html"/>
    <hyperlink ref="M133" r:id="rId126" display="https://correiaricardina-ui.github.io/questionarios/RCADS47_Pais_v2.html"/>
    <hyperlink ref="M134" r:id="rId127" display="https://correiaricardina-ui.github.io/questionarios/RCADS47_Youth_v2.html"/>
    <hyperlink ref="M135" r:id="rId128" display="https://correiaricardina-ui.github.io/questionarios/RSES_v1.html"/>
    <hyperlink ref="M136" r:id="rId129" display="https://correiaricardina-ui.github.io/questionarios/SCARED_R_Crianca.html"/>
    <hyperlink ref="M137" r:id="rId130" display="https://correiaricardina-ui.github.io/questionarios/SCARED_R_Pais.html"/>
    <hyperlink ref="M138" r:id="rId131" display="https://correiaricardina-ui.github.io/questionarios/SDS_Holland.html"/>
    <hyperlink ref="M139" r:id="rId132" display="https://correiaricardina-ui.github.io/questionarios/SEQC_v2.html"/>
    <hyperlink ref="M141" r:id="rId133" display="https://correiaricardina-ui.github.io/questionarios/SOCIOGRAMA_RC_v1.html"/>
    <hyperlink ref="M142" r:id="rId134" display="https://correiaricardina-ui.github.io/questionarios/SPAS_Pais.html"/>
    <hyperlink ref="M143" r:id="rId135" display="https://correiaricardina-ui.github.io/questionarios/SPAS_Educador.html"/>
    <hyperlink ref="M144" r:id="rId136" display="https://correiaricardina-ui.github.io/questionarios/SPPA.html"/>
    <hyperlink ref="M145" r:id="rId137" display="https://correiaricardina-ui.github.io/questionarios/SPPC_Bateria.html"/>
    <hyperlink ref="M146" r:id="rId138" display="https://correiaricardina-ui.github.io/questionarios/SPPC_Professor.html"/>
    <hyperlink ref="M147" r:id="rId139" display="https://correiaricardina-ui.github.io/questionarios/SPPCS_v1.html"/>
    <hyperlink ref="M148" r:id="rId140" display="https://correiaricardina-ui.github.io/questionarios/SPPLD_Bateria.html"/>
    <hyperlink ref="M149" r:id="rId141" display="https://correiaricardina-ui.github.io/questionarios/SRS2_IE_Pais_v1.html"/>
    <hyperlink ref="M150" r:id="rId142" display="https://correiaricardina-ui.github.io/questionarios/SRS2_IE_Prof_v1.html"/>
    <hyperlink ref="M151" r:id="rId143" display="https://correiaricardina-ui.github.io/questionarios/STAIC_C2_v1.html"/>
    <hyperlink ref="M152" r:id="rId144" display="https://correiaricardina-ui.github.io/questionarios/STAXI_NA_v1.html"/>
    <hyperlink ref="M153" r:id="rId145" display="https://correiaricardina-ui.github.io/questionarios/SWAN_v1.html"/>
    <hyperlink ref="M154" r:id="rId146" display="https://correiaricardina-ui.github.io/questionarios/TAS20_v7.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47"/>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2"/>
    <col collapsed="false" customWidth="true" hidden="false" outlineLevel="0" max="2" min="2" style="1" width="20"/>
    <col collapsed="false" customWidth="true" hidden="false" outlineLevel="0" max="3" min="3" style="1" width="14"/>
  </cols>
  <sheetData>
    <row r="1" customFormat="false" ht="24" hidden="false" customHeight="true" outlineLevel="0" collapsed="false">
      <c r="A1" s="8" t="s">
        <v>1482</v>
      </c>
      <c r="B1" s="8"/>
      <c r="C1" s="8"/>
    </row>
    <row r="2" customFormat="false" ht="15" hidden="false" customHeight="true" outlineLevel="0" collapsed="false">
      <c r="A2" s="4" t="s">
        <v>4</v>
      </c>
      <c r="B2" s="4" t="s">
        <v>1483</v>
      </c>
      <c r="C2" s="4" t="s">
        <v>1484</v>
      </c>
    </row>
    <row r="3" customFormat="false" ht="15" hidden="false" customHeight="true" outlineLevel="0" collapsed="false">
      <c r="A3" s="9" t="s">
        <v>51</v>
      </c>
      <c r="B3" s="9" t="n">
        <f aca="false">COUNTIF(Catálogo!$C$4:$C$1000,A3)</f>
        <v>5</v>
      </c>
      <c r="C3" s="10" t="n">
        <f aca="false">IF($B$21=0,0,B3/$B$21)</f>
        <v>0.0226244343891403</v>
      </c>
    </row>
    <row r="4" customFormat="false" ht="15" hidden="false" customHeight="true" outlineLevel="0" collapsed="false">
      <c r="A4" s="9" t="s">
        <v>16</v>
      </c>
      <c r="B4" s="9" t="n">
        <f aca="false">COUNTIF(Catálogo!$C$4:$C$1000,A4)</f>
        <v>27</v>
      </c>
      <c r="C4" s="10" t="n">
        <f aca="false">IF($B$21=0,0,B4/$B$21)</f>
        <v>0.122171945701357</v>
      </c>
    </row>
    <row r="5" customFormat="false" ht="15" hidden="false" customHeight="true" outlineLevel="0" collapsed="false">
      <c r="A5" s="9" t="s">
        <v>131</v>
      </c>
      <c r="B5" s="9" t="n">
        <f aca="false">COUNTIF(Catálogo!$C$4:$C$1000,A5)</f>
        <v>21</v>
      </c>
      <c r="C5" s="10" t="n">
        <f aca="false">IF($B$21=0,0,B5/$B$21)</f>
        <v>0.0950226244343891</v>
      </c>
    </row>
    <row r="6" customFormat="false" ht="15" hidden="false" customHeight="true" outlineLevel="0" collapsed="false">
      <c r="A6" s="9" t="s">
        <v>217</v>
      </c>
      <c r="B6" s="9" t="n">
        <f aca="false">COUNTIF(Catálogo!$C$4:$C$1000,A6)</f>
        <v>36</v>
      </c>
      <c r="C6" s="10" t="n">
        <f aca="false">IF($B$21=0,0,B6/$B$21)</f>
        <v>0.16289592760181</v>
      </c>
    </row>
    <row r="7" customFormat="false" ht="15" hidden="false" customHeight="true" outlineLevel="0" collapsed="false">
      <c r="A7" s="9" t="s">
        <v>162</v>
      </c>
      <c r="B7" s="9" t="n">
        <f aca="false">COUNTIF(Catálogo!$C$4:$C$1000,A7)</f>
        <v>10</v>
      </c>
      <c r="C7" s="10" t="n">
        <f aca="false">IF($B$21=0,0,B7/$B$21)</f>
        <v>0.0452488687782805</v>
      </c>
    </row>
    <row r="8" customFormat="false" ht="15" hidden="false" customHeight="true" outlineLevel="0" collapsed="false">
      <c r="A8" s="9" t="s">
        <v>1032</v>
      </c>
      <c r="B8" s="9" t="n">
        <f aca="false">COUNTIF(Catálogo!$C$4:$C$1000,A8)</f>
        <v>5</v>
      </c>
      <c r="C8" s="10" t="n">
        <f aca="false">IF($B$21=0,0,B8/$B$21)</f>
        <v>0.0226244343891403</v>
      </c>
    </row>
    <row r="9" customFormat="false" ht="15" hidden="false" customHeight="true" outlineLevel="0" collapsed="false">
      <c r="A9" s="9" t="s">
        <v>72</v>
      </c>
      <c r="B9" s="9" t="n">
        <f aca="false">COUNTIF(Catálogo!$C$4:$C$1000,A9)</f>
        <v>10</v>
      </c>
      <c r="C9" s="10" t="n">
        <f aca="false">IF($B$21=0,0,B9/$B$21)</f>
        <v>0.0452488687782805</v>
      </c>
    </row>
    <row r="10" customFormat="false" ht="15" hidden="false" customHeight="true" outlineLevel="0" collapsed="false">
      <c r="A10" s="9" t="s">
        <v>208</v>
      </c>
      <c r="B10" s="9" t="n">
        <f aca="false">COUNTIF(Catálogo!$C$4:$C$1000,A10)</f>
        <v>22</v>
      </c>
      <c r="C10" s="10" t="n">
        <f aca="false">IF($B$21=0,0,B10/$B$21)</f>
        <v>0.0995475113122172</v>
      </c>
    </row>
    <row r="11" customFormat="false" ht="15" hidden="false" customHeight="true" outlineLevel="0" collapsed="false">
      <c r="A11" s="9" t="s">
        <v>122</v>
      </c>
      <c r="B11" s="9" t="n">
        <f aca="false">COUNTIF(Catálogo!$C$4:$C$1000,A11)</f>
        <v>10</v>
      </c>
      <c r="C11" s="10" t="n">
        <f aca="false">IF($B$21=0,0,B11/$B$21)</f>
        <v>0.0452488687782805</v>
      </c>
    </row>
    <row r="12" customFormat="false" ht="15" hidden="false" customHeight="true" outlineLevel="0" collapsed="false">
      <c r="A12" s="9" t="s">
        <v>1040</v>
      </c>
      <c r="B12" s="9" t="n">
        <f aca="false">COUNTIF(Catálogo!$C$4:$C$1000,A12)</f>
        <v>5</v>
      </c>
      <c r="C12" s="10" t="n">
        <f aca="false">IF($B$21=0,0,B12/$B$21)</f>
        <v>0.0226244343891403</v>
      </c>
    </row>
    <row r="13" customFormat="false" ht="15" hidden="false" customHeight="true" outlineLevel="0" collapsed="false">
      <c r="A13" s="9" t="s">
        <v>278</v>
      </c>
      <c r="B13" s="9" t="n">
        <f aca="false">COUNTIF(Catálogo!$C$4:$C$1000,A13)</f>
        <v>26</v>
      </c>
      <c r="C13" s="10" t="n">
        <f aca="false">IF($B$21=0,0,B13/$B$21)</f>
        <v>0.117647058823529</v>
      </c>
    </row>
    <row r="14" customFormat="false" ht="15" hidden="false" customHeight="true" outlineLevel="0" collapsed="false">
      <c r="A14" s="9" t="s">
        <v>397</v>
      </c>
      <c r="B14" s="9" t="n">
        <f aca="false">COUNTIF(Catálogo!$C$4:$C$1000,A14)</f>
        <v>12</v>
      </c>
      <c r="C14" s="10" t="n">
        <f aca="false">IF($B$21=0,0,B14/$B$21)</f>
        <v>0.0542986425339367</v>
      </c>
    </row>
    <row r="15" customFormat="false" ht="15" hidden="false" customHeight="true" outlineLevel="0" collapsed="false">
      <c r="A15" s="9" t="s">
        <v>424</v>
      </c>
      <c r="B15" s="9" t="n">
        <f aca="false">COUNTIF(Catálogo!$C$4:$C$1000,A15)</f>
        <v>10</v>
      </c>
      <c r="C15" s="10" t="n">
        <f aca="false">IF($B$21=0,0,B15/$B$21)</f>
        <v>0.0452488687782805</v>
      </c>
    </row>
    <row r="16" customFormat="false" ht="15" hidden="false" customHeight="true" outlineLevel="0" collapsed="false">
      <c r="A16" s="9" t="s">
        <v>438</v>
      </c>
      <c r="B16" s="9" t="n">
        <f aca="false">COUNTIF(Catálogo!$C$4:$C$1000,A16)</f>
        <v>6</v>
      </c>
      <c r="C16" s="10" t="n">
        <f aca="false">IF($B$21=0,0,B16/$B$21)</f>
        <v>0.0271493212669683</v>
      </c>
    </row>
    <row r="17" customFormat="false" ht="15" hidden="false" customHeight="true" outlineLevel="0" collapsed="false">
      <c r="A17" s="9" t="s">
        <v>115</v>
      </c>
      <c r="B17" s="9" t="n">
        <f aca="false">COUNTIF(Catálogo!$C$4:$C$1000,A17)</f>
        <v>5</v>
      </c>
      <c r="C17" s="10" t="n">
        <f aca="false">IF($B$21=0,0,B17/$B$21)</f>
        <v>0.0226244343891403</v>
      </c>
    </row>
    <row r="18" customFormat="false" ht="15" hidden="false" customHeight="true" outlineLevel="0" collapsed="false">
      <c r="A18" s="9" t="s">
        <v>546</v>
      </c>
      <c r="B18" s="9" t="n">
        <f aca="false">COUNTIF(Catálogo!$C$4:$C$1000,A18)</f>
        <v>7</v>
      </c>
      <c r="C18" s="10" t="n">
        <f aca="false">IF($B$21=0,0,B18/$B$21)</f>
        <v>0.0316742081447964</v>
      </c>
    </row>
    <row r="19" customFormat="false" ht="15" hidden="false" customHeight="true" outlineLevel="0" collapsed="false">
      <c r="A19" s="9" t="s">
        <v>1289</v>
      </c>
      <c r="B19" s="9" t="n">
        <f aca="false">COUNTIF(Catálogo!$C$4:$C$1000,A19)</f>
        <v>3</v>
      </c>
      <c r="C19" s="10" t="n">
        <f aca="false">IF($B$21=0,0,B19/$B$21)</f>
        <v>0.0135746606334842</v>
      </c>
    </row>
    <row r="20" customFormat="false" ht="15" hidden="false" customHeight="true" outlineLevel="0" collapsed="false">
      <c r="A20" s="9" t="s">
        <v>1304</v>
      </c>
      <c r="B20" s="9" t="n">
        <f aca="false">COUNTIF(Catálogo!$C$4:$C$1000,A20)</f>
        <v>1</v>
      </c>
      <c r="C20" s="10" t="n">
        <f aca="false">IF($B$21=0,0,B20/$B$21)</f>
        <v>0.00452488687782806</v>
      </c>
    </row>
    <row r="21" customFormat="false" ht="15" hidden="false" customHeight="true" outlineLevel="0" collapsed="false">
      <c r="A21" s="11" t="s">
        <v>1485</v>
      </c>
      <c r="B21" s="11" t="n">
        <f aca="false">COUNTA(Catálogo!$B$4:$B$1000)</f>
        <v>221</v>
      </c>
      <c r="C21" s="12" t="n">
        <f aca="false">IF(B21=0,0,B21/B21)</f>
        <v>1</v>
      </c>
    </row>
    <row r="22" customFormat="false" ht="15" hidden="false" customHeight="true" outlineLevel="0" collapsed="false">
      <c r="A22" s="9"/>
      <c r="B22" s="9"/>
      <c r="C22" s="10"/>
    </row>
    <row r="23" customFormat="false" ht="15" hidden="false" customHeight="true" outlineLevel="0" collapsed="false">
      <c r="A23" s="1" t="s">
        <v>1486</v>
      </c>
      <c r="B23" s="1" t="str">
        <f aca="false">IF(SUM(B3:B20)=B21,"OK","Existe ÁREA nova — acrescentar linha no resumo")</f>
        <v>OK</v>
      </c>
      <c r="C23" s="10"/>
    </row>
    <row r="24" customFormat="false" ht="15" hidden="false" customHeight="true" outlineLevel="0" collapsed="false">
      <c r="A24" s="1" t="s">
        <v>1487</v>
      </c>
      <c r="B24" s="1" t="str">
        <f aca="false">IF(COUNTA(Catálogo!$C$4:$C$1000)-SUM(B3:B20)=0,"OK","Existe ÁREA fora das 18 canónicas")</f>
        <v>OK</v>
      </c>
      <c r="C24" s="10"/>
    </row>
    <row r="25" customFormat="false" ht="15" hidden="false" customHeight="true" outlineLevel="0" collapsed="false">
      <c r="A25" s="9"/>
      <c r="B25" s="9"/>
      <c r="C25" s="10"/>
    </row>
    <row r="26" customFormat="false" ht="15" hidden="false" customHeight="true" outlineLevel="0" collapsed="false">
      <c r="A26" s="9"/>
      <c r="B26" s="9"/>
      <c r="C26" s="10"/>
    </row>
    <row r="27" customFormat="false" ht="15" hidden="false" customHeight="true" outlineLevel="0" collapsed="false">
      <c r="A27" s="9"/>
      <c r="B27" s="9"/>
      <c r="C27" s="10"/>
    </row>
    <row r="28" customFormat="false" ht="15" hidden="false" customHeight="true" outlineLevel="0" collapsed="false">
      <c r="A28" s="9"/>
      <c r="B28" s="9"/>
      <c r="C28" s="10"/>
    </row>
    <row r="29" customFormat="false" ht="15" hidden="false" customHeight="true" outlineLevel="0" collapsed="false">
      <c r="A29" s="9"/>
      <c r="B29" s="9"/>
      <c r="C29" s="10"/>
    </row>
    <row r="30" customFormat="false" ht="15" hidden="false" customHeight="true" outlineLevel="0" collapsed="false">
      <c r="A30" s="11"/>
      <c r="B30" s="11"/>
      <c r="C30" s="12"/>
    </row>
    <row r="31" customFormat="false" ht="15" hidden="false" customHeight="true" outlineLevel="0" collapsed="false">
      <c r="A31" s="13"/>
    </row>
    <row r="32" customFormat="false" ht="14.25" hidden="false" customHeight="true" outlineLevel="0" collapsed="false">
      <c r="A32" s="14"/>
      <c r="B32" s="15"/>
    </row>
    <row r="33" customFormat="false" ht="14.25" hidden="false" customHeight="true" outlineLevel="0" collapsed="false"/>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51</v>
      </c>
      <c r="I1" s="17" t="str">
        <f aca="false">COUNTIF(Catálogo!$C$4:$C$1000,$A$1)&amp;IF(COUNTIF(Catálogo!$C$4:$C$1000,$A$1)=1," instrumento nesta área"," instrumentos nesta área")</f>
        <v>5 instrumentos nesta área</v>
      </c>
    </row>
    <row r="2" customFormat="false" ht="15" hidden="false" customHeight="true" outlineLevel="0" collapsed="false">
      <c r="A2" s="18" t="s">
        <v>1488</v>
      </c>
      <c r="I2" s="19" t="str">
        <f aca="false">IF(COUNTIF(Catálogo!$C$4:$C$1000,$A$1)&gt;12,"⚠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6</v>
      </c>
      <c r="B4" s="6" t="str">
        <f aca="false">IFERROR(INDEX(Catálogo!B$4:B$1000,MATCH($A$1&amp;"|"&amp;1,Índice!$A$4:$A$1000,0)),"")</f>
        <v>Anamnese — História Prévia</v>
      </c>
      <c r="C4" s="6" t="str">
        <f aca="false">IFERROR(INDEX(Catálogo!C$4:C$1000,MATCH($A$1&amp;"|"&amp;1,Índice!$A$4:$A$1000,0)),"")</f>
        <v>Anamnese, História &amp; Monitorização</v>
      </c>
      <c r="D4" s="6" t="str">
        <f aca="false">IFERROR(INDEX(Catálogo!D$4:D$1000,MATCH($A$1&amp;"|"&amp;1,Índice!$A$4:$A$1000,0)),"")</f>
        <v>Mãe, Pai, Enc. Educação</v>
      </c>
      <c r="E4" s="6" t="str">
        <f aca="false">IFERROR(INDEX(Catálogo!E$4:E$1000,MATCH($A$1&amp;"|"&amp;1,Índice!$A$4:$A$1000,0)),"")</f>
        <v>0–18 anos</v>
      </c>
      <c r="F4" s="5" t="n">
        <f aca="false">IFERROR(INDEX(Catálogo!F$4:F$1000,MATCH($A$1&amp;"|"&amp;1,Índice!$A$4:$A$1000,0)),"")</f>
        <v>0</v>
      </c>
      <c r="G4" s="5" t="n">
        <f aca="false">IFERROR(INDEX(Catálogo!G$4:G$1000,MATCH($A$1&amp;"|"&amp;1,Índice!$A$4:$A$1000,0)),"")</f>
        <v>83.2</v>
      </c>
      <c r="H4" s="5" t="n">
        <f aca="false">IFERROR(INDEX(Catálogo!H$4:H$1000,MATCH($A$1&amp;"|"&amp;1,Índice!$A$4:$A$1000,0)),"")</f>
        <v>5</v>
      </c>
      <c r="I4" s="6" t="str">
        <f aca="false">IFERROR(INDEX(Catálogo!I$4:I$1000,MATCH($A$1&amp;"|"&amp;1,Índice!$A$4:$A$1000,0)),"")</f>
        <v>Recolha qualitativa de história clínica, desenvolvimento, familiar, escolar e relacional prévia à consulta</v>
      </c>
      <c r="J4" s="6" t="str">
        <f aca="false">IFERROR(INDEX(Catálogo!J$4:J$1000,MATCH($A$1&amp;"|"&amp;1,Índice!$A$4:$A$1000,0)),"")</f>
        <v>História Clínica; Desenvolvimento; Estrutura Familiar; História Escolar; Relacionamentos</v>
      </c>
      <c r="K4" s="6" t="str">
        <f aca="false">IFERROR(INDEX(Catálogo!K$4:K$1000,MATCH($A$1&amp;"|"&amp;1,Índice!$A$4:$A$1000,0)),"")</f>
        <v>anamnese_hp</v>
      </c>
      <c r="L4" s="6" t="str">
        <f aca="false">IFERROR(INDEX(Catálogo!L$4:L$1000,MATCH($A$1&amp;"|"&amp;1,Índice!$A$4:$A$1000,0)),"")</f>
        <v>q_anamnese_hp</v>
      </c>
      <c r="M4" s="7" t="str">
        <f aca="false">IFERROR(INDEX(Catálogo!M$4:M$1000,MATCH($A$1&amp;"|"&amp;1,Índice!$A$4:$A$1000,0)),"")</f>
        <v>https://correiaricardina-ui.github.io/questionarios/Anamnese_HP_v1.html</v>
      </c>
    </row>
    <row r="5" customFormat="false" ht="42" hidden="false" customHeight="true" outlineLevel="0" collapsed="false">
      <c r="A5" s="5" t="n">
        <f aca="false">IFERROR(INDEX(Catálogo!A$4:A$1000,MATCH($A$1&amp;"|"&amp;2,Índice!$A$4:$A$1000,0)),"")</f>
        <v>7</v>
      </c>
      <c r="B5" s="6" t="str">
        <f aca="false">IFERROR(INDEX(Catálogo!B$4:B$1000,MATCH($A$1&amp;"|"&amp;2,Índice!$A$4:$A$1000,0)),"")</f>
        <v>Anamnese Complementar</v>
      </c>
      <c r="C5" s="6" t="str">
        <f aca="false">IFERROR(INDEX(Catálogo!C$4:C$1000,MATCH($A$1&amp;"|"&amp;2,Índice!$A$4:$A$1000,0)),"")</f>
        <v>Anamnese, História &amp; Monitorização</v>
      </c>
      <c r="D5" s="6" t="str">
        <f aca="false">IFERROR(INDEX(Catálogo!D$4:D$1000,MATCH($A$1&amp;"|"&amp;2,Índice!$A$4:$A$1000,0)),"")</f>
        <v>Mãe, Pai, Enc. Educação</v>
      </c>
      <c r="E5" s="6" t="str">
        <f aca="false">IFERROR(INDEX(Catálogo!E$4:E$1000,MATCH($A$1&amp;"|"&amp;2,Índice!$A$4:$A$1000,0)),"")</f>
        <v>0–18 anos</v>
      </c>
      <c r="F5" s="5" t="n">
        <f aca="false">IFERROR(INDEX(Catálogo!F$4:F$1000,MATCH($A$1&amp;"|"&amp;2,Índice!$A$4:$A$1000,0)),"")</f>
        <v>0</v>
      </c>
      <c r="G5" s="5" t="n">
        <f aca="false">IFERROR(INDEX(Catálogo!G$4:G$1000,MATCH($A$1&amp;"|"&amp;2,Índice!$A$4:$A$1000,0)),"")</f>
        <v>83.2</v>
      </c>
      <c r="H5" s="5" t="n">
        <f aca="false">IFERROR(INDEX(Catálogo!H$4:H$1000,MATCH($A$1&amp;"|"&amp;2,Índice!$A$4:$A$1000,0)),"")</f>
        <v>4</v>
      </c>
      <c r="I5" s="6" t="str">
        <f aca="false">IFERROR(INDEX(Catálogo!I$4:I$1000,MATCH($A$1&amp;"|"&amp;2,Índice!$A$4:$A$1000,0)),"")</f>
        <v>Recolher história clínica, desenvolvimento e funcionamento quotidiano</v>
      </c>
      <c r="J5" s="6" t="str">
        <f aca="false">IFERROR(INDEX(Catálogo!J$4:J$1000,MATCH($A$1&amp;"|"&amp;2,Índice!$A$4:$A$1000,0)),"")</f>
        <v>História Clínica; Desenvolvimento Precoce; Funcionamento Executivo; Regulação Emocional</v>
      </c>
      <c r="K5" s="6" t="str">
        <f aca="false">IFERROR(INDEX(Catálogo!K$4:K$1000,MATCH($A$1&amp;"|"&amp;2,Índice!$A$4:$A$1000,0)),"")</f>
        <v>anamnese_complementar</v>
      </c>
      <c r="L5" s="6" t="str">
        <f aca="false">IFERROR(INDEX(Catálogo!L$4:L$1000,MATCH($A$1&amp;"|"&amp;2,Índice!$A$4:$A$1000,0)),"")</f>
        <v>q_anamnese</v>
      </c>
      <c r="M5" s="7" t="str">
        <f aca="false">IFERROR(INDEX(Catálogo!M$4:M$1000,MATCH($A$1&amp;"|"&amp;2,Índice!$A$4:$A$1000,0)),"")</f>
        <v>https://correiaricardina-ui.github.io/questionarios/Anamnese_complementar_v2.html</v>
      </c>
    </row>
    <row r="6" customFormat="false" ht="42" hidden="false" customHeight="true" outlineLevel="0" collapsed="false">
      <c r="A6" s="5" t="n">
        <f aca="false">IFERROR(INDEX(Catálogo!A$4:A$1000,MATCH($A$1&amp;"|"&amp;3,Índice!$A$4:$A$1000,0)),"")</f>
        <v>8</v>
      </c>
      <c r="B6" s="6" t="str">
        <f aca="false">IFERROR(INDEX(Catálogo!B$4:B$1000,MATCH($A$1&amp;"|"&amp;3,Índice!$A$4:$A$1000,0)),"")</f>
        <v>Anamnese Parental Complementar</v>
      </c>
      <c r="C6" s="6" t="str">
        <f aca="false">IFERROR(INDEX(Catálogo!C$4:C$1000,MATCH($A$1&amp;"|"&amp;3,Índice!$A$4:$A$1000,0)),"")</f>
        <v>Anamnese, História &amp; Monitorização</v>
      </c>
      <c r="D6" s="6" t="str">
        <f aca="false">IFERROR(INDEX(Catálogo!D$4:D$1000,MATCH($A$1&amp;"|"&amp;3,Índice!$A$4:$A$1000,0)),"")</f>
        <v>Mãe, Pai, Enc. Educação</v>
      </c>
      <c r="E6" s="6" t="str">
        <f aca="false">IFERROR(INDEX(Catálogo!E$4:E$1000,MATCH($A$1&amp;"|"&amp;3,Índice!$A$4:$A$1000,0)),"")</f>
        <v>Todas as idades</v>
      </c>
      <c r="F6" s="5" t="n">
        <f aca="false">IFERROR(INDEX(Catálogo!F$4:F$1000,MATCH($A$1&amp;"|"&amp;3,Índice!$A$4:$A$1000,0)),"")</f>
        <v>0</v>
      </c>
      <c r="G6" s="5" t="n">
        <f aca="false">IFERROR(INDEX(Catálogo!G$4:G$1000,MATCH($A$1&amp;"|"&amp;3,Índice!$A$4:$A$1000,0)),"")</f>
        <v>99</v>
      </c>
      <c r="H6" s="5" t="n">
        <f aca="false">IFERROR(INDEX(Catálogo!H$4:H$1000,MATCH($A$1&amp;"|"&amp;3,Índice!$A$4:$A$1000,0)),"")</f>
        <v>5</v>
      </c>
      <c r="I6" s="6" t="str">
        <f aca="false">IFERROR(INDEX(Catálogo!I$4:I$1000,MATCH($A$1&amp;"|"&amp;3,Índice!$A$4:$A$1000,0)),"")</f>
        <v>Recolha estruturada da perspetiva do progenitor ou cuidador que não esteve presente na consulta de anamnese inicial e deseja integrar o processo de avaliação/intervenção. Instrumento qualitativo de anamnese — sem cotação: regista motivação para participar, preocupação principal e áreas assinaladas, a criança no contexto do respondente (rotinas, o que corre bem, o que é mais difícil), evolução percebida, informação adicional e expectativas/disponibilidade.</v>
      </c>
      <c r="J6" s="6" t="str">
        <f aca="false">IFERROR(INDEX(Catálogo!J$4:J$1000,MATCH($A$1&amp;"|"&amp;3,Índice!$A$4:$A$1000,0)),"")</f>
        <v>Preocupações principais; Áreas assinaladas; Contexto do respondente; Evolução percebida; Expectativas e disponibilidade</v>
      </c>
      <c r="K6" s="6" t="str">
        <f aca="false">IFERROR(INDEX(Catálogo!K$4:K$1000,MATCH($A$1&amp;"|"&amp;3,Índice!$A$4:$A$1000,0)),"")</f>
        <v>anamnese_parental_complementar</v>
      </c>
      <c r="L6" s="6" t="str">
        <f aca="false">IFERROR(INDEX(Catálogo!L$4:L$1000,MATCH($A$1&amp;"|"&amp;3,Índice!$A$4:$A$1000,0)),"")</f>
        <v>q_anamnese_parental_complementar</v>
      </c>
      <c r="M6" s="7" t="str">
        <f aca="false">IFERROR(INDEX(Catálogo!M$4:M$1000,MATCH($A$1&amp;"|"&amp;3,Índice!$A$4:$A$1000,0)),"")</f>
        <v>https://correiaricardina-ui.github.io/questionarios/ANAMNESE_PARENTAL_COMPLEMENTAR_v1.html</v>
      </c>
    </row>
    <row r="7" customFormat="false" ht="42" hidden="false" customHeight="true" outlineLevel="0" collapsed="false">
      <c r="A7" s="5" t="n">
        <f aca="false">IFERROR(INDEX(Catálogo!A$4:A$1000,MATCH($A$1&amp;"|"&amp;4,Índice!$A$4:$A$1000,0)),"")</f>
        <v>53</v>
      </c>
      <c r="B7" s="6" t="str">
        <f aca="false">IFERROR(INDEX(Catálogo!B$4:B$1000,MATCH($A$1&amp;"|"&amp;4,Índice!$A$4:$A$1000,0)),"")</f>
        <v>Diário de Episódios</v>
      </c>
      <c r="C7" s="6" t="str">
        <f aca="false">IFERROR(INDEX(Catálogo!C$4:C$1000,MATCH($A$1&amp;"|"&amp;4,Índice!$A$4:$A$1000,0)),"")</f>
        <v>Anamnese, História &amp; Monitorização</v>
      </c>
      <c r="D7" s="6" t="str">
        <f aca="false">IFERROR(INDEX(Catálogo!D$4:D$1000,MATCH($A$1&amp;"|"&amp;4,Índice!$A$4:$A$1000,0)),"")</f>
        <v>Mãe, Pai, Enc. Educação</v>
      </c>
      <c r="E7" s="6" t="str">
        <f aca="false">IFERROR(INDEX(Catálogo!E$4:E$1000,MATCH($A$1&amp;"|"&amp;4,Índice!$A$4:$A$1000,0)),"")</f>
        <v>Todas as idades</v>
      </c>
      <c r="F7" s="5" t="n">
        <f aca="false">IFERROR(INDEX(Catálogo!F$4:F$1000,MATCH($A$1&amp;"|"&amp;4,Índice!$A$4:$A$1000,0)),"")</f>
        <v>0</v>
      </c>
      <c r="G7" s="5" t="n">
        <f aca="false">IFERROR(INDEX(Catálogo!G$4:G$1000,MATCH($A$1&amp;"|"&amp;4,Índice!$A$4:$A$1000,0)),"")</f>
        <v>99</v>
      </c>
      <c r="H7" s="5" t="n">
        <f aca="false">IFERROR(INDEX(Catálogo!H$4:H$1000,MATCH($A$1&amp;"|"&amp;4,Índice!$A$4:$A$1000,0)),"")</f>
        <v>3</v>
      </c>
      <c r="I7" s="6" t="str">
        <f aca="false">IFERROR(INDEX(Catálogo!I$4:I$1000,MATCH($A$1&amp;"|"&amp;4,Índice!$A$4:$A$1000,0)),"")</f>
        <v>Registo inter-sessões de episódios em casa (ansiedade, desregulação, sono, somático, progresso, etc.). Os pais/cuidadores registam, à medida que acontecem, o contexto, a resposta da criança e a resposta dos próprios. Instrumento qualitativo de monitorização — sem cotação normativa; produz apenas síntese descritiva (nº de episódios, frequência por tipo e distribuição de intensidade) e o detalhe integral de cada episódio.</v>
      </c>
      <c r="J7" s="6" t="str">
        <f aca="false">IFERROR(INDEX(Catálogo!J$4:J$1000,MATCH($A$1&amp;"|"&amp;4,Índice!$A$4:$A$1000,0)),"")</f>
        <v>Nº de episódios; Frequência por tipo; Distribuição de intensidade</v>
      </c>
      <c r="K7" s="6" t="str">
        <f aca="false">IFERROR(INDEX(Catálogo!K$4:K$1000,MATCH($A$1&amp;"|"&amp;4,Índice!$A$4:$A$1000,0)),"")</f>
        <v>diario_episodios</v>
      </c>
      <c r="L7" s="6" t="str">
        <f aca="false">IFERROR(INDEX(Catálogo!L$4:L$1000,MATCH($A$1&amp;"|"&amp;4,Índice!$A$4:$A$1000,0)),"")</f>
        <v>q_diario_episodios</v>
      </c>
      <c r="M7" s="7" t="str">
        <f aca="false">IFERROR(INDEX(Catálogo!M$4:M$1000,MATCH($A$1&amp;"|"&amp;4,Índice!$A$4:$A$1000,0)),"")</f>
        <v>https://correiaricardina-ui.github.io/questionarios/Diario_Episodios_v1.html</v>
      </c>
    </row>
    <row r="8" customFormat="false" ht="42" hidden="false" customHeight="true" outlineLevel="0" collapsed="false">
      <c r="A8" s="5" t="n">
        <f aca="false">IFERROR(INDEX(Catálogo!A$4:A$1000,MATCH($A$1&amp;"|"&amp;5,Índice!$A$4:$A$1000,0)),"")</f>
        <v>207</v>
      </c>
      <c r="B8" s="6" t="str">
        <f aca="false">IFERROR(INDEX(Catálogo!B$4:B$1000,MATCH($A$1&amp;"|"&amp;5,Índice!$A$4:$A$1000,0)),"")</f>
        <v>CGI — Escala de Impressão Clínica Global</v>
      </c>
      <c r="C8" s="6" t="str">
        <f aca="false">IFERROR(INDEX(Catálogo!C$4:C$1000,MATCH($A$1&amp;"|"&amp;5,Índice!$A$4:$A$1000,0)),"")</f>
        <v>Anamnese, História &amp; Monitorização</v>
      </c>
      <c r="D8" s="6" t="str">
        <f aca="false">IFERROR(INDEX(Catálogo!D$4:D$1000,MATCH($A$1&amp;"|"&amp;5,Índice!$A$4:$A$1000,0)),"")</f>
        <v>Psicóloga, Aplicador clínico</v>
      </c>
      <c r="E8" s="6" t="str">
        <f aca="false">IFERROR(INDEX(Catálogo!E$4:E$1000,MATCH($A$1&amp;"|"&amp;5,Índice!$A$4:$A$1000,0)),"")</f>
        <v>Transversal (todas as idades)</v>
      </c>
      <c r="F8" s="5" t="n">
        <f aca="false">IFERROR(INDEX(Catálogo!F$4:F$1000,MATCH($A$1&amp;"|"&amp;5,Índice!$A$4:$A$1000,0)),"")</f>
        <v>0</v>
      </c>
      <c r="G8" s="5" t="n">
        <f aca="false">IFERROR(INDEX(Catálogo!G$4:G$1000,MATCH($A$1&amp;"|"&amp;5,Índice!$A$4:$A$1000,0)),"")</f>
        <v>99</v>
      </c>
      <c r="H8" s="5" t="n">
        <f aca="false">IFERROR(INDEX(Catálogo!H$4:H$1000,MATCH($A$1&amp;"|"&amp;5,Índice!$A$4:$A$1000,0)),"")</f>
        <v>10</v>
      </c>
      <c r="I8" s="6" t="str">
        <f aca="false">IFERROR(INDEX(Catálogo!I$4:I$1000,MATCH($A$1&amp;"|"&amp;5,Índice!$A$4:$A$1000,0)),"")</f>
        <v>Sintetiza num único indicador o JULGAMENTO CLÍNICO GLOBAL sobre o estado do doente, em duas subescalas independentes de sete pontos: GRAVIDADE do quadro (CGI-G) e MELHORIA face ao estado inicial (CGI-M). Guy, W. (1976), ECDEU Assessment Manual for Psychopharmacology (DHEW ADM 76-338) — obra de autoria governamental norte-americana, de DOMÍNIO PÚBLICO e sem reserva de direitos. Transversal a todas as faixas etárias e a todos os quadros clínicos; em idade pediátrica a cotação integra a observação clínica e o relato dos cuidadores. Período de referência: ÚLTIMOS SETE DIAS. Cotação em menos de 2 minutos, após a avaliação clínica. ⚠ Instrumento de HETEROAVALIAÇÃO, cotado pelo CLÍNICO: NÃO é autorrelato e NÃO deve ser entregue ao doente nem aos cuidadores. ⚠ A CGI-G exige comparação do doente com a TOTALIDADE DA EXPERIÊNCIA DO CLÍNICO com o quadro em causa, e não com a população geral — a ausência dessa experiência acumulada compromete a validade da medida. ⚠ A CGI-M exige comparação com o ESTADO INICIAL DO PRÓPRIO DOENTE e cota-se INDEPENDENTEMENTE de a mudança ser ou não atribuível à intervenção: é uma medida de mudança INTRAINDIVIDUAL e NÃO uma medida de eficácia terapêutica; por isso não é cotável em linha de base. ⚠ A escala NÃO produz pontuação compósita: cada eixo é ordinal e independente, não há soma nem total. ⚠ NÃO POSSUI NORMAS — os limiares aplicados (CGI-G ≤ 2 remissão · CGI-G ≥ 4 quadro clinicamente significativo · CGI-M ≤ 2 resposta · CGI-M = 3 resposta parcial · CGI-M ≥ 5 agravamento) são convenções consolidadas na literatura (Busner &amp; Targum, 2007) e não pontos de corte normativos. ⚠ Medida GLOBAL e UNIDIMENSIONAL, dependente do julgamento clínico: destina-se a COMPLEMENTAR, nunca a substituir, as medidas dimensionais do quadro avaliado (CY-BOCS, YGTSS e equivalentes); a divergência entre as duas é informativa e deve ser explicitada. ⚠ O Índice de Eficácia aplica-se exclusivamente havendo terapêutica farmacológica instituída, sendo a cotação da responsabilidade do clínico prescritor. ⚠ Havendo comorbilidade, cota-se um quadro clínico por diagnóstico: até três por sessão.</v>
      </c>
      <c r="J8" s="6" t="str">
        <f aca="false">IFERROR(INDEX(Catálogo!J$4:J$1000,MATCH($A$1&amp;"|"&amp;5,Índice!$A$4:$A$1000,0)),"")</f>
        <v>CGI-G — Gravidade do quadro clínico (1 a 7): 1 normal, sem sinais de perturbação · 2 no limiar da perturbação · 3 ligeiramente afetado · 4 moderadamente afetado · 5 marcadamente afetado · 6 gravemente afetado · 7 entre os casos mais graves, cada ponto com critério operacional de sintomatologia e de interferência funcional; CGI-M — Melhoria global face à linha de base (1 a 7): 1 muito melhor · 2 melhor · 3 ligeiramente melhor · 4 sem alteração · 5 ligeiramente pior · 6 pior · 7 muito pior; cotável apenas em reavaliação; Leitura clínica da gravidade: compatível com remissão (≤ 2) · sintomatologia residual ou ligeira (3) · quadro clinicamente significativo com indicação para intervenção estruturada (≥ 4); Leitura clínica da mudança: resposta ao tratamento (≤ 2) · resposta parcial, que justifica revisão do plano e não necessariamente a sua substituição (3) · sem alteração face à linha de base (4) · agravamento, que impõe reavaliação diagnóstica e análise de fatores de manutenção (≥ 5); Síntese gravidade × mudança: resposta com remissão · resposta sem remissão (melhoria relevante com quadro ainda clinicamente significativo) · agravamento com quadro grave, com prioridade de reavaliação · evolução intermédia, que mantém monitorização; Índice de Eficácia (apenas em intervenção farmacológica): matriz 4 × 4 que cruza o efeito terapêutico (1 acentuado · 2 moderado · 3 mínimo · 4 sem alteração ou agravamento) com os efeitos adversos (1 ausentes · 2 não interferem no funcionamento · 3 interferem significativamente · 4 sobrepõem-se ao efeito terapêutico), devolvendo o perfil benefício/risco; Momento de avaliação (linha de base · reavaliação · final · seguimento) para monitorização serial intraindividual; Até três quadros clínicos por sessão, com designação explícita de cada um; Articulação obrigatória com a medida dimensional específica do quadro, com explicitação das divergências entre gravidade global e sintomatologia específica; Registo qualitativo não cotado: observações clínicas, síntese do caso e fatores de manutenção</v>
      </c>
      <c r="K8" s="6" t="str">
        <f aca="false">IFERROR(INDEX(Catálogo!K$4:K$1000,MATCH($A$1&amp;"|"&amp;5,Índice!$A$4:$A$1000,0)),"")</f>
        <v>cgi</v>
      </c>
      <c r="L8" s="6" t="str">
        <f aca="false">IFERROR(INDEX(Catálogo!L$4:L$1000,MATCH($A$1&amp;"|"&amp;5,Índice!$A$4:$A$1000,0)),"")</f>
        <v>q_cgi</v>
      </c>
      <c r="M8" s="7" t="str">
        <f aca="false">IFERROR(INDEX(Catálogo!M$4:M$1000,MATCH($A$1&amp;"|"&amp;5,Índice!$A$4:$A$1000,0)),"")</f>
        <v>https://correiaricardina-ui.github.io/questionarios/CGI_v1.html</v>
      </c>
    </row>
    <row r="9" customFormat="false" ht="42" hidden="false" customHeight="true" outlineLevel="0" collapsed="false">
      <c r="A9" s="5" t="str">
        <f aca="false">IFERROR(INDEX(Catálogo!A$4:A$1000,MATCH($A$1&amp;"|"&amp;6,Índice!$A$4:$A$1000,0)),"")</f>
        <v/>
      </c>
      <c r="B9" s="6" t="str">
        <f aca="false">IFERROR(INDEX(Catálogo!B$4:B$1000,MATCH($A$1&amp;"|"&amp;6,Índice!$A$4:$A$1000,0)),"")</f>
        <v/>
      </c>
      <c r="C9" s="6" t="str">
        <f aca="false">IFERROR(INDEX(Catálogo!C$4:C$1000,MATCH($A$1&amp;"|"&amp;6,Índice!$A$4:$A$1000,0)),"")</f>
        <v/>
      </c>
      <c r="D9" s="6" t="str">
        <f aca="false">IFERROR(INDEX(Catálogo!D$4:D$1000,MATCH($A$1&amp;"|"&amp;6,Índice!$A$4:$A$1000,0)),"")</f>
        <v/>
      </c>
      <c r="E9" s="6" t="str">
        <f aca="false">IFERROR(INDEX(Catálogo!E$4:E$1000,MATCH($A$1&amp;"|"&amp;6,Índice!$A$4:$A$1000,0)),"")</f>
        <v/>
      </c>
      <c r="F9" s="5" t="str">
        <f aca="false">IFERROR(INDEX(Catálogo!F$4:F$1000,MATCH($A$1&amp;"|"&amp;6,Índice!$A$4:$A$1000,0)),"")</f>
        <v/>
      </c>
      <c r="G9" s="5" t="str">
        <f aca="false">IFERROR(INDEX(Catálogo!G$4:G$1000,MATCH($A$1&amp;"|"&amp;6,Índice!$A$4:$A$1000,0)),"")</f>
        <v/>
      </c>
      <c r="H9" s="5" t="str">
        <f aca="false">IFERROR(INDEX(Catálogo!H$4:H$1000,MATCH($A$1&amp;"|"&amp;6,Índice!$A$4:$A$1000,0)),"")</f>
        <v/>
      </c>
      <c r="I9" s="6" t="str">
        <f aca="false">IFERROR(INDEX(Catálogo!I$4:I$1000,MATCH($A$1&amp;"|"&amp;6,Índice!$A$4:$A$1000,0)),"")</f>
        <v/>
      </c>
      <c r="J9" s="6" t="str">
        <f aca="false">IFERROR(INDEX(Catálogo!J$4:J$1000,MATCH($A$1&amp;"|"&amp;6,Índice!$A$4:$A$1000,0)),"")</f>
        <v/>
      </c>
      <c r="K9" s="6" t="str">
        <f aca="false">IFERROR(INDEX(Catálogo!K$4:K$1000,MATCH($A$1&amp;"|"&amp;6,Índice!$A$4:$A$1000,0)),"")</f>
        <v/>
      </c>
      <c r="L9" s="6" t="str">
        <f aca="false">IFERROR(INDEX(Catálogo!L$4:L$1000,MATCH($A$1&amp;"|"&amp;6,Índice!$A$4:$A$1000,0)),"")</f>
        <v/>
      </c>
      <c r="M9" s="7" t="str">
        <f aca="false">IFERROR(INDEX(Catálogo!M$4:M$1000,MATCH($A$1&amp;"|"&amp;6,Índice!$A$4:$A$1000,0)),"")</f>
        <v/>
      </c>
    </row>
    <row r="10" customFormat="false" ht="42" hidden="false" customHeight="true" outlineLevel="0" collapsed="false">
      <c r="A10" s="5" t="str">
        <f aca="false">IFERROR(INDEX(Catálogo!A$4:A$1000,MATCH($A$1&amp;"|"&amp;7,Índice!$A$4:$A$1000,0)),"")</f>
        <v/>
      </c>
      <c r="B10" s="6" t="str">
        <f aca="false">IFERROR(INDEX(Catálogo!B$4:B$1000,MATCH($A$1&amp;"|"&amp;7,Índice!$A$4:$A$1000,0)),"")</f>
        <v/>
      </c>
      <c r="C10" s="6" t="str">
        <f aca="false">IFERROR(INDEX(Catálogo!C$4:C$1000,MATCH($A$1&amp;"|"&amp;7,Índice!$A$4:$A$1000,0)),"")</f>
        <v/>
      </c>
      <c r="D10" s="6" t="str">
        <f aca="false">IFERROR(INDEX(Catálogo!D$4:D$1000,MATCH($A$1&amp;"|"&amp;7,Índice!$A$4:$A$1000,0)),"")</f>
        <v/>
      </c>
      <c r="E10" s="6" t="str">
        <f aca="false">IFERROR(INDEX(Catálogo!E$4:E$1000,MATCH($A$1&amp;"|"&amp;7,Índice!$A$4:$A$1000,0)),"")</f>
        <v/>
      </c>
      <c r="F10" s="5" t="str">
        <f aca="false">IFERROR(INDEX(Catálogo!F$4:F$1000,MATCH($A$1&amp;"|"&amp;7,Índice!$A$4:$A$1000,0)),"")</f>
        <v/>
      </c>
      <c r="G10" s="5" t="str">
        <f aca="false">IFERROR(INDEX(Catálogo!G$4:G$1000,MATCH($A$1&amp;"|"&amp;7,Índice!$A$4:$A$1000,0)),"")</f>
        <v/>
      </c>
      <c r="H10" s="5" t="str">
        <f aca="false">IFERROR(INDEX(Catálogo!H$4:H$1000,MATCH($A$1&amp;"|"&amp;7,Índice!$A$4:$A$1000,0)),"")</f>
        <v/>
      </c>
      <c r="I10" s="6" t="str">
        <f aca="false">IFERROR(INDEX(Catálogo!I$4:I$1000,MATCH($A$1&amp;"|"&amp;7,Índice!$A$4:$A$1000,0)),"")</f>
        <v/>
      </c>
      <c r="J10" s="6" t="str">
        <f aca="false">IFERROR(INDEX(Catálogo!J$4:J$1000,MATCH($A$1&amp;"|"&amp;7,Índice!$A$4:$A$1000,0)),"")</f>
        <v/>
      </c>
      <c r="K10" s="6" t="str">
        <f aca="false">IFERROR(INDEX(Catálogo!K$4:K$1000,MATCH($A$1&amp;"|"&amp;7,Índice!$A$4:$A$1000,0)),"")</f>
        <v/>
      </c>
      <c r="L10" s="6" t="str">
        <f aca="false">IFERROR(INDEX(Catálogo!L$4:L$1000,MATCH($A$1&amp;"|"&amp;7,Índice!$A$4:$A$1000,0)),"")</f>
        <v/>
      </c>
      <c r="M10" s="7" t="str">
        <f aca="false">IFERROR(INDEX(Catálogo!M$4:M$1000,MATCH($A$1&amp;"|"&amp;7,Índice!$A$4:$A$1000,0)),"")</f>
        <v/>
      </c>
    </row>
    <row r="11" customFormat="false" ht="42" hidden="false" customHeight="true" outlineLevel="0" collapsed="false">
      <c r="A11" s="5" t="str">
        <f aca="false">IFERROR(INDEX(Catálogo!A$4:A$1000,MATCH($A$1&amp;"|"&amp;8,Índice!$A$4:$A$1000,0)),"")</f>
        <v/>
      </c>
      <c r="B11" s="6" t="str">
        <f aca="false">IFERROR(INDEX(Catálogo!B$4:B$1000,MATCH($A$1&amp;"|"&amp;8,Índice!$A$4:$A$1000,0)),"")</f>
        <v/>
      </c>
      <c r="C11" s="6" t="str">
        <f aca="false">IFERROR(INDEX(Catálogo!C$4:C$1000,MATCH($A$1&amp;"|"&amp;8,Índice!$A$4:$A$1000,0)),"")</f>
        <v/>
      </c>
      <c r="D11" s="6" t="str">
        <f aca="false">IFERROR(INDEX(Catálogo!D$4:D$1000,MATCH($A$1&amp;"|"&amp;8,Índice!$A$4:$A$1000,0)),"")</f>
        <v/>
      </c>
      <c r="E11" s="6" t="str">
        <f aca="false">IFERROR(INDEX(Catálogo!E$4:E$1000,MATCH($A$1&amp;"|"&amp;8,Índice!$A$4:$A$1000,0)),"")</f>
        <v/>
      </c>
      <c r="F11" s="5" t="str">
        <f aca="false">IFERROR(INDEX(Catálogo!F$4:F$1000,MATCH($A$1&amp;"|"&amp;8,Índice!$A$4:$A$1000,0)),"")</f>
        <v/>
      </c>
      <c r="G11" s="5" t="str">
        <f aca="false">IFERROR(INDEX(Catálogo!G$4:G$1000,MATCH($A$1&amp;"|"&amp;8,Índice!$A$4:$A$1000,0)),"")</f>
        <v/>
      </c>
      <c r="H11" s="5" t="str">
        <f aca="false">IFERROR(INDEX(Catálogo!H$4:H$1000,MATCH($A$1&amp;"|"&amp;8,Índice!$A$4:$A$1000,0)),"")</f>
        <v/>
      </c>
      <c r="I11" s="6" t="str">
        <f aca="false">IFERROR(INDEX(Catálogo!I$4:I$1000,MATCH($A$1&amp;"|"&amp;8,Índice!$A$4:$A$1000,0)),"")</f>
        <v/>
      </c>
      <c r="J11" s="6" t="str">
        <f aca="false">IFERROR(INDEX(Catálogo!J$4:J$1000,MATCH($A$1&amp;"|"&amp;8,Índice!$A$4:$A$1000,0)),"")</f>
        <v/>
      </c>
      <c r="K11" s="6" t="str">
        <f aca="false">IFERROR(INDEX(Catálogo!K$4:K$1000,MATCH($A$1&amp;"|"&amp;8,Índice!$A$4:$A$1000,0)),"")</f>
        <v/>
      </c>
      <c r="L11" s="6" t="str">
        <f aca="false">IFERROR(INDEX(Catálogo!L$4:L$1000,MATCH($A$1&amp;"|"&amp;8,Índice!$A$4:$A$1000,0)),"")</f>
        <v/>
      </c>
      <c r="M11" s="7" t="str">
        <f aca="false">IFERROR(INDEX(Catálogo!M$4:M$1000,MATCH($A$1&amp;"|"&amp;8,Índice!$A$4:$A$1000,0)),"")</f>
        <v/>
      </c>
    </row>
    <row r="12" customFormat="false" ht="42" hidden="false" customHeight="true" outlineLevel="0" collapsed="false">
      <c r="A12" s="5" t="str">
        <f aca="false">IFERROR(INDEX(Catálogo!A$4:A$1000,MATCH($A$1&amp;"|"&amp;9,Índice!$A$4:$A$1000,0)),"")</f>
        <v/>
      </c>
      <c r="B12" s="6" t="str">
        <f aca="false">IFERROR(INDEX(Catálogo!B$4:B$1000,MATCH($A$1&amp;"|"&amp;9,Índice!$A$4:$A$1000,0)),"")</f>
        <v/>
      </c>
      <c r="C12" s="6" t="str">
        <f aca="false">IFERROR(INDEX(Catálogo!C$4:C$1000,MATCH($A$1&amp;"|"&amp;9,Índice!$A$4:$A$1000,0)),"")</f>
        <v/>
      </c>
      <c r="D12" s="6" t="str">
        <f aca="false">IFERROR(INDEX(Catálogo!D$4:D$1000,MATCH($A$1&amp;"|"&amp;9,Índice!$A$4:$A$1000,0)),"")</f>
        <v/>
      </c>
      <c r="E12" s="6" t="str">
        <f aca="false">IFERROR(INDEX(Catálogo!E$4:E$1000,MATCH($A$1&amp;"|"&amp;9,Índice!$A$4:$A$1000,0)),"")</f>
        <v/>
      </c>
      <c r="F12" s="5" t="str">
        <f aca="false">IFERROR(INDEX(Catálogo!F$4:F$1000,MATCH($A$1&amp;"|"&amp;9,Índice!$A$4:$A$1000,0)),"")</f>
        <v/>
      </c>
      <c r="G12" s="5" t="str">
        <f aca="false">IFERROR(INDEX(Catálogo!G$4:G$1000,MATCH($A$1&amp;"|"&amp;9,Índice!$A$4:$A$1000,0)),"")</f>
        <v/>
      </c>
      <c r="H12" s="5" t="str">
        <f aca="false">IFERROR(INDEX(Catálogo!H$4:H$1000,MATCH($A$1&amp;"|"&amp;9,Índice!$A$4:$A$1000,0)),"")</f>
        <v/>
      </c>
      <c r="I12" s="6" t="str">
        <f aca="false">IFERROR(INDEX(Catálogo!I$4:I$1000,MATCH($A$1&amp;"|"&amp;9,Índice!$A$4:$A$1000,0)),"")</f>
        <v/>
      </c>
      <c r="J12" s="6" t="str">
        <f aca="false">IFERROR(INDEX(Catálogo!J$4:J$1000,MATCH($A$1&amp;"|"&amp;9,Índice!$A$4:$A$1000,0)),"")</f>
        <v/>
      </c>
      <c r="K12" s="6" t="str">
        <f aca="false">IFERROR(INDEX(Catálogo!K$4:K$1000,MATCH($A$1&amp;"|"&amp;9,Índice!$A$4:$A$1000,0)),"")</f>
        <v/>
      </c>
      <c r="L12" s="6" t="str">
        <f aca="false">IFERROR(INDEX(Catálogo!L$4:L$1000,MATCH($A$1&amp;"|"&amp;9,Índice!$A$4:$A$1000,0)),"")</f>
        <v/>
      </c>
      <c r="M12" s="7" t="str">
        <f aca="false">IFERROR(INDEX(Catálogo!M$4:M$1000,MATCH($A$1&amp;"|"&amp;9,Índice!$A$4:$A$1000,0)),"")</f>
        <v/>
      </c>
    </row>
    <row r="13" customFormat="false" ht="42" hidden="false" customHeight="true" outlineLevel="0" collapsed="false">
      <c r="A13" s="5" t="str">
        <f aca="false">IFERROR(INDEX(Catálogo!A$4:A$1000,MATCH($A$1&amp;"|"&amp;10,Índice!$A$4:$A$1000,0)),"")</f>
        <v/>
      </c>
      <c r="B13" s="6" t="str">
        <f aca="false">IFERROR(INDEX(Catálogo!B$4:B$1000,MATCH($A$1&amp;"|"&amp;10,Índice!$A$4:$A$1000,0)),"")</f>
        <v/>
      </c>
      <c r="C13" s="6" t="str">
        <f aca="false">IFERROR(INDEX(Catálogo!C$4:C$1000,MATCH($A$1&amp;"|"&amp;10,Índice!$A$4:$A$1000,0)),"")</f>
        <v/>
      </c>
      <c r="D13" s="6" t="str">
        <f aca="false">IFERROR(INDEX(Catálogo!D$4:D$1000,MATCH($A$1&amp;"|"&amp;10,Índice!$A$4:$A$1000,0)),"")</f>
        <v/>
      </c>
      <c r="E13" s="6" t="str">
        <f aca="false">IFERROR(INDEX(Catálogo!E$4:E$1000,MATCH($A$1&amp;"|"&amp;10,Índice!$A$4:$A$1000,0)),"")</f>
        <v/>
      </c>
      <c r="F13" s="5" t="str">
        <f aca="false">IFERROR(INDEX(Catálogo!F$4:F$1000,MATCH($A$1&amp;"|"&amp;10,Índice!$A$4:$A$1000,0)),"")</f>
        <v/>
      </c>
      <c r="G13" s="5" t="str">
        <f aca="false">IFERROR(INDEX(Catálogo!G$4:G$1000,MATCH($A$1&amp;"|"&amp;10,Índice!$A$4:$A$1000,0)),"")</f>
        <v/>
      </c>
      <c r="H13" s="5" t="str">
        <f aca="false">IFERROR(INDEX(Catálogo!H$4:H$1000,MATCH($A$1&amp;"|"&amp;10,Índice!$A$4:$A$1000,0)),"")</f>
        <v/>
      </c>
      <c r="I13" s="6" t="str">
        <f aca="false">IFERROR(INDEX(Catálogo!I$4:I$1000,MATCH($A$1&amp;"|"&amp;10,Índice!$A$4:$A$1000,0)),"")</f>
        <v/>
      </c>
      <c r="J13" s="6" t="str">
        <f aca="false">IFERROR(INDEX(Catálogo!J$4:J$1000,MATCH($A$1&amp;"|"&amp;10,Índice!$A$4:$A$1000,0)),"")</f>
        <v/>
      </c>
      <c r="K13" s="6" t="str">
        <f aca="false">IFERROR(INDEX(Catálogo!K$4:K$1000,MATCH($A$1&amp;"|"&amp;10,Índice!$A$4:$A$1000,0)),"")</f>
        <v/>
      </c>
      <c r="L13" s="6" t="str">
        <f aca="false">IFERROR(INDEX(Catálogo!L$4:L$1000,MATCH($A$1&amp;"|"&amp;10,Índice!$A$4:$A$1000,0)),"")</f>
        <v/>
      </c>
      <c r="M13" s="7" t="str">
        <f aca="false">IFERROR(INDEX(Catálogo!M$4:M$1000,MATCH($A$1&amp;"|"&amp;10,Índice!$A$4:$A$1000,0)),"")</f>
        <v/>
      </c>
    </row>
    <row r="14" customFormat="false" ht="42" hidden="false" customHeight="true" outlineLevel="0" collapsed="false">
      <c r="A14" s="5" t="str">
        <f aca="false">IFERROR(INDEX(Catálogo!A$4:A$1000,MATCH($A$1&amp;"|"&amp;11,Índice!$A$4:$A$1000,0)),"")</f>
        <v/>
      </c>
      <c r="B14" s="6" t="str">
        <f aca="false">IFERROR(INDEX(Catálogo!B$4:B$1000,MATCH($A$1&amp;"|"&amp;11,Índice!$A$4:$A$1000,0)),"")</f>
        <v/>
      </c>
      <c r="C14" s="6" t="str">
        <f aca="false">IFERROR(INDEX(Catálogo!C$4:C$1000,MATCH($A$1&amp;"|"&amp;11,Índice!$A$4:$A$1000,0)),"")</f>
        <v/>
      </c>
      <c r="D14" s="6" t="str">
        <f aca="false">IFERROR(INDEX(Catálogo!D$4:D$1000,MATCH($A$1&amp;"|"&amp;11,Índice!$A$4:$A$1000,0)),"")</f>
        <v/>
      </c>
      <c r="E14" s="6" t="str">
        <f aca="false">IFERROR(INDEX(Catálogo!E$4:E$1000,MATCH($A$1&amp;"|"&amp;11,Índice!$A$4:$A$1000,0)),"")</f>
        <v/>
      </c>
      <c r="F14" s="5" t="str">
        <f aca="false">IFERROR(INDEX(Catálogo!F$4:F$1000,MATCH($A$1&amp;"|"&amp;11,Índice!$A$4:$A$1000,0)),"")</f>
        <v/>
      </c>
      <c r="G14" s="5" t="str">
        <f aca="false">IFERROR(INDEX(Catálogo!G$4:G$1000,MATCH($A$1&amp;"|"&amp;11,Índice!$A$4:$A$1000,0)),"")</f>
        <v/>
      </c>
      <c r="H14" s="5" t="str">
        <f aca="false">IFERROR(INDEX(Catálogo!H$4:H$1000,MATCH($A$1&amp;"|"&amp;11,Índice!$A$4:$A$1000,0)),"")</f>
        <v/>
      </c>
      <c r="I14" s="6" t="str">
        <f aca="false">IFERROR(INDEX(Catálogo!I$4:I$1000,MATCH($A$1&amp;"|"&amp;11,Índice!$A$4:$A$1000,0)),"")</f>
        <v/>
      </c>
      <c r="J14" s="6" t="str">
        <f aca="false">IFERROR(INDEX(Catálogo!J$4:J$1000,MATCH($A$1&amp;"|"&amp;11,Índice!$A$4:$A$1000,0)),"")</f>
        <v/>
      </c>
      <c r="K14" s="6" t="str">
        <f aca="false">IFERROR(INDEX(Catálogo!K$4:K$1000,MATCH($A$1&amp;"|"&amp;11,Índice!$A$4:$A$1000,0)),"")</f>
        <v/>
      </c>
      <c r="L14" s="6" t="str">
        <f aca="false">IFERROR(INDEX(Catálogo!L$4:L$1000,MATCH($A$1&amp;"|"&amp;11,Índice!$A$4:$A$1000,0)),"")</f>
        <v/>
      </c>
      <c r="M14" s="7" t="str">
        <f aca="false">IFERROR(INDEX(Catálogo!M$4:M$1000,MATCH($A$1&amp;"|"&amp;11,Índice!$A$4:$A$1000,0)),"")</f>
        <v/>
      </c>
    </row>
    <row r="15" customFormat="false" ht="42" hidden="false" customHeight="true" outlineLevel="0" collapsed="false">
      <c r="A15" s="5" t="str">
        <f aca="false">IFERROR(INDEX(Catálogo!A$4:A$1000,MATCH($A$1&amp;"|"&amp;12,Índice!$A$4:$A$1000,0)),"")</f>
        <v/>
      </c>
      <c r="B15" s="6" t="str">
        <f aca="false">IFERROR(INDEX(Catálogo!B$4:B$1000,MATCH($A$1&amp;"|"&amp;12,Índice!$A$4:$A$1000,0)),"")</f>
        <v/>
      </c>
      <c r="C15" s="6" t="str">
        <f aca="false">IFERROR(INDEX(Catálogo!C$4:C$1000,MATCH($A$1&amp;"|"&amp;12,Índice!$A$4:$A$1000,0)),"")</f>
        <v/>
      </c>
      <c r="D15" s="6" t="str">
        <f aca="false">IFERROR(INDEX(Catálogo!D$4:D$1000,MATCH($A$1&amp;"|"&amp;12,Índice!$A$4:$A$1000,0)),"")</f>
        <v/>
      </c>
      <c r="E15" s="6" t="str">
        <f aca="false">IFERROR(INDEX(Catálogo!E$4:E$1000,MATCH($A$1&amp;"|"&amp;12,Índice!$A$4:$A$1000,0)),"")</f>
        <v/>
      </c>
      <c r="F15" s="5" t="str">
        <f aca="false">IFERROR(INDEX(Catálogo!F$4:F$1000,MATCH($A$1&amp;"|"&amp;12,Índice!$A$4:$A$1000,0)),"")</f>
        <v/>
      </c>
      <c r="G15" s="5" t="str">
        <f aca="false">IFERROR(INDEX(Catálogo!G$4:G$1000,MATCH($A$1&amp;"|"&amp;12,Índice!$A$4:$A$1000,0)),"")</f>
        <v/>
      </c>
      <c r="H15" s="5" t="str">
        <f aca="false">IFERROR(INDEX(Catálogo!H$4:H$1000,MATCH($A$1&amp;"|"&amp;12,Índice!$A$4:$A$1000,0)),"")</f>
        <v/>
      </c>
      <c r="I15" s="6" t="str">
        <f aca="false">IFERROR(INDEX(Catálogo!I$4:I$1000,MATCH($A$1&amp;"|"&amp;12,Índice!$A$4:$A$1000,0)),"")</f>
        <v/>
      </c>
      <c r="J15" s="6" t="str">
        <f aca="false">IFERROR(INDEX(Catálogo!J$4:J$1000,MATCH($A$1&amp;"|"&amp;12,Índice!$A$4:$A$1000,0)),"")</f>
        <v/>
      </c>
      <c r="K15" s="6" t="str">
        <f aca="false">IFERROR(INDEX(Catálogo!K$4:K$1000,MATCH($A$1&amp;"|"&amp;12,Índice!$A$4:$A$1000,0)),"")</f>
        <v/>
      </c>
      <c r="L15" s="6" t="str">
        <f aca="false">IFERROR(INDEX(Catálogo!L$4:L$1000,MATCH($A$1&amp;"|"&amp;12,Índice!$A$4:$A$1000,0)),"")</f>
        <v/>
      </c>
      <c r="M15" s="7" t="str">
        <f aca="false">IFERROR(INDEX(Catálogo!M$4:M$1000,MATCH($A$1&amp;"|"&amp;12,Índice!$A$4:$A$1000,0)),"")</f>
        <v/>
      </c>
    </row>
  </sheetData>
  <autoFilter ref="A3:M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16</v>
      </c>
      <c r="I1" s="17" t="str">
        <f aca="false">COUNTIF(Catálogo!$C$4:$C$1000,$A$1)&amp;IF(COUNTIF(Catálogo!$C$4:$C$1000,$A$1)=1," instrumento nesta área"," instrumentos nesta área")</f>
        <v>27 instrumentos nesta área</v>
      </c>
    </row>
    <row r="2" customFormat="false" ht="15" hidden="false" customHeight="true" outlineLevel="0" collapsed="false">
      <c r="A2" s="18" t="s">
        <v>1488</v>
      </c>
      <c r="I2" s="19" t="str">
        <f aca="false">IF(COUNTIF(Catálogo!$C$4:$C$1000,$A$1)&gt;29,"⚠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1</v>
      </c>
      <c r="B4" s="6" t="str">
        <f aca="false">IFERROR(INDEX(Catálogo!B$4:B$1000,MATCH($A$1&amp;"|"&amp;1,Índice!$A$4:$A$1000,0)),"")</f>
        <v>ABAS-3 — Auto-relato</v>
      </c>
      <c r="C4" s="6" t="str">
        <f aca="false">IFERROR(INDEX(Catálogo!C$4:C$1000,MATCH($A$1&amp;"|"&amp;1,Índice!$A$4:$A$1000,0)),"")</f>
        <v>Neurodesenvolvimento</v>
      </c>
      <c r="D4" s="6" t="str">
        <f aca="false">IFERROR(INDEX(Catálogo!D$4:D$1000,MATCH($A$1&amp;"|"&amp;1,Índice!$A$4:$A$1000,0)),"")</f>
        <v>Paciente</v>
      </c>
      <c r="E4" s="6" t="str">
        <f aca="false">IFERROR(INDEX(Catálogo!E$4:E$1000,MATCH($A$1&amp;"|"&amp;1,Índice!$A$4:$A$1000,0)),"")</f>
        <v>16–89 anos</v>
      </c>
      <c r="F4" s="5" t="n">
        <f aca="false">IFERROR(INDEX(Catálogo!F$4:F$1000,MATCH($A$1&amp;"|"&amp;1,Índice!$A$4:$A$1000,0)),"")</f>
        <v>16</v>
      </c>
      <c r="G4" s="5" t="n">
        <f aca="false">IFERROR(INDEX(Catálogo!G$4:G$1000,MATCH($A$1&amp;"|"&amp;1,Índice!$A$4:$A$1000,0)),"")</f>
        <v>99</v>
      </c>
      <c r="H4" s="5" t="n">
        <f aca="false">IFERROR(INDEX(Catálogo!H$4:H$1000,MATCH($A$1&amp;"|"&amp;1,Índice!$A$4:$A$1000,0)),"")</f>
        <v>4</v>
      </c>
      <c r="I4" s="6" t="str">
        <f aca="false">IFERROR(INDEX(Catálogo!I$4:I$1000,MATCH($A$1&amp;"|"&amp;1,Índice!$A$4:$A$1000,0)),"")</f>
        <v>Avalia comportamento adaptativo — auto-relato (16–89 anos)</v>
      </c>
      <c r="J4" s="6" t="str">
        <f aca="false">IFERROR(INDEX(Catálogo!J$4:J$1000,MATCH($A$1&amp;"|"&amp;1,Índice!$A$4:$A$1000,0)),"")</f>
        <v>Compósito Adaptativo Geral (GAC); Domínio Conceptual (CC); Domínio Social (SC); Domínio Prático (PC)</v>
      </c>
      <c r="K4" s="6" t="str">
        <f aca="false">IFERROR(INDEX(Catálogo!K$4:K$1000,MATCH($A$1&amp;"|"&amp;1,Índice!$A$4:$A$1000,0)),"")</f>
        <v>abas3_adult</v>
      </c>
      <c r="L4" s="6" t="str">
        <f aca="false">IFERROR(INDEX(Catálogo!L$4:L$1000,MATCH($A$1&amp;"|"&amp;1,Índice!$A$4:$A$1000,0)),"")</f>
        <v>q_abas3_adult</v>
      </c>
      <c r="M4" s="7" t="str">
        <f aca="false">IFERROR(INDEX(Catálogo!M$4:M$1000,MATCH($A$1&amp;"|"&amp;1,Índice!$A$4:$A$1000,0)),"")</f>
        <v>https://correiaricardina-ui.github.io/questionarios/ABAS3_Autorrelato_v1.html</v>
      </c>
    </row>
    <row r="5" customFormat="false" ht="42" hidden="false" customHeight="true" outlineLevel="0" collapsed="false">
      <c r="A5" s="5" t="n">
        <f aca="false">IFERROR(INDEX(Catálogo!A$4:A$1000,MATCH($A$1&amp;"|"&amp;2,Índice!$A$4:$A$1000,0)),"")</f>
        <v>2</v>
      </c>
      <c r="B5" s="6" t="str">
        <f aca="false">IFERROR(INDEX(Catálogo!B$4:B$1000,MATCH($A$1&amp;"|"&amp;2,Índice!$A$4:$A$1000,0)),"")</f>
        <v>ABAS-3 — Educador (0–5)</v>
      </c>
      <c r="C5" s="6" t="str">
        <f aca="false">IFERROR(INDEX(Catálogo!C$4:C$1000,MATCH($A$1&amp;"|"&amp;2,Índice!$A$4:$A$1000,0)),"")</f>
        <v>Neurodesenvolvimento</v>
      </c>
      <c r="D5" s="6" t="str">
        <f aca="false">IFERROR(INDEX(Catálogo!D$4:D$1000,MATCH($A$1&amp;"|"&amp;2,Índice!$A$4:$A$1000,0)),"")</f>
        <v>Educador(a)</v>
      </c>
      <c r="E5" s="6" t="str">
        <f aca="false">IFERROR(INDEX(Catálogo!E$4:E$1000,MATCH($A$1&amp;"|"&amp;2,Índice!$A$4:$A$1000,0)),"")</f>
        <v>0–5 anos</v>
      </c>
      <c r="F5" s="5" t="n">
        <f aca="false">IFERROR(INDEX(Catálogo!F$4:F$1000,MATCH($A$1&amp;"|"&amp;2,Índice!$A$4:$A$1000,0)),"")</f>
        <v>0</v>
      </c>
      <c r="G5" s="5" t="n">
        <f aca="false">IFERROR(INDEX(Catálogo!G$4:G$1000,MATCH($A$1&amp;"|"&amp;2,Índice!$A$4:$A$1000,0)),"")</f>
        <v>5.9</v>
      </c>
      <c r="H5" s="5" t="n">
        <f aca="false">IFERROR(INDEX(Catálogo!H$4:H$1000,MATCH($A$1&amp;"|"&amp;2,Índice!$A$4:$A$1000,0)),"")</f>
        <v>4</v>
      </c>
      <c r="I5" s="6" t="str">
        <f aca="false">IFERROR(INDEX(Catálogo!I$4:I$1000,MATCH($A$1&amp;"|"&amp;2,Índice!$A$4:$A$1000,0)),"")</f>
        <v>Avalia comportamento adaptativo — versão educador (0–5 anos)</v>
      </c>
      <c r="J5" s="6" t="str">
        <f aca="false">IFERROR(INDEX(Catálogo!J$4:J$1000,MATCH($A$1&amp;"|"&amp;2,Índice!$A$4:$A$1000,0)),"")</f>
        <v>Compósito Adaptativo Geral (CAG); Domínio Conceptual (CC); Domínio Social (SC); Domínio Prático (PC)</v>
      </c>
      <c r="K5" s="6" t="str">
        <f aca="false">IFERROR(INDEX(Catálogo!K$4:K$1000,MATCH($A$1&amp;"|"&amp;2,Índice!$A$4:$A$1000,0)),"")</f>
        <v>abas3_05p</v>
      </c>
      <c r="L5" s="6" t="str">
        <f aca="false">IFERROR(INDEX(Catálogo!L$4:L$1000,MATCH($A$1&amp;"|"&amp;2,Índice!$A$4:$A$1000,0)),"")</f>
        <v>q_abas3_05p</v>
      </c>
      <c r="M5" s="7" t="str">
        <f aca="false">IFERROR(INDEX(Catálogo!M$4:M$1000,MATCH($A$1&amp;"|"&amp;2,Índice!$A$4:$A$1000,0)),"")</f>
        <v>https://correiaricardina-ui.github.io/questionarios/ABAS3_PreEscolar_Educador.html</v>
      </c>
    </row>
    <row r="6" customFormat="false" ht="42" hidden="false" customHeight="true" outlineLevel="0" collapsed="false">
      <c r="A6" s="5" t="n">
        <f aca="false">IFERROR(INDEX(Catálogo!A$4:A$1000,MATCH($A$1&amp;"|"&amp;3,Índice!$A$4:$A$1000,0)),"")</f>
        <v>3</v>
      </c>
      <c r="B6" s="6" t="str">
        <f aca="false">IFERROR(INDEX(Catálogo!B$4:B$1000,MATCH($A$1&amp;"|"&amp;3,Índice!$A$4:$A$1000,0)),"")</f>
        <v>ABAS-3 — Pais/Cuid. (&gt;6)</v>
      </c>
      <c r="C6" s="6" t="str">
        <f aca="false">IFERROR(INDEX(Catálogo!C$4:C$1000,MATCH($A$1&amp;"|"&amp;3,Índice!$A$4:$A$1000,0)),"")</f>
        <v>Neurodesenvolvimento</v>
      </c>
      <c r="D6" s="6" t="str">
        <f aca="false">IFERROR(INDEX(Catálogo!D$4:D$1000,MATCH($A$1&amp;"|"&amp;3,Índice!$A$4:$A$1000,0)),"")</f>
        <v>Mãe, Pai, Enc. Educação</v>
      </c>
      <c r="E6" s="6" t="str">
        <f aca="false">IFERROR(INDEX(Catálogo!E$4:E$1000,MATCH($A$1&amp;"|"&amp;3,Índice!$A$4:$A$1000,0)),"")</f>
        <v>6–21 anos</v>
      </c>
      <c r="F6" s="5" t="n">
        <f aca="false">IFERROR(INDEX(Catálogo!F$4:F$1000,MATCH($A$1&amp;"|"&amp;3,Índice!$A$4:$A$1000,0)),"")</f>
        <v>6</v>
      </c>
      <c r="G6" s="5" t="n">
        <f aca="false">IFERROR(INDEX(Catálogo!G$4:G$1000,MATCH($A$1&amp;"|"&amp;3,Índice!$A$4:$A$1000,0)),"")</f>
        <v>20.9</v>
      </c>
      <c r="H6" s="5" t="n">
        <f aca="false">IFERROR(INDEX(Catálogo!H$4:H$1000,MATCH($A$1&amp;"|"&amp;3,Índice!$A$4:$A$1000,0)),"")</f>
        <v>4</v>
      </c>
      <c r="I6" s="6" t="str">
        <f aca="false">IFERROR(INDEX(Catálogo!I$4:I$1000,MATCH($A$1&amp;"|"&amp;3,Índice!$A$4:$A$1000,0)),"")</f>
        <v>Avalia comportamento adaptativo — versão pais/cuidadores (&gt;6 anos)</v>
      </c>
      <c r="J6" s="6" t="str">
        <f aca="false">IFERROR(INDEX(Catálogo!J$4:J$1000,MATCH($A$1&amp;"|"&amp;3,Índice!$A$4:$A$1000,0)),"")</f>
        <v>Compósito Adaptativo Geral (CAG); Domínio Conceptual (CC); Domínio Social (SC); Domínio Prático (PC)</v>
      </c>
      <c r="K6" s="6" t="str">
        <f aca="false">IFERROR(INDEX(Catálogo!K$4:K$1000,MATCH($A$1&amp;"|"&amp;3,Índice!$A$4:$A$1000,0)),"")</f>
        <v>abas3_pais</v>
      </c>
      <c r="L6" s="6" t="str">
        <f aca="false">IFERROR(INDEX(Catálogo!L$4:L$1000,MATCH($A$1&amp;"|"&amp;3,Índice!$A$4:$A$1000,0)),"")</f>
        <v>q_abas3_pais</v>
      </c>
      <c r="M6" s="7" t="str">
        <f aca="false">IFERROR(INDEX(Catálogo!M$4:M$1000,MATCH($A$1&amp;"|"&amp;3,Índice!$A$4:$A$1000,0)),"")</f>
        <v>https://correiaricardina-ui.github.io/questionarios/ABAS3_Pais_v2.html</v>
      </c>
    </row>
    <row r="7" customFormat="false" ht="42" hidden="false" customHeight="true" outlineLevel="0" collapsed="false">
      <c r="A7" s="5" t="n">
        <f aca="false">IFERROR(INDEX(Catálogo!A$4:A$1000,MATCH($A$1&amp;"|"&amp;4,Índice!$A$4:$A$1000,0)),"")</f>
        <v>4</v>
      </c>
      <c r="B7" s="6" t="str">
        <f aca="false">IFERROR(INDEX(Catálogo!B$4:B$1000,MATCH($A$1&amp;"|"&amp;4,Índice!$A$4:$A$1000,0)),"")</f>
        <v>ABAS-3 — Pais/Cuid. (0–5)</v>
      </c>
      <c r="C7" s="6" t="str">
        <f aca="false">IFERROR(INDEX(Catálogo!C$4:C$1000,MATCH($A$1&amp;"|"&amp;4,Índice!$A$4:$A$1000,0)),"")</f>
        <v>Neurodesenvolvimento</v>
      </c>
      <c r="D7" s="6" t="str">
        <f aca="false">IFERROR(INDEX(Catálogo!D$4:D$1000,MATCH($A$1&amp;"|"&amp;4,Índice!$A$4:$A$1000,0)),"")</f>
        <v>Mãe, Pai, Enc. Educação</v>
      </c>
      <c r="E7" s="6" t="str">
        <f aca="false">IFERROR(INDEX(Catálogo!E$4:E$1000,MATCH($A$1&amp;"|"&amp;4,Índice!$A$4:$A$1000,0)),"")</f>
        <v>0–5 anos</v>
      </c>
      <c r="F7" s="5" t="n">
        <f aca="false">IFERROR(INDEX(Catálogo!F$4:F$1000,MATCH($A$1&amp;"|"&amp;4,Índice!$A$4:$A$1000,0)),"")</f>
        <v>0</v>
      </c>
      <c r="G7" s="5" t="n">
        <f aca="false">IFERROR(INDEX(Catálogo!G$4:G$1000,MATCH($A$1&amp;"|"&amp;4,Índice!$A$4:$A$1000,0)),"")</f>
        <v>5.9</v>
      </c>
      <c r="H7" s="5" t="n">
        <f aca="false">IFERROR(INDEX(Catálogo!H$4:H$1000,MATCH($A$1&amp;"|"&amp;4,Índice!$A$4:$A$1000,0)),"")</f>
        <v>4</v>
      </c>
      <c r="I7" s="6" t="str">
        <f aca="false">IFERROR(INDEX(Catálogo!I$4:I$1000,MATCH($A$1&amp;"|"&amp;4,Índice!$A$4:$A$1000,0)),"")</f>
        <v>Avalia comportamento adaptativo — versão pais (0–5 anos)</v>
      </c>
      <c r="J7" s="6" t="str">
        <f aca="false">IFERROR(INDEX(Catálogo!J$4:J$1000,MATCH($A$1&amp;"|"&amp;4,Índice!$A$4:$A$1000,0)),"")</f>
        <v>Compósito Adaptativo Geral (CAG); Domínio Conceptual (CC); Domínio Social (SC); Domínio Prático (PC)</v>
      </c>
      <c r="K7" s="6" t="str">
        <f aca="false">IFERROR(INDEX(Catálogo!K$4:K$1000,MATCH($A$1&amp;"|"&amp;4,Índice!$A$4:$A$1000,0)),"")</f>
        <v>abas3_05</v>
      </c>
      <c r="L7" s="6" t="str">
        <f aca="false">IFERROR(INDEX(Catálogo!L$4:L$1000,MATCH($A$1&amp;"|"&amp;4,Índice!$A$4:$A$1000,0)),"")</f>
        <v>q_abas3_05</v>
      </c>
      <c r="M7" s="7" t="str">
        <f aca="false">IFERROR(INDEX(Catálogo!M$4:M$1000,MATCH($A$1&amp;"|"&amp;4,Índice!$A$4:$A$1000,0)),"")</f>
        <v>https://correiaricardina-ui.github.io/questionarios/ABAS3_PreEscolar.html</v>
      </c>
    </row>
    <row r="8" customFormat="false" ht="42" hidden="false" customHeight="true" outlineLevel="0" collapsed="false">
      <c r="A8" s="5" t="n">
        <f aca="false">IFERROR(INDEX(Catálogo!A$4:A$1000,MATCH($A$1&amp;"|"&amp;5,Índice!$A$4:$A$1000,0)),"")</f>
        <v>5</v>
      </c>
      <c r="B8" s="6" t="str">
        <f aca="false">IFERROR(INDEX(Catálogo!B$4:B$1000,MATCH($A$1&amp;"|"&amp;5,Índice!$A$4:$A$1000,0)),"")</f>
        <v>ABAS-3 — Professor (&gt;6)</v>
      </c>
      <c r="C8" s="6" t="str">
        <f aca="false">IFERROR(INDEX(Catálogo!C$4:C$1000,MATCH($A$1&amp;"|"&amp;5,Índice!$A$4:$A$1000,0)),"")</f>
        <v>Neurodesenvolvimento</v>
      </c>
      <c r="D8" s="6" t="str">
        <f aca="false">IFERROR(INDEX(Catálogo!D$4:D$1000,MATCH($A$1&amp;"|"&amp;5,Índice!$A$4:$A$1000,0)),"")</f>
        <v>Professor(a)</v>
      </c>
      <c r="E8" s="6" t="str">
        <f aca="false">IFERROR(INDEX(Catálogo!E$4:E$1000,MATCH($A$1&amp;"|"&amp;5,Índice!$A$4:$A$1000,0)),"")</f>
        <v>6–21 anos</v>
      </c>
      <c r="F8" s="5" t="n">
        <f aca="false">IFERROR(INDEX(Catálogo!F$4:F$1000,MATCH($A$1&amp;"|"&amp;5,Índice!$A$4:$A$1000,0)),"")</f>
        <v>6</v>
      </c>
      <c r="G8" s="5" t="n">
        <f aca="false">IFERROR(INDEX(Catálogo!G$4:G$1000,MATCH($A$1&amp;"|"&amp;5,Índice!$A$4:$A$1000,0)),"")</f>
        <v>20.9</v>
      </c>
      <c r="H8" s="5" t="n">
        <f aca="false">IFERROR(INDEX(Catálogo!H$4:H$1000,MATCH($A$1&amp;"|"&amp;5,Índice!$A$4:$A$1000,0)),"")</f>
        <v>4</v>
      </c>
      <c r="I8" s="6" t="str">
        <f aca="false">IFERROR(INDEX(Catálogo!I$4:I$1000,MATCH($A$1&amp;"|"&amp;5,Índice!$A$4:$A$1000,0)),"")</f>
        <v>Avalia comportamento adaptativo — versão professor (&gt;6 anos)</v>
      </c>
      <c r="J8" s="6" t="str">
        <f aca="false">IFERROR(INDEX(Catálogo!J$4:J$1000,MATCH($A$1&amp;"|"&amp;5,Índice!$A$4:$A$1000,0)),"")</f>
        <v>Compósito Adaptativo Geral (CAG); Domínio Conceptual (CC); Domínio Social (SC); Domínio Prático (PC)</v>
      </c>
      <c r="K8" s="6" t="str">
        <f aca="false">IFERROR(INDEX(Catálogo!K$4:K$1000,MATCH($A$1&amp;"|"&amp;5,Índice!$A$4:$A$1000,0)),"")</f>
        <v>abas3_prof</v>
      </c>
      <c r="L8" s="6" t="str">
        <f aca="false">IFERROR(INDEX(Catálogo!L$4:L$1000,MATCH($A$1&amp;"|"&amp;5,Índice!$A$4:$A$1000,0)),"")</f>
        <v>q_abas3_prof</v>
      </c>
      <c r="M8" s="7" t="str">
        <f aca="false">IFERROR(INDEX(Catálogo!M$4:M$1000,MATCH($A$1&amp;"|"&amp;5,Índice!$A$4:$A$1000,0)),"")</f>
        <v>https://correiaricardina-ui.github.io/questionarios/ABAS3_Professor_v2.html</v>
      </c>
    </row>
    <row r="9" customFormat="false" ht="42" hidden="false" customHeight="true" outlineLevel="0" collapsed="false">
      <c r="A9" s="5" t="n">
        <f aca="false">IFERROR(INDEX(Catálogo!A$4:A$1000,MATCH($A$1&amp;"|"&amp;6,Índice!$A$4:$A$1000,0)),"")</f>
        <v>10</v>
      </c>
      <c r="B9" s="6" t="str">
        <f aca="false">IFERROR(INDEX(Catálogo!B$4:B$1000,MATCH($A$1&amp;"|"&amp;6,Índice!$A$4:$A$1000,0)),"")</f>
        <v>AQ-Child — Quociente de Espectro do Autismo (Versão Criança)</v>
      </c>
      <c r="C9" s="6" t="str">
        <f aca="false">IFERROR(INDEX(Catálogo!C$4:C$1000,MATCH($A$1&amp;"|"&amp;6,Índice!$A$4:$A$1000,0)),"")</f>
        <v>Neurodesenvolvimento</v>
      </c>
      <c r="D9" s="6" t="str">
        <f aca="false">IFERROR(INDEX(Catálogo!D$4:D$1000,MATCH($A$1&amp;"|"&amp;6,Índice!$A$4:$A$1000,0)),"")</f>
        <v>Mãe, Pai, Enc. Educação</v>
      </c>
      <c r="E9" s="6" t="str">
        <f aca="false">IFERROR(INDEX(Catálogo!E$4:E$1000,MATCH($A$1&amp;"|"&amp;6,Índice!$A$4:$A$1000,0)),"")</f>
        <v>4–11 anos</v>
      </c>
      <c r="F9" s="5" t="n">
        <f aca="false">IFERROR(INDEX(Catálogo!F$4:F$1000,MATCH($A$1&amp;"|"&amp;6,Índice!$A$4:$A$1000,0)),"")</f>
        <v>4</v>
      </c>
      <c r="G9" s="5" t="n">
        <f aca="false">IFERROR(INDEX(Catálogo!G$4:G$1000,MATCH($A$1&amp;"|"&amp;6,Índice!$A$4:$A$1000,0)),"")</f>
        <v>11.9</v>
      </c>
      <c r="H9" s="5" t="n">
        <f aca="false">IFERROR(INDEX(Catálogo!H$4:H$1000,MATCH($A$1&amp;"|"&amp;6,Índice!$A$4:$A$1000,0)),"")</f>
        <v>6</v>
      </c>
      <c r="I9" s="6" t="str">
        <f aca="false">IFERROR(INDEX(Catálogo!I$4:I$1000,MATCH($A$1&amp;"|"&amp;6,Índice!$A$4:$A$1000,0)),"")</f>
        <v>Rastreio de traços do espectro do autismo em crianças (Auyeung, Baron-Cohen, Wheelwright &amp; Allison, 2008; tradução portuguesa Coelho, 2020). Preenchimento por pais/cuidadores · 50 itens · escala Likert 4 pontos (Concordo plenamente · Concordo · Discordo · Discordo totalmente). 24 itens directos + 26 itens reversos. Cinco subescalas (10 itens cada): Habilidades Sociais (S), Atenção Alternante (A), Atenção aos Detalhes (D), Comunicação (C), Imaginação (I). Total = 0–150. Cut-off clínico ≥ 76 (Sens. 95% · Espec. 95%). Médias normativas: controlos M=41,7 (DP=18,6); SA/AAF M=104,8 (DP=15,6); autismo M=103,0 (DP=16,3). Instrumento de triagem — não substitui avaliação clínica nem confere diagnóstico.</v>
      </c>
      <c r="J9" s="6" t="str">
        <f aca="false">IFERROR(INDEX(Catálogo!J$4:J$1000,MATCH($A$1&amp;"|"&amp;6,Índice!$A$4:$A$1000,0)),"")</f>
        <v>Habilidades Sociais (S); Atenção Alternante (A); Atenção aos Detalhes (D); Comunicação (C); Imaginação (I); Total</v>
      </c>
      <c r="K9" s="6" t="str">
        <f aca="false">IFERROR(INDEX(Catálogo!K$4:K$1000,MATCH($A$1&amp;"|"&amp;6,Índice!$A$4:$A$1000,0)),"")</f>
        <v>aqchild</v>
      </c>
      <c r="L9" s="6" t="str">
        <f aca="false">IFERROR(INDEX(Catálogo!L$4:L$1000,MATCH($A$1&amp;"|"&amp;6,Índice!$A$4:$A$1000,0)),"")</f>
        <v>q_aq_child</v>
      </c>
      <c r="M9" s="7" t="str">
        <f aca="false">IFERROR(INDEX(Catálogo!M$4:M$1000,MATCH($A$1&amp;"|"&amp;6,Índice!$A$4:$A$1000,0)),"")</f>
        <v>https://correiaricardina-ui.github.io/questionarios/AQ_Child_v1.html</v>
      </c>
    </row>
    <row r="10" customFormat="false" ht="42" hidden="false" customHeight="true" outlineLevel="0" collapsed="false">
      <c r="A10" s="5" t="n">
        <f aca="false">IFERROR(INDEX(Catálogo!A$4:A$1000,MATCH($A$1&amp;"|"&amp;7,Índice!$A$4:$A$1000,0)),"")</f>
        <v>25</v>
      </c>
      <c r="B10" s="6" t="str">
        <f aca="false">IFERROR(INDEX(Catálogo!B$4:B$1000,MATCH($A$1&amp;"|"&amp;7,Índice!$A$4:$A$1000,0)),"")</f>
        <v>CARS2-HP — Espetro do Autismo (Funcionamento Elevado)</v>
      </c>
      <c r="C10" s="6" t="str">
        <f aca="false">IFERROR(INDEX(Catálogo!C$4:C$1000,MATCH($A$1&amp;"|"&amp;7,Índice!$A$4:$A$1000,0)),"")</f>
        <v>Neurodesenvolvimento</v>
      </c>
      <c r="D10" s="6" t="str">
        <f aca="false">IFERROR(INDEX(Catálogo!D$4:D$1000,MATCH($A$1&amp;"|"&amp;7,Índice!$A$4:$A$1000,0)),"")</f>
        <v>Aplicador clínico</v>
      </c>
      <c r="E10" s="6" t="str">
        <f aca="false">IFERROR(INDEX(Catálogo!E$4:E$1000,MATCH($A$1&amp;"|"&amp;7,Índice!$A$4:$A$1000,0)),"")</f>
        <v>≥6 anos · QI≥80 · verbal funcional</v>
      </c>
      <c r="F10" s="5" t="n">
        <f aca="false">IFERROR(INDEX(Catálogo!F$4:F$1000,MATCH($A$1&amp;"|"&amp;7,Índice!$A$4:$A$1000,0)),"")</f>
        <v>6</v>
      </c>
      <c r="G10" s="5" t="n">
        <f aca="false">IFERROR(INDEX(Catálogo!G$4:G$1000,MATCH($A$1&amp;"|"&amp;7,Índice!$A$4:$A$1000,0)),"")</f>
        <v>100</v>
      </c>
      <c r="H10" s="5" t="n">
        <f aca="false">IFERROR(INDEX(Catálogo!H$4:H$1000,MATCH($A$1&amp;"|"&amp;7,Índice!$A$4:$A$1000,0)),"")</f>
        <v>15</v>
      </c>
      <c r="I10" s="6" t="str">
        <f aca="false">IFERROR(INDEX(Catálogo!I$4:I$1000,MATCH($A$1&amp;"|"&amp;7,Índice!$A$4:$A$1000,0)),"")</f>
        <v>Avaliação clínica integrativa da severidade de sinais compatíveis com Perturbação do Espetro do Autismo (PEA) em crianças, adolescentes e adultos com funcionamento elevado: idade cronológica ≥6 anos, estimativa de QI ≥80 e comunicação verbal funcional. Adaptação inspirada (Via B) na CARS2-HF (Schopler, Van Bourgondien, Wellman &amp; Love, 2010, Western Psychological Services), com formulação clínica original em português europeu — conteúdo literário do instrumento de referência NÃO reproduzido. Cotação clínica integrativa por psicólogo após observação directa + anamnese + integração de fontes (parental, educativa). 15 domínios com escala 1.0–4.0 (passos 0.5); soma 15.0–60.0. Pontos de corte (Vaughan, 2011; Dawkins, Meyer &amp; Van Bourgondien, 2016): Mínimo 15-27.5 / Ligeiro a moderado 28-33.5 / Severo 34-60. Sinalização adicional: domínios com cotação ≥3.0 configuram atipicidade clinicamente relevante. Não existem normas portuguesas validadas; finalidade clínica complementar — não substitui avaliação clínica integrada nem instrumentos como ADOS-2, ADI-R, Vineland-3.</v>
      </c>
      <c r="J10" s="6" t="str">
        <f aca="false">IFERROR(INDEX(Catálogo!J$4:J$1000,MATCH($A$1&amp;"|"&amp;7,Índice!$A$4:$A$1000,0)),"")</f>
        <v>Compreensão socioemocional; Expressão e regulação emocional; Relação com os outros; Uso do corpo; Uso de objetos no jogo e atividade; Adaptação à mudança e interesses restritos; Resposta visual; Resposta auditiva; Resposta gustativa/olfativa/tátil; Medo ou ansiedade; Comunicação verbal; Comunicação não-verbal; Capacidade de pensamento e integração cognitiva; Nível de atividade; Nível e consistência da resposta intelectual</v>
      </c>
      <c r="K10" s="6" t="str">
        <f aca="false">IFERROR(INDEX(Catálogo!K$4:K$1000,MATCH($A$1&amp;"|"&amp;7,Índice!$A$4:$A$1000,0)),"")</f>
        <v>cars2_hp</v>
      </c>
      <c r="L10" s="6" t="str">
        <f aca="false">IFERROR(INDEX(Catálogo!L$4:L$1000,MATCH($A$1&amp;"|"&amp;7,Índice!$A$4:$A$1000,0)),"")</f>
        <v>q_cars2_hp</v>
      </c>
      <c r="M10" s="7" t="str">
        <f aca="false">IFERROR(INDEX(Catálogo!M$4:M$1000,MATCH($A$1&amp;"|"&amp;7,Índice!$A$4:$A$1000,0)),"")</f>
        <v>https://correiaricardina-ui.github.io/questionarios/CARS2-HP_v1.html</v>
      </c>
    </row>
    <row r="11" customFormat="false" ht="42" hidden="false" customHeight="true" outlineLevel="0" collapsed="false">
      <c r="A11" s="5" t="n">
        <f aca="false">IFERROR(INDEX(Catálogo!A$4:A$1000,MATCH($A$1&amp;"|"&amp;8,Índice!$A$4:$A$1000,0)),"")</f>
        <v>26</v>
      </c>
      <c r="B11" s="6" t="str">
        <f aca="false">IFERROR(INDEX(Catálogo!B$4:B$1000,MATCH($A$1&amp;"|"&amp;8,Índice!$A$4:$A$1000,0)),"")</f>
        <v>CARS2-QPC — Questionário Parental para Espetro do Autismo</v>
      </c>
      <c r="C11" s="6" t="str">
        <f aca="false">IFERROR(INDEX(Catálogo!C$4:C$1000,MATCH($A$1&amp;"|"&amp;8,Índice!$A$4:$A$1000,0)),"")</f>
        <v>Neurodesenvolvimento</v>
      </c>
      <c r="D11" s="6" t="str">
        <f aca="false">IFERROR(INDEX(Catálogo!D$4:D$1000,MATCH($A$1&amp;"|"&amp;8,Índice!$A$4:$A$1000,0)),"")</f>
        <v>Mãe, Pai, Encarregado de Educação</v>
      </c>
      <c r="E11" s="6" t="str">
        <f aca="false">IFERROR(INDEX(Catálogo!E$4:E$1000,MATCH($A$1&amp;"|"&amp;8,Índice!$A$4:$A$1000,0)),"")</f>
        <v>Crianças/Adolescentes</v>
      </c>
      <c r="F11" s="5" t="n">
        <f aca="false">IFERROR(INDEX(Catálogo!F$4:F$1000,MATCH($A$1&amp;"|"&amp;8,Índice!$A$4:$A$1000,0)),"")</f>
        <v>0</v>
      </c>
      <c r="G11" s="5" t="n">
        <f aca="false">IFERROR(INDEX(Catálogo!G$4:G$1000,MATCH($A$1&amp;"|"&amp;8,Índice!$A$4:$A$1000,0)),"")</f>
        <v>100</v>
      </c>
      <c r="H11" s="5" t="n">
        <f aca="false">IFERROR(INDEX(Catálogo!H$4:H$1000,MATCH($A$1&amp;"|"&amp;8,Índice!$A$4:$A$1000,0)),"")</f>
        <v>15</v>
      </c>
      <c r="I11" s="6" t="str">
        <f aca="false">IFERROR(INDEX(Catálogo!I$4:I$1000,MATCH($A$1&amp;"|"&amp;8,Índice!$A$4:$A$1000,0)),"")</f>
        <v>Questionário parental para avaliação integrativa do Espetro do Autismo (PEA), preenchido por pais/cuidadores principais sobre o comportamento habitual da criança ou adolescente. Adaptação inspirada (Via B) na CARS-2 QPC (Schopler, Van Bourgondien, Wellman &amp; Love, 2010, WPS), com formulação clínica original em PT-PT — conteúdo literário do instrumento de referência NÃO reproduzido. 81 itens distribuídos por 15 domínios; escala Likert 0-4 (Nunca/Raramente/Por vezes/Frequentemente/Sempre) + opção N/A (não aplicável/não observado). Lógica de cotação direccional: 33 itens descrevem comportamento típico esperado (0-1 = preocupante); 48 itens descrevem comportamento atípico (3-4 = preocupante); resposta 2 nunca preocupante; N/A não conta. Saída qualitativa: percentagem de itens preocupantes por domínio (sinalizado ≥50%) + contagem de domínios sinalizados + categoria clínica (≤3 mínima/ligeira · 4-7 moderada · ≥8 marcada). Pais e mãe podem submeter em separado (dedupe por nome_informante). Tempo: 25-40 min. Indicador qualitativo; não substitui observação clínica directa (CARS2-HP/ST) nem instrumentos como ADI-R, ADOS-2.</v>
      </c>
      <c r="J11" s="6" t="str">
        <f aca="false">IFERROR(INDEX(Catálogo!J$4:J$1000,MATCH($A$1&amp;"|"&amp;8,Índice!$A$4:$A$1000,0)),"")</f>
        <v>Relação com pessoas (6 itens); Imitação (5); Resposta emocional (6); Uso do corpo (5); Uso de objetos (6); Adaptação à mudança (5); Resposta visual (5); Resposta auditiva (5); Resposta gust./olf./tátil (6); Medo ou nervosismo (5); Comunicação verbal (6); Comunicação não-verbal (5); Nível de atividade (5); Resposta intelectual (5); Impressões clínicas globais (6)</v>
      </c>
      <c r="K11" s="6" t="str">
        <f aca="false">IFERROR(INDEX(Catálogo!K$4:K$1000,MATCH($A$1&amp;"|"&amp;8,Índice!$A$4:$A$1000,0)),"")</f>
        <v>cars2_qpc</v>
      </c>
      <c r="L11" s="6" t="str">
        <f aca="false">IFERROR(INDEX(Catálogo!L$4:L$1000,MATCH($A$1&amp;"|"&amp;8,Índice!$A$4:$A$1000,0)),"")</f>
        <v>q_cars2_qpc</v>
      </c>
      <c r="M11" s="7" t="str">
        <f aca="false">IFERROR(INDEX(Catálogo!M$4:M$1000,MATCH($A$1&amp;"|"&amp;8,Índice!$A$4:$A$1000,0)),"")</f>
        <v>https://correiaricardina-ui.github.io/questionarios/CARS2-QPC_v1.html</v>
      </c>
    </row>
    <row r="12" customFormat="false" ht="42" hidden="false" customHeight="true" outlineLevel="0" collapsed="false">
      <c r="A12" s="5" t="n">
        <f aca="false">IFERROR(INDEX(Catálogo!A$4:A$1000,MATCH($A$1&amp;"|"&amp;9,Índice!$A$4:$A$1000,0)),"")</f>
        <v>27</v>
      </c>
      <c r="B12" s="6" t="str">
        <f aca="false">IFERROR(INDEX(Catálogo!B$4:B$1000,MATCH($A$1&amp;"|"&amp;9,Índice!$A$4:$A$1000,0)),"")</f>
        <v>CARS2-ST — Espetro do Autismo (Versão Standard)</v>
      </c>
      <c r="C12" s="6" t="str">
        <f aca="false">IFERROR(INDEX(Catálogo!C$4:C$1000,MATCH($A$1&amp;"|"&amp;9,Índice!$A$4:$A$1000,0)),"")</f>
        <v>Neurodesenvolvimento</v>
      </c>
      <c r="D12" s="6" t="str">
        <f aca="false">IFERROR(INDEX(Catálogo!D$4:D$1000,MATCH($A$1&amp;"|"&amp;9,Índice!$A$4:$A$1000,0)),"")</f>
        <v>Aplicador clínico</v>
      </c>
      <c r="E12" s="6" t="str">
        <f aca="false">IFERROR(INDEX(Catálogo!E$4:E$1000,MATCH($A$1&amp;"|"&amp;9,Índice!$A$4:$A$1000,0)),"")</f>
        <v>&lt;6 anos OU QI≤79 OU verbal limitada/ausente</v>
      </c>
      <c r="F12" s="5" t="n">
        <f aca="false">IFERROR(INDEX(Catálogo!F$4:F$1000,MATCH($A$1&amp;"|"&amp;9,Índice!$A$4:$A$1000,0)),"")</f>
        <v>0</v>
      </c>
      <c r="G12" s="5" t="n">
        <f aca="false">IFERROR(INDEX(Catálogo!G$4:G$1000,MATCH($A$1&amp;"|"&amp;9,Índice!$A$4:$A$1000,0)),"")</f>
        <v>100</v>
      </c>
      <c r="H12" s="5" t="n">
        <f aca="false">IFERROR(INDEX(Catálogo!H$4:H$1000,MATCH($A$1&amp;"|"&amp;9,Índice!$A$4:$A$1000,0)),"")</f>
        <v>15</v>
      </c>
      <c r="I12" s="6" t="str">
        <f aca="false">IFERROR(INDEX(Catálogo!I$4:I$1000,MATCH($A$1&amp;"|"&amp;9,Índice!$A$4:$A$1000,0)),"")</f>
        <v>Avaliação clínica integrativa da severidade de sinais compatíveis com Perturbação do Espetro do Autismo (PEA) em crianças mais novas ou com maior compromisso funcional: idade cronológica &lt;6 anos, OU estimativa de QI ≤79, OU comunicação verbal limitada/ausente. Adaptação inspirada (Via B) na CARS-2 Standard Form (Schopler, Van Bourgondien, Wellman &amp; Love, 2010, WPS), com formulação clínica original em PT-PT — conteúdo literário do instrumento de referência NÃO reproduzido. Calibrada para valorizar manifestações comportamentais observáveis (motoras, sensoriais, comportamentais), com menor exigência de inferência sobre processos mentais subtis. Inclui dois domínios próprios da versão Standard: Imitação (item 2) e Impressões Clínicas Globais (item 15). Cotação clínica integrativa por psicólogo. 15 domínios com escala 1.0–4.0 (passos 0.5); soma 15.0–60.0. Pontos de corte (Schopler et al., 1980; Chlebowski, Green, Barton &amp; Fein, 2010; Schopler et al., 2010): Mínimo 15-29.5 / Ligeiro a moderado 30-36.5 / Severo 37-60 (cortes mais altos que a CARS2-HP). Sinalização adicional: domínios com cotação ≥3.0 configuram atipicidade clinicamente relevante. Identificação inclui QI estimado e nível de comunicação verbal. Não existem normas portuguesas validadas; finalidade clínica complementar — não substitui avaliação clínica integrada nem instrumentos como ADOS-2 (Toddler/M1/M2), ADI-R, Bayley-III/WPPSI-IV/Leiter-3, Vineland-3.</v>
      </c>
      <c r="J12" s="6" t="str">
        <f aca="false">IFERROR(INDEX(Catálogo!J$4:J$1000,MATCH($A$1&amp;"|"&amp;9,Índice!$A$4:$A$1000,0)),"")</f>
        <v>Relação com pessoas; Imitação; Resposta emocional; Uso do corpo; Uso de objetos; Adaptação à mudança; Resposta visual; Resposta auditiva; Resposta gustativa/olfativa/tátil; Medo ou nervosismo; Comunicação verbal; Comunicação não-verbal; Nível de atividade; Nível e consistência da resposta intelectual; Impressões clínicas globais</v>
      </c>
      <c r="K12" s="6" t="str">
        <f aca="false">IFERROR(INDEX(Catálogo!K$4:K$1000,MATCH($A$1&amp;"|"&amp;9,Índice!$A$4:$A$1000,0)),"")</f>
        <v>cars2_st</v>
      </c>
      <c r="L12" s="6" t="str">
        <f aca="false">IFERROR(INDEX(Catálogo!L$4:L$1000,MATCH($A$1&amp;"|"&amp;9,Índice!$A$4:$A$1000,0)),"")</f>
        <v>q_cars2_st</v>
      </c>
      <c r="M12" s="7" t="str">
        <f aca="false">IFERROR(INDEX(Catálogo!M$4:M$1000,MATCH($A$1&amp;"|"&amp;9,Índice!$A$4:$A$1000,0)),"")</f>
        <v>https://correiaricardina-ui.github.io/questionarios/CARS2-ST_v1.html</v>
      </c>
    </row>
    <row r="13" customFormat="false" ht="42" hidden="false" customHeight="true" outlineLevel="0" collapsed="false">
      <c r="A13" s="5" t="n">
        <f aca="false">IFERROR(INDEX(Catálogo!A$4:A$1000,MATCH($A$1&amp;"|"&amp;10,Índice!$A$4:$A$1000,0)),"")</f>
        <v>90</v>
      </c>
      <c r="B13" s="6" t="str">
        <f aca="false">IFERROR(INDEX(Catálogo!B$4:B$1000,MATCH($A$1&amp;"|"&amp;10,Índice!$A$4:$A$1000,0)),"")</f>
        <v>LDS — Desenvolvimento Linguagem</v>
      </c>
      <c r="C13" s="6" t="str">
        <f aca="false">IFERROR(INDEX(Catálogo!C$4:C$1000,MATCH($A$1&amp;"|"&amp;10,Índice!$A$4:$A$1000,0)),"")</f>
        <v>Neurodesenvolvimento</v>
      </c>
      <c r="D13" s="6" t="str">
        <f aca="false">IFERROR(INDEX(Catálogo!D$4:D$1000,MATCH($A$1&amp;"|"&amp;10,Índice!$A$4:$A$1000,0)),"")</f>
        <v>Mãe, Pai, Enc. Educação</v>
      </c>
      <c r="E13" s="6" t="str">
        <f aca="false">IFERROR(INDEX(Catálogo!E$4:E$1000,MATCH($A$1&amp;"|"&amp;10,Índice!$A$4:$A$1000,0)),"")</f>
        <v>18–35 meses</v>
      </c>
      <c r="F13" s="5" t="n">
        <f aca="false">IFERROR(INDEX(Catálogo!F$4:F$1000,MATCH($A$1&amp;"|"&amp;10,Índice!$A$4:$A$1000,0)),"")</f>
        <v>1.5</v>
      </c>
      <c r="G13" s="5" t="n">
        <f aca="false">IFERROR(INDEX(Catálogo!G$4:G$1000,MATCH($A$1&amp;"|"&amp;10,Índice!$A$4:$A$1000,0)),"")</f>
        <v>2.9</v>
      </c>
      <c r="H13" s="5" t="n">
        <f aca="false">IFERROR(INDEX(Catálogo!H$4:H$1000,MATCH($A$1&amp;"|"&amp;10,Índice!$A$4:$A$1000,0)),"")</f>
        <v>2</v>
      </c>
      <c r="I13" s="6" t="str">
        <f aca="false">IFERROR(INDEX(Catálogo!I$4:I$1000,MATCH($A$1&amp;"|"&amp;10,Índice!$A$4:$A$1000,0)),"")</f>
        <v>Rastreio do desenvolvimento da linguagem — MacArthur adaptado</v>
      </c>
      <c r="J13" s="6" t="str">
        <f aca="false">IFERROR(INDEX(Catálogo!J$4:J$1000,MATCH($A$1&amp;"|"&amp;10,Índice!$A$4:$A$1000,0)),"")</f>
        <v>Vocabulário; Comprimento Médio do Enunciado (MLU)</v>
      </c>
      <c r="K13" s="6" t="str">
        <f aca="false">IFERROR(INDEX(Catálogo!K$4:K$1000,MATCH($A$1&amp;"|"&amp;10,Índice!$A$4:$A$1000,0)),"")</f>
        <v>lds</v>
      </c>
      <c r="L13" s="6" t="str">
        <f aca="false">IFERROR(INDEX(Catálogo!L$4:L$1000,MATCH($A$1&amp;"|"&amp;10,Índice!$A$4:$A$1000,0)),"")</f>
        <v>q_lds</v>
      </c>
      <c r="M13" s="7" t="str">
        <f aca="false">IFERROR(INDEX(Catálogo!M$4:M$1000,MATCH($A$1&amp;"|"&amp;10,Índice!$A$4:$A$1000,0)),"")</f>
        <v>https://correiaricardina-ui.github.io/questionarios/LDS_v2.html</v>
      </c>
    </row>
    <row r="14" customFormat="false" ht="42" hidden="false" customHeight="true" outlineLevel="0" collapsed="false">
      <c r="A14" s="5" t="n">
        <f aca="false">IFERROR(INDEX(Catálogo!A$4:A$1000,MATCH($A$1&amp;"|"&amp;11,Índice!$A$4:$A$1000,0)),"")</f>
        <v>91</v>
      </c>
      <c r="B14" s="6" t="str">
        <f aca="false">IFERROR(INDEX(Catálogo!B$4:B$1000,MATCH($A$1&amp;"|"&amp;11,Índice!$A$4:$A$1000,0)),"")</f>
        <v>MABC-2 — Lista de Verificação</v>
      </c>
      <c r="C14" s="6" t="str">
        <f aca="false">IFERROR(INDEX(Catálogo!C$4:C$1000,MATCH($A$1&amp;"|"&amp;11,Índice!$A$4:$A$1000,0)),"")</f>
        <v>Neurodesenvolvimento</v>
      </c>
      <c r="D14" s="6" t="str">
        <f aca="false">IFERROR(INDEX(Catálogo!D$4:D$1000,MATCH($A$1&amp;"|"&amp;11,Índice!$A$4:$A$1000,0)),"")</f>
        <v>Professor(a), Educador(a), Mãe, Pai, Enc. Educação</v>
      </c>
      <c r="E14" s="6" t="str">
        <f aca="false">IFERROR(INDEX(Catálogo!E$4:E$1000,MATCH($A$1&amp;"|"&amp;11,Índice!$A$4:$A$1000,0)),"")</f>
        <v>5–12 anos</v>
      </c>
      <c r="F14" s="5" t="n">
        <f aca="false">IFERROR(INDEX(Catálogo!F$4:F$1000,MATCH($A$1&amp;"|"&amp;11,Índice!$A$4:$A$1000,0)),"")</f>
        <v>5</v>
      </c>
      <c r="G14" s="5" t="n">
        <f aca="false">IFERROR(INDEX(Catálogo!G$4:G$1000,MATCH($A$1&amp;"|"&amp;11,Índice!$A$4:$A$1000,0)),"")</f>
        <v>12</v>
      </c>
      <c r="H14" s="5" t="n">
        <f aca="false">IFERROR(INDEX(Catálogo!H$4:H$1000,MATCH($A$1&amp;"|"&amp;11,Índice!$A$4:$A$1000,0)),"")</f>
        <v>4</v>
      </c>
      <c r="I14" s="6" t="str">
        <f aca="false">IFERROR(INDEX(Catálogo!I$4:I$1000,MATCH($A$1&amp;"|"&amp;11,Índice!$A$4:$A$1000,0)),"")</f>
        <v>Rastreio heteroavaliado das dificuldades de coordenação motora no quotidiano (Movement ABC-2 Checklist, Henderson, Sugden &amp; Barnett). Preenchido por adulto que observa a criança: Secção A (movimento em ambiente estático/previsível) e Secção B (movimento em ambiente dinâmico/imprevisível), cada uma 0–3/NO; Secção C regista fatores não motores (Sim/Não). Cotação com imputação por «Não Observado» e semáforo normativo por idade (apenas no painel clínico).</v>
      </c>
      <c r="J14" s="6" t="str">
        <f aca="false">IFERROR(INDEX(Catálogo!J$4:J$1000,MATCH($A$1&amp;"|"&amp;11,Índice!$A$4:$A$1000,0)),"")</f>
        <v>Secção A — Estático/Previsível; Secção B — Dinâmico/Imprevisível; Total Motor (A+B); Secção C — Fatores não motores</v>
      </c>
      <c r="K14" s="6" t="str">
        <f aca="false">IFERROR(INDEX(Catálogo!K$4:K$1000,MATCH($A$1&amp;"|"&amp;11,Índice!$A$4:$A$1000,0)),"")</f>
        <v>mabc2_checklist</v>
      </c>
      <c r="L14" s="6" t="str">
        <f aca="false">IFERROR(INDEX(Catálogo!L$4:L$1000,MATCH($A$1&amp;"|"&amp;11,Índice!$A$4:$A$1000,0)),"")</f>
        <v>q_mabc2_checklist</v>
      </c>
      <c r="M14" s="7" t="str">
        <f aca="false">IFERROR(INDEX(Catálogo!M$4:M$1000,MATCH($A$1&amp;"|"&amp;11,Índice!$A$4:$A$1000,0)),"")</f>
        <v>https://correiaricardina-ui.github.io/questionarios/MABC2_Checklist_v1.html</v>
      </c>
    </row>
    <row r="15" customFormat="false" ht="42" hidden="false" customHeight="true" outlineLevel="0" collapsed="false">
      <c r="A15" s="5" t="n">
        <f aca="false">IFERROR(INDEX(Catálogo!A$4:A$1000,MATCH($A$1&amp;"|"&amp;12,Índice!$A$4:$A$1000,0)),"")</f>
        <v>97</v>
      </c>
      <c r="B15" s="6" t="str">
        <f aca="false">IFERROR(INDEX(Catálogo!B$4:B$1000,MATCH($A$1&amp;"|"&amp;12,Índice!$A$4:$A$1000,0)),"")</f>
        <v>M-CHAT-R/F — Despiste Precoce de Autismo</v>
      </c>
      <c r="C15" s="6" t="str">
        <f aca="false">IFERROR(INDEX(Catálogo!C$4:C$1000,MATCH($A$1&amp;"|"&amp;12,Índice!$A$4:$A$1000,0)),"")</f>
        <v>Neurodesenvolvimento</v>
      </c>
      <c r="D15" s="6" t="str">
        <f aca="false">IFERROR(INDEX(Catálogo!D$4:D$1000,MATCH($A$1&amp;"|"&amp;12,Índice!$A$4:$A$1000,0)),"")</f>
        <v>Paciente</v>
      </c>
      <c r="E15" s="6" t="str">
        <f aca="false">IFERROR(INDEX(Catálogo!E$4:E$1000,MATCH($A$1&amp;"|"&amp;12,Índice!$A$4:$A$1000,0)),"")</f>
        <v>16–30 meses</v>
      </c>
      <c r="F15" s="5" t="n">
        <f aca="false">IFERROR(INDEX(Catálogo!F$4:F$1000,MATCH($A$1&amp;"|"&amp;12,Índice!$A$4:$A$1000,0)),"")</f>
        <v>1.3</v>
      </c>
      <c r="G15" s="5" t="n">
        <f aca="false">IFERROR(INDEX(Catálogo!G$4:G$1000,MATCH($A$1&amp;"|"&amp;12,Índice!$A$4:$A$1000,0)),"")</f>
        <v>2.5</v>
      </c>
      <c r="H15" s="5" t="n">
        <f aca="false">IFERROR(INDEX(Catálogo!H$4:H$1000,MATCH($A$1&amp;"|"&amp;12,Índice!$A$4:$A$1000,0)),"")</f>
        <v>7</v>
      </c>
      <c r="I15" s="6" t="str">
        <f aca="false">IFERROR(INDEX(Catálogo!I$4:I$1000,MATCH($A$1&amp;"|"&amp;12,Índice!$A$4:$A$1000,0)),"")</f>
        <v>Despiste precoce de Perturbação do Espetro do Autismo (PEA) em crianças entre 16 e 30 meses. Modified Checklist for Autism in Toddlers, Revised, with Follow-Up (© 2009 Diana Robins, Deborah Fein, &amp; Marianne Barton) · Tradução PT-PT: Carla Cintrão Almeida · www.mchatscreen.com. Instrumento de 2 etapas preenchido pelos pais com supervisão clínica: Etapa 1 (20 itens Sim/Não) com algoritmo de cotação dirigido por item — items 2/5/12 "Sim"=Falha, restantes "Não"=Falha; categorias Baixo 0-2 / Moderado 3-7 / Alto 8-20. Etapa 2 condicional (só se score 3-7) com entrevista de seguimento estruturada item-a-item; clínico regista Esclarecido (Passa) / Confirmado (Falha) por item; ≥2 confirmados = rastreio positivo. Categorias finais: Baixo · Moderado—Negativo · Moderado—Positivo · Alto. Aviso: instrumento de despiste, NÃO de diagnóstico — qualquer criança com resultado positivo deve ser referenciada para avaliação de diagnóstico e possível sinalização para intervenção precoce (SNIPI, Pediatria do Desenvolvimento, Pedopsiquiatria, HP Coimbra).</v>
      </c>
      <c r="J15" s="6" t="str">
        <f aca="false">IFERROR(INDEX(Catálogo!J$4:J$1000,MATCH($A$1&amp;"|"&amp;12,Índice!$A$4:$A$1000,0)),"")</f>
        <v>Etapa 1 (20 itens · score 0-20); Etapa 2 condicional (entrevista de seguimento); Comunicação social; Linguagem; Brincadeira simbólica; Comportamentos sensoriais; Comportamentos repetitivos</v>
      </c>
      <c r="K15" s="6" t="str">
        <f aca="false">IFERROR(INDEX(Catálogo!K$4:K$1000,MATCH($A$1&amp;"|"&amp;12,Índice!$A$4:$A$1000,0)),"")</f>
        <v>m_chat_r_f</v>
      </c>
      <c r="L15" s="6" t="str">
        <f aca="false">IFERROR(INDEX(Catálogo!L$4:L$1000,MATCH($A$1&amp;"|"&amp;12,Índice!$A$4:$A$1000,0)),"")</f>
        <v>q_m_chat_r_f</v>
      </c>
      <c r="M15" s="7" t="str">
        <f aca="false">IFERROR(INDEX(Catálogo!M$4:M$1000,MATCH($A$1&amp;"|"&amp;12,Índice!$A$4:$A$1000,0)),"")</f>
        <v>https://correiaricardina-ui.github.io/questionarios/M-CHAT-R-F_v1.html</v>
      </c>
    </row>
    <row r="16" customFormat="false" ht="42" hidden="false" customHeight="true" outlineLevel="0" collapsed="false">
      <c r="A16" s="5" t="n">
        <f aca="false">IFERROR(INDEX(Catálogo!A$4:A$1000,MATCH($A$1&amp;"|"&amp;13,Índice!$A$4:$A$1000,0)),"")</f>
        <v>115</v>
      </c>
      <c r="B16" s="6" t="str">
        <f aca="false">IFERROR(INDEX(Catálogo!B$4:B$1000,MATCH($A$1&amp;"|"&amp;13,Índice!$A$4:$A$1000,0)),"")</f>
        <v>PS2 — Acompanhamento Escolar</v>
      </c>
      <c r="C16" s="6" t="str">
        <f aca="false">IFERROR(INDEX(Catálogo!C$4:C$1000,MATCH($A$1&amp;"|"&amp;13,Índice!$A$4:$A$1000,0)),"")</f>
        <v>Neurodesenvolvimento</v>
      </c>
      <c r="D16" s="6" t="str">
        <f aca="false">IFERROR(INDEX(Catálogo!D$4:D$1000,MATCH($A$1&amp;"|"&amp;13,Índice!$A$4:$A$1000,0)),"")</f>
        <v>Professor(a), Educador(a)</v>
      </c>
      <c r="E16" s="6" t="str">
        <f aca="false">IFERROR(INDEX(Catálogo!E$4:E$1000,MATCH($A$1&amp;"|"&amp;13,Índice!$A$4:$A$1000,0)),"")</f>
        <v>3–14:11 anos</v>
      </c>
      <c r="F16" s="5" t="n">
        <f aca="false">IFERROR(INDEX(Catálogo!F$4:F$1000,MATCH($A$1&amp;"|"&amp;13,Índice!$A$4:$A$1000,0)),"")</f>
        <v>3</v>
      </c>
      <c r="G16" s="5" t="n">
        <f aca="false">IFERROR(INDEX(Catálogo!G$4:G$1000,MATCH($A$1&amp;"|"&amp;13,Índice!$A$4:$A$1000,0)),"")</f>
        <v>14.9</v>
      </c>
      <c r="H16" s="5" t="n">
        <f aca="false">IFERROR(INDEX(Catálogo!H$4:H$1000,MATCH($A$1&amp;"|"&amp;13,Índice!$A$4:$A$1000,0)),"")</f>
        <v>13</v>
      </c>
      <c r="I16" s="6" t="str">
        <f aca="false">IFERROR(INDEX(Catálogo!I$4:I$1000,MATCH($A$1&amp;"|"&amp;13,Índice!$A$4:$A$1000,0)),"")</f>
        <v>Avalia padrões de processamento sensorial em contexto escolar — versão professor</v>
      </c>
      <c r="J16" s="6" t="str">
        <f aca="false">IFERROR(INDEX(Catálogo!J$4:J$1000,MATCH($A$1&amp;"|"&amp;13,Índice!$A$4:$A$1000,0)),"")</f>
        <v>Procura; Evitamento; Sensibilidade; Registo; Auditivo; Visual; Tátil; Movimento; Comportamento; Fator Escolar 1; Fator Escolar 2; Fator Escolar 3; Fator Escolar 4</v>
      </c>
      <c r="K16" s="6" t="str">
        <f aca="false">IFERROR(INDEX(Catálogo!K$4:K$1000,MATCH($A$1&amp;"|"&amp;13,Índice!$A$4:$A$1000,0)),"")</f>
        <v>ps2escola</v>
      </c>
      <c r="L16" s="6" t="str">
        <f aca="false">IFERROR(INDEX(Catálogo!L$4:L$1000,MATCH($A$1&amp;"|"&amp;13,Índice!$A$4:$A$1000,0)),"")</f>
        <v>q_ps2escola</v>
      </c>
      <c r="M16" s="7" t="str">
        <f aca="false">IFERROR(INDEX(Catálogo!M$4:M$1000,MATCH($A$1&amp;"|"&amp;13,Índice!$A$4:$A$1000,0)),"")</f>
        <v>https://correiaricardina-ui.github.io/questionarios/PS2_Escola_v1.html</v>
      </c>
    </row>
    <row r="17" customFormat="false" ht="42" hidden="false" customHeight="true" outlineLevel="0" collapsed="false">
      <c r="A17" s="5" t="n">
        <f aca="false">IFERROR(INDEX(Catálogo!A$4:A$1000,MATCH($A$1&amp;"|"&amp;14,Índice!$A$4:$A$1000,0)),"")</f>
        <v>116</v>
      </c>
      <c r="B17" s="6" t="str">
        <f aca="false">IFERROR(INDEX(Catálogo!B$4:B$1000,MATCH($A$1&amp;"|"&amp;14,Índice!$A$4:$A$1000,0)),"")</f>
        <v>PS2 — Questionário do Cuidador</v>
      </c>
      <c r="C17" s="6" t="str">
        <f aca="false">IFERROR(INDEX(Catálogo!C$4:C$1000,MATCH($A$1&amp;"|"&amp;14,Índice!$A$4:$A$1000,0)),"")</f>
        <v>Neurodesenvolvimento</v>
      </c>
      <c r="D17" s="6" t="str">
        <f aca="false">IFERROR(INDEX(Catálogo!D$4:D$1000,MATCH($A$1&amp;"|"&amp;14,Índice!$A$4:$A$1000,0)),"")</f>
        <v>Mãe, Pai, Enc. Educação, Cuidador(a)</v>
      </c>
      <c r="E17" s="6" t="str">
        <f aca="false">IFERROR(INDEX(Catálogo!E$4:E$1000,MATCH($A$1&amp;"|"&amp;14,Índice!$A$4:$A$1000,0)),"")</f>
        <v>3–14:11 anos</v>
      </c>
      <c r="F17" s="5" t="n">
        <f aca="false">IFERROR(INDEX(Catálogo!F$4:F$1000,MATCH($A$1&amp;"|"&amp;14,Índice!$A$4:$A$1000,0)),"")</f>
        <v>3</v>
      </c>
      <c r="G17" s="5" t="n">
        <f aca="false">IFERROR(INDEX(Catálogo!G$4:G$1000,MATCH($A$1&amp;"|"&amp;14,Índice!$A$4:$A$1000,0)),"")</f>
        <v>14.9</v>
      </c>
      <c r="H17" s="5" t="n">
        <f aca="false">IFERROR(INDEX(Catálogo!H$4:H$1000,MATCH($A$1&amp;"|"&amp;14,Índice!$A$4:$A$1000,0)),"")</f>
        <v>13</v>
      </c>
      <c r="I17" s="6" t="str">
        <f aca="false">IFERROR(INDEX(Catálogo!I$4:I$1000,MATCH($A$1&amp;"|"&amp;14,Índice!$A$4:$A$1000,0)),"")</f>
        <v>Avalia padrões de processamento sensorial em casa — versão cuidadores</v>
      </c>
      <c r="J17" s="6" t="str">
        <f aca="false">IFERROR(INDEX(Catálogo!J$4:J$1000,MATCH($A$1&amp;"|"&amp;14,Índice!$A$4:$A$1000,0)),"")</f>
        <v>Procura; Evitamento; Sensibilidade; Registo; Auditivo; Visual; Tátil; Movimento; Posição Corporal; Oral; Conduta; Socioemocional; Atenção</v>
      </c>
      <c r="K17" s="6" t="str">
        <f aca="false">IFERROR(INDEX(Catálogo!K$4:K$1000,MATCH($A$1&amp;"|"&amp;14,Índice!$A$4:$A$1000,0)),"")</f>
        <v>ps2pais</v>
      </c>
      <c r="L17" s="6" t="str">
        <f aca="false">IFERROR(INDEX(Catálogo!L$4:L$1000,MATCH($A$1&amp;"|"&amp;14,Índice!$A$4:$A$1000,0)),"")</f>
        <v>q_ps2pais</v>
      </c>
      <c r="M17" s="7" t="str">
        <f aca="false">IFERROR(INDEX(Catálogo!M$4:M$1000,MATCH($A$1&amp;"|"&amp;14,Índice!$A$4:$A$1000,0)),"")</f>
        <v>https://correiaricardina-ui.github.io/questionarios/PS2_Pais_v1.html</v>
      </c>
    </row>
    <row r="18" customFormat="false" ht="42" hidden="false" customHeight="true" outlineLevel="0" collapsed="false">
      <c r="A18" s="5" t="n">
        <f aca="false">IFERROR(INDEX(Catálogo!A$4:A$1000,MATCH($A$1&amp;"|"&amp;15,Índice!$A$4:$A$1000,0)),"")</f>
        <v>126</v>
      </c>
      <c r="B18" s="6" t="str">
        <f aca="false">IFERROR(INDEX(Catálogo!B$4:B$1000,MATCH($A$1&amp;"|"&amp;15,Índice!$A$4:$A$1000,0)),"")</f>
        <v>RAADS-R</v>
      </c>
      <c r="C18" s="6" t="str">
        <f aca="false">IFERROR(INDEX(Catálogo!C$4:C$1000,MATCH($A$1&amp;"|"&amp;15,Índice!$A$4:$A$1000,0)),"")</f>
        <v>Neurodesenvolvimento</v>
      </c>
      <c r="D18" s="6" t="str">
        <f aca="false">IFERROR(INDEX(Catálogo!D$4:D$1000,MATCH($A$1&amp;"|"&amp;15,Índice!$A$4:$A$1000,0)),"")</f>
        <v>Paciente</v>
      </c>
      <c r="E18" s="6" t="str">
        <f aca="false">IFERROR(INDEX(Catálogo!E$4:E$1000,MATCH($A$1&amp;"|"&amp;15,Índice!$A$4:$A$1000,0)),"")</f>
        <v>Adultos (≥16 anos)</v>
      </c>
      <c r="F18" s="5" t="n">
        <f aca="false">IFERROR(INDEX(Catálogo!F$4:F$1000,MATCH($A$1&amp;"|"&amp;15,Índice!$A$4:$A$1000,0)),"")</f>
        <v>16</v>
      </c>
      <c r="G18" s="5" t="n">
        <f aca="false">IFERROR(INDEX(Catálogo!G$4:G$1000,MATCH($A$1&amp;"|"&amp;15,Índice!$A$4:$A$1000,0)),"")</f>
        <v>99</v>
      </c>
      <c r="H18" s="5" t="n">
        <f aca="false">IFERROR(INDEX(Catálogo!H$4:H$1000,MATCH($A$1&amp;"|"&amp;15,Índice!$A$4:$A$1000,0)),"")</f>
        <v>5</v>
      </c>
      <c r="I18" s="6" t="str">
        <f aca="false">IFERROR(INDEX(Catálogo!I$4:I$1000,MATCH($A$1&amp;"|"&amp;15,Índice!$A$4:$A$1000,0)),"")</f>
        <v>Avalia sintomas de PEA em adultos — auto-relato (Ritvo et al., 2011)</v>
      </c>
      <c r="J18" s="6" t="str">
        <f aca="false">IFERROR(INDEX(Catálogo!J$4:J$1000,MATCH($A$1&amp;"|"&amp;15,Índice!$A$4:$A$1000,0)),"")</f>
        <v>Social; Linguagem; Sensoriomotora; Circunscrita; Total</v>
      </c>
      <c r="K18" s="6" t="str">
        <f aca="false">IFERROR(INDEX(Catálogo!K$4:K$1000,MATCH($A$1&amp;"|"&amp;15,Índice!$A$4:$A$1000,0)),"")</f>
        <v>raadsr</v>
      </c>
      <c r="L18" s="6" t="str">
        <f aca="false">IFERROR(INDEX(Catálogo!L$4:L$1000,MATCH($A$1&amp;"|"&amp;15,Índice!$A$4:$A$1000,0)),"")</f>
        <v>q_raadsr</v>
      </c>
      <c r="M18" s="7" t="str">
        <f aca="false">IFERROR(INDEX(Catálogo!M$4:M$1000,MATCH($A$1&amp;"|"&amp;15,Índice!$A$4:$A$1000,0)),"")</f>
        <v>https://correiaricardina-ui.github.io/questionarios/RAADS_R_v1.html</v>
      </c>
    </row>
    <row r="19" customFormat="false" ht="42" hidden="false" customHeight="true" outlineLevel="0" collapsed="false">
      <c r="A19" s="5" t="n">
        <f aca="false">IFERROR(INDEX(Catálogo!A$4:A$1000,MATCH($A$1&amp;"|"&amp;16,Índice!$A$4:$A$1000,0)),"")</f>
        <v>127</v>
      </c>
      <c r="B19" s="6" t="str">
        <f aca="false">IFERROR(INDEX(Catálogo!B$4:B$1000,MATCH($A$1&amp;"|"&amp;16,Índice!$A$4:$A$1000,0)),"")</f>
        <v>RBS-R — Comportamentos Repetitivos, Revista</v>
      </c>
      <c r="C19" s="6" t="str">
        <f aca="false">IFERROR(INDEX(Catálogo!C$4:C$1000,MATCH($A$1&amp;"|"&amp;16,Índice!$A$4:$A$1000,0)),"")</f>
        <v>Neurodesenvolvimento</v>
      </c>
      <c r="D19" s="6" t="str">
        <f aca="false">IFERROR(INDEX(Catálogo!D$4:D$1000,MATCH($A$1&amp;"|"&amp;16,Índice!$A$4:$A$1000,0)),"")</f>
        <v>Mãe, Pai, Enc. Educação, Cuidador, Professor(a), Clínico</v>
      </c>
      <c r="E19" s="6" t="str">
        <f aca="false">IFERROR(INDEX(Catálogo!E$4:E$1000,MATCH($A$1&amp;"|"&amp;16,Índice!$A$4:$A$1000,0)),"")</f>
        <v>3–70 anos (heteroavaliação)</v>
      </c>
      <c r="F19" s="5" t="n">
        <f aca="false">IFERROR(INDEX(Catálogo!F$4:F$1000,MATCH($A$1&amp;"|"&amp;16,Índice!$A$4:$A$1000,0)),"")</f>
        <v>3</v>
      </c>
      <c r="G19" s="5" t="n">
        <f aca="false">IFERROR(INDEX(Catálogo!G$4:G$1000,MATCH($A$1&amp;"|"&amp;16,Índice!$A$4:$A$1000,0)),"")</f>
        <v>70</v>
      </c>
      <c r="H19" s="5" t="n">
        <f aca="false">IFERROR(INDEX(Catálogo!H$4:H$1000,MATCH($A$1&amp;"|"&amp;16,Índice!$A$4:$A$1000,0)),"")</f>
        <v>7</v>
      </c>
      <c r="I19" s="6" t="str">
        <f aca="false">IFERROR(INDEX(Catálogo!I$4:I$1000,MATCH($A$1&amp;"|"&amp;16,Índice!$A$4:$A$1000,0)),"")</f>
        <v>Avalia a variedade e severidade de comportamentos repetitivos e rígidos por heteroinformação (43 itens, escala 0-3) em 6 subescalas: Estereotipias Motoras, Autoagressivos, Compulsivos, Ritualísticos, Rigidez Cognitiva/Sameness e Interesses Restritos. Tradução PT-PT de trabalho (não validada); interpretação por percentis relativa a normas clínicas espanholas (Martínez-González &amp; Piqueras, 2019) por grupo de referência (TEA/DI/TEA-DI), seleccionável no detalhe. Sem pontos de corte universais.</v>
      </c>
      <c r="J19" s="6" t="str">
        <f aca="false">IFERROR(INDEX(Catálogo!J$4:J$1000,MATCH($A$1&amp;"|"&amp;16,Índice!$A$4:$A$1000,0)),"")</f>
        <v>Estereotipias Motoras; Comportamentos Autoagressivos; Comportamentos Compulsivos; Comportamentos Ritualísticos; Rigidez Cognitiva / Sameness; Interesses Restritos; Total</v>
      </c>
      <c r="K19" s="6" t="str">
        <f aca="false">IFERROR(INDEX(Catálogo!K$4:K$1000,MATCH($A$1&amp;"|"&amp;16,Índice!$A$4:$A$1000,0)),"")</f>
        <v>rbsr</v>
      </c>
      <c r="L19" s="6" t="str">
        <f aca="false">IFERROR(INDEX(Catálogo!L$4:L$1000,MATCH($A$1&amp;"|"&amp;16,Índice!$A$4:$A$1000,0)),"")</f>
        <v>q_rbsr</v>
      </c>
      <c r="M19" s="7" t="str">
        <f aca="false">IFERROR(INDEX(Catálogo!M$4:M$1000,MATCH($A$1&amp;"|"&amp;16,Índice!$A$4:$A$1000,0)),"")</f>
        <v>https://correiaricardina-ui.github.io/questionarios/RBS_R.html</v>
      </c>
    </row>
    <row r="20" customFormat="false" ht="42" hidden="false" customHeight="true" outlineLevel="0" collapsed="false">
      <c r="A20" s="5" t="n">
        <f aca="false">IFERROR(INDEX(Catálogo!A$4:A$1000,MATCH($A$1&amp;"|"&amp;17,Índice!$A$4:$A$1000,0)),"")</f>
        <v>146</v>
      </c>
      <c r="B20" s="6" t="str">
        <f aca="false">IFERROR(INDEX(Catálogo!B$4:B$1000,MATCH($A$1&amp;"|"&amp;17,Índice!$A$4:$A$1000,0)),"")</f>
        <v>SRS-2 — Pais/Cuid.</v>
      </c>
      <c r="C20" s="6" t="str">
        <f aca="false">IFERROR(INDEX(Catálogo!C$4:C$1000,MATCH($A$1&amp;"|"&amp;17,Índice!$A$4:$A$1000,0)),"")</f>
        <v>Neurodesenvolvimento</v>
      </c>
      <c r="D20" s="6" t="str">
        <f aca="false">IFERROR(INDEX(Catálogo!D$4:D$1000,MATCH($A$1&amp;"|"&amp;17,Índice!$A$4:$A$1000,0)),"")</f>
        <v>Mãe, Pai, Enc. Educação</v>
      </c>
      <c r="E20" s="6" t="str">
        <f aca="false">IFERROR(INDEX(Catálogo!E$4:E$1000,MATCH($A$1&amp;"|"&amp;17,Índice!$A$4:$A$1000,0)),"")</f>
        <v>4–18 anos</v>
      </c>
      <c r="F20" s="5" t="n">
        <f aca="false">IFERROR(INDEX(Catálogo!F$4:F$1000,MATCH($A$1&amp;"|"&amp;17,Índice!$A$4:$A$1000,0)),"")</f>
        <v>4</v>
      </c>
      <c r="G20" s="5" t="n">
        <f aca="false">IFERROR(INDEX(Catálogo!G$4:G$1000,MATCH($A$1&amp;"|"&amp;17,Índice!$A$4:$A$1000,0)),"")</f>
        <v>17.9</v>
      </c>
      <c r="H20" s="5" t="n">
        <f aca="false">IFERROR(INDEX(Catálogo!H$4:H$1000,MATCH($A$1&amp;"|"&amp;17,Índice!$A$4:$A$1000,0)),"")</f>
        <v>7</v>
      </c>
      <c r="I20" s="6" t="str">
        <f aca="false">IFERROR(INDEX(Catálogo!I$4:I$1000,MATCH($A$1&amp;"|"&amp;17,Índice!$A$4:$A$1000,0)),"")</f>
        <v>Avalia responsividade social — versão pais/cuidadores</v>
      </c>
      <c r="J20" s="6" t="str">
        <f aca="false">IFERROR(INDEX(Catálogo!J$4:J$1000,MATCH($A$1&amp;"|"&amp;17,Índice!$A$4:$A$1000,0)),"")</f>
        <v>Consciência Social (PERC); Cognição Social (COG); Comunicação Social (COM); Motivação Social (MOT); Maneirismos/Interesses Restritos e Repetitivos (PRR); Índice de Comunicação e Interação Social (DSM-5) (CIS); Score Total (Total)</v>
      </c>
      <c r="K20" s="6" t="str">
        <f aca="false">IFERROR(INDEX(Catálogo!K$4:K$1000,MATCH($A$1&amp;"|"&amp;17,Índice!$A$4:$A$1000,0)),"")</f>
        <v>srs2_pais</v>
      </c>
      <c r="L20" s="6" t="str">
        <f aca="false">IFERROR(INDEX(Catálogo!L$4:L$1000,MATCH($A$1&amp;"|"&amp;17,Índice!$A$4:$A$1000,0)),"")</f>
        <v>q_srs2_pais</v>
      </c>
      <c r="M20" s="7" t="str">
        <f aca="false">IFERROR(INDEX(Catálogo!M$4:M$1000,MATCH($A$1&amp;"|"&amp;17,Índice!$A$4:$A$1000,0)),"")</f>
        <v>https://correiaricardina-ui.github.io/questionarios/SRS2_IE_Pais_v1.html</v>
      </c>
    </row>
    <row r="21" customFormat="false" ht="42" hidden="false" customHeight="true" outlineLevel="0" collapsed="false">
      <c r="A21" s="5" t="n">
        <f aca="false">IFERROR(INDEX(Catálogo!A$4:A$1000,MATCH($A$1&amp;"|"&amp;18,Índice!$A$4:$A$1000,0)),"")</f>
        <v>147</v>
      </c>
      <c r="B21" s="6" t="str">
        <f aca="false">IFERROR(INDEX(Catálogo!B$4:B$1000,MATCH($A$1&amp;"|"&amp;18,Índice!$A$4:$A$1000,0)),"")</f>
        <v>SRS-2 — Professor</v>
      </c>
      <c r="C21" s="6" t="str">
        <f aca="false">IFERROR(INDEX(Catálogo!C$4:C$1000,MATCH($A$1&amp;"|"&amp;18,Índice!$A$4:$A$1000,0)),"")</f>
        <v>Neurodesenvolvimento</v>
      </c>
      <c r="D21" s="6" t="str">
        <f aca="false">IFERROR(INDEX(Catálogo!D$4:D$1000,MATCH($A$1&amp;"|"&amp;18,Índice!$A$4:$A$1000,0)),"")</f>
        <v>Professor(a)</v>
      </c>
      <c r="E21" s="6" t="str">
        <f aca="false">IFERROR(INDEX(Catálogo!E$4:E$1000,MATCH($A$1&amp;"|"&amp;18,Índice!$A$4:$A$1000,0)),"")</f>
        <v>4–18 anos</v>
      </c>
      <c r="F21" s="5" t="n">
        <f aca="false">IFERROR(INDEX(Catálogo!F$4:F$1000,MATCH($A$1&amp;"|"&amp;18,Índice!$A$4:$A$1000,0)),"")</f>
        <v>4</v>
      </c>
      <c r="G21" s="5" t="n">
        <f aca="false">IFERROR(INDEX(Catálogo!G$4:G$1000,MATCH($A$1&amp;"|"&amp;18,Índice!$A$4:$A$1000,0)),"")</f>
        <v>17.9</v>
      </c>
      <c r="H21" s="5" t="n">
        <f aca="false">IFERROR(INDEX(Catálogo!H$4:H$1000,MATCH($A$1&amp;"|"&amp;18,Índice!$A$4:$A$1000,0)),"")</f>
        <v>7</v>
      </c>
      <c r="I21" s="6" t="str">
        <f aca="false">IFERROR(INDEX(Catálogo!I$4:I$1000,MATCH($A$1&amp;"|"&amp;18,Índice!$A$4:$A$1000,0)),"")</f>
        <v>Avalia responsividade social — versão professor</v>
      </c>
      <c r="J21" s="6" t="str">
        <f aca="false">IFERROR(INDEX(Catálogo!J$4:J$1000,MATCH($A$1&amp;"|"&amp;18,Índice!$A$4:$A$1000,0)),"")</f>
        <v>Consciência Social (PERC); Cognição Social (COG); Comunicação Social (COM); Motivação Social (MOT); Maneirismos/Interesses Restritos e Repetitivos (PRR); Índice de Comunicação e Interação Social (DSM-5) (CIS); Score Total (Total)</v>
      </c>
      <c r="K21" s="6" t="str">
        <f aca="false">IFERROR(INDEX(Catálogo!K$4:K$1000,MATCH($A$1&amp;"|"&amp;18,Índice!$A$4:$A$1000,0)),"")</f>
        <v>srs2_prof</v>
      </c>
      <c r="L21" s="6" t="str">
        <f aca="false">IFERROR(INDEX(Catálogo!L$4:L$1000,MATCH($A$1&amp;"|"&amp;18,Índice!$A$4:$A$1000,0)),"")</f>
        <v>q_srs2_prof</v>
      </c>
      <c r="M21" s="7" t="str">
        <f aca="false">IFERROR(INDEX(Catálogo!M$4:M$1000,MATCH($A$1&amp;"|"&amp;18,Índice!$A$4:$A$1000,0)),"")</f>
        <v>https://correiaricardina-ui.github.io/questionarios/SRS2_IE_Prof_v1.html</v>
      </c>
    </row>
    <row r="22" customFormat="false" ht="42" hidden="false" customHeight="true" outlineLevel="0" collapsed="false">
      <c r="A22" s="5" t="n">
        <f aca="false">IFERROR(INDEX(Catálogo!A$4:A$1000,MATCH($A$1&amp;"|"&amp;19,Índice!$A$4:$A$1000,0)),"")</f>
        <v>155</v>
      </c>
      <c r="B22" s="6" t="str">
        <f aca="false">IFERROR(INDEX(Catálogo!B$4:B$1000,MATCH($A$1&amp;"|"&amp;19,Índice!$A$4:$A$1000,0)),"")</f>
        <v>TS-OC · Parte I — Gravidade de Tiques (YGTSS)</v>
      </c>
      <c r="C22" s="6" t="str">
        <f aca="false">IFERROR(INDEX(Catálogo!C$4:C$1000,MATCH($A$1&amp;"|"&amp;19,Índice!$A$4:$A$1000,0)),"")</f>
        <v>Neurodesenvolvimento</v>
      </c>
      <c r="D22" s="6" t="str">
        <f aca="false">IFERROR(INDEX(Catálogo!D$4:D$1000,MATCH($A$1&amp;"|"&amp;19,Índice!$A$4:$A$1000,0)),"")</f>
        <v>Mãe, Pai, Enc. Educação, Paciente</v>
      </c>
      <c r="E22" s="6" t="str">
        <f aca="false">IFERROR(INDEX(Catálogo!E$4:E$1000,MATCH($A$1&amp;"|"&amp;19,Índice!$A$4:$A$1000,0)),"")</f>
        <v>6–18 anos</v>
      </c>
      <c r="F22" s="5" t="n">
        <f aca="false">IFERROR(INDEX(Catálogo!F$4:F$1000,MATCH($A$1&amp;"|"&amp;19,Índice!$A$4:$A$1000,0)),"")</f>
        <v>6</v>
      </c>
      <c r="G22" s="5" t="n">
        <f aca="false">IFERROR(INDEX(Catálogo!G$4:G$1000,MATCH($A$1&amp;"|"&amp;19,Índice!$A$4:$A$1000,0)),"")</f>
        <v>18.9</v>
      </c>
      <c r="H22" s="5" t="n">
        <f aca="false">IFERROR(INDEX(Catálogo!H$4:H$1000,MATCH($A$1&amp;"|"&amp;19,Índice!$A$4:$A$1000,0)),"")</f>
        <v>5</v>
      </c>
      <c r="I22" s="6" t="str">
        <f aca="false">IFERROR(INDEX(Catálogo!I$4:I$1000,MATCH($A$1&amp;"|"&amp;19,Índice!$A$4:$A$1000,0)),"")</f>
        <v>Lista de sintomas de tiques + escala de gravidade (Yale Global Tic Severity Scale; Leckman et al., 1989). Cotação descritiva das dimensões motora e fónica em duas janelas — Atual (últimos 7 dias) e Pior fase — com Total de Tiques (0–50), Comprometimento (0–50) e Pontuação Global (0–100). Aplicação com apoio familiar; cotação final confirmada pelo/a psicólogo/a em entrevista. Rastreio/monitorização, não diagnóstico.</v>
      </c>
      <c r="J22" s="6" t="str">
        <f aca="false">IFERROR(INDEX(Catálogo!J$4:J$1000,MATCH($A$1&amp;"|"&amp;19,Índice!$A$4:$A$1000,0)),"")</f>
        <v>Subtotal Motor; Subtotal Fónico; Total de Tiques; Comprometimento; Pontuação Global YGTSS</v>
      </c>
      <c r="K22" s="6" t="str">
        <f aca="false">IFERROR(INDEX(Catálogo!K$4:K$1000,MATCH($A$1&amp;"|"&amp;19,Índice!$A$4:$A$1000,0)),"")</f>
        <v>tsoc_ygtss</v>
      </c>
      <c r="L22" s="6" t="str">
        <f aca="false">IFERROR(INDEX(Catálogo!L$4:L$1000,MATCH($A$1&amp;"|"&amp;19,Índice!$A$4:$A$1000,0)),"")</f>
        <v>q_tsoc_ygtss</v>
      </c>
      <c r="M22" s="7" t="str">
        <f aca="false">IFERROR(INDEX(Catálogo!M$4:M$1000,MATCH($A$1&amp;"|"&amp;19,Índice!$A$4:$A$1000,0)),"")</f>
        <v>https://correiaricardina-ui.github.io/questionarios/TSOC_YGTSS_v1.html</v>
      </c>
    </row>
    <row r="23" customFormat="false" ht="42" hidden="false" customHeight="true" outlineLevel="0" collapsed="false">
      <c r="A23" s="5" t="n">
        <f aca="false">IFERROR(INDEX(Catálogo!A$4:A$1000,MATCH($A$1&amp;"|"&amp;20,Índice!$A$4:$A$1000,0)),"")</f>
        <v>163</v>
      </c>
      <c r="B23" s="6" t="str">
        <f aca="false">IFERROR(INDEX(Catálogo!B$4:B$1000,MATCH($A$1&amp;"|"&amp;20,Índice!$A$4:$A$1000,0)),"")</f>
        <v>SGRS — Sohn Grayson Rating Scale</v>
      </c>
      <c r="C23" s="6" t="str">
        <f aca="false">IFERROR(INDEX(Catálogo!C$4:C$1000,MATCH($A$1&amp;"|"&amp;20,Índice!$A$4:$A$1000,0)),"")</f>
        <v>Neurodesenvolvimento</v>
      </c>
      <c r="D23" s="6" t="str">
        <f aca="false">IFERROR(INDEX(Catálogo!D$4:D$1000,MATCH($A$1&amp;"|"&amp;20,Índice!$A$4:$A$1000,0)),"")</f>
        <v>Mãe, Pai, Enc. Educação, Professor(a), Educador(a), Psicóloga</v>
      </c>
      <c r="E23" s="6" t="str">
        <f aca="false">IFERROR(INDEX(Catálogo!E$4:E$1000,MATCH($A$1&amp;"|"&amp;20,Índice!$A$4:$A$1000,0)),"")</f>
        <v>3–18 anos</v>
      </c>
      <c r="F23" s="5" t="n">
        <f aca="false">IFERROR(INDEX(Catálogo!F$4:F$1000,MATCH($A$1&amp;"|"&amp;20,Índice!$A$4:$A$1000,0)),"")</f>
        <v>3</v>
      </c>
      <c r="G23" s="5" t="n">
        <f aca="false">IFERROR(INDEX(Catálogo!G$4:G$1000,MATCH($A$1&amp;"|"&amp;20,Índice!$A$4:$A$1000,0)),"")</f>
        <v>18</v>
      </c>
      <c r="H23" s="5" t="n">
        <f aca="false">IFERROR(INDEX(Catálogo!H$4:H$1000,MATCH($A$1&amp;"|"&amp;20,Índice!$A$4:$A$1000,0)),"")</f>
        <v>7</v>
      </c>
      <c r="I23" s="6" t="str">
        <f aca="false">IFERROR(INDEX(Catálogo!I$4:I$1000,MATCH($A$1&amp;"|"&amp;20,Índice!$A$4:$A$1000,0)),"")</f>
        <v>Rastreio e sistematização da observação de comportamentos associados a PEA de alto funcionamento (Sohn &amp; Grayson, 2005). 58 itens · 6 domínios · Likert 1–4 (1 = Não é verdade · 2 = Raramente · 3 = Às vezes · 4 = Frequentemente) · SEM itens invertidos · amplitude 58–232 (o mínimo é 58 e não 0). Admite pais, professor e clínico em paralelo — o painel calcula a concordância inter-informantes (amplitude entre médias/item: ≥1,00 discrepância assinalável · ≥0,50 ligeira). Total bruto só é válido com 58/58 itens; com omissos apresenta estimativa prorrateada (média/item × 58), rotulada como exploratória. NÃO existem normas portuguesas — versão portuguesa é tradução de trabalho, sem adaptação transcultural nem validação psicométrica. Bandas globais dos autores (58–89 Muito baixa · 90–118 Baixa · 119–149 Média a moderada · 150–177 Moderada a alta · 178–207 Alta a muito alta · 208–232 Muito alta), sem derivação empírica publicada nem estudos independentes de fidelidade/validade/sensibilidade/especificidade. Classificação por domínio = convenção descritiva sem base normativa (média/item: 1,00–1,74 mínima · 1,75–2,49 ligeira · 2,50–3,24 moderada · 3,25–4,00 elevada) — PENDENTE DE RATIFICAÇÃO. Instrumento de rastreio: não estabelece nem exclui diagnóstico de PEA e não substitui avaliação diagnóstica multimodal. Terminologia original («Síndrome de Asperger», «PDD de alto funcionamento») é anterior ao DSM-5-TR/CID-11 — reportar em nomenclatura atual (PEA com especificadores de gravidade). Cautelas: Discurso e Linguagem pesa 38 % dos itens (22/58); Comportamento Motor tem só 2 itens (média instável); itens G02 (memorização) e L13 (vocabulário) descrevem competências mas são cotados na mesma direção.</v>
      </c>
      <c r="J23" s="6" t="str">
        <f aca="false">IFERROR(INDEX(Catálogo!J$4:J$1000,MATCH($A$1&amp;"|"&amp;20,Índice!$A$4:$A$1000,0)),"")</f>
        <v>Comportamento Social (14 itens; 14–56) — amizades, iniciativa de jogo, jogo imaginativo e repetitivo, contacto ocular, expressões faciais/linguagem corporal, multidões, perspetiva do outro, compreensão e expressão emocional, espaço pessoal, regras de jogo; Comportamento (8 itens; 8–32) — medos incomuns, interesses obsessivos/ritualismo, pensamento dicotómico, hábitos alimentares, comportamentos persistentes, rigidez a mudanças/transições, perfecionismo, ansiedade; Discurso e Linguagem (22 itens; 22–88) — uso peculiar de palavras, não pedir explicação/ajuda, humor e provocações, iniciar e manter conversa recíproca, interesse pelo outro, discurso adultificado, comentários embaraçosos, perguntas e tópicos obsessivos, vocabulário, linguagem social, pronomes, prosódia/volume, linguagem em scripts, literalidade, ideia principal, rituais verbais, gestos, manutenção do tópico; Cognição (7 itens; 7–28) — conceitos abstratos, memorização, motricidade fina, literalidade do comportamento dos outros, generalização da aprendizagem, distratibilidade, atenção sustentada; Perceção Sensorial (5 itens; 5–20) — sensibilidade invulgar a ruídos, cheiros, paladares, texturas e toque; Comportamento Motor (2 itens; 2–8) — movimentos repetidos/estereotipados, dificuldades motoras; Pontuação Global (58–232) — bandas de probabilidade dos autores.</v>
      </c>
      <c r="K23" s="6" t="str">
        <f aca="false">IFERROR(INDEX(Catálogo!K$4:K$1000,MATCH($A$1&amp;"|"&amp;20,Índice!$A$4:$A$1000,0)),"")</f>
        <v>sgrs</v>
      </c>
      <c r="L23" s="6" t="str">
        <f aca="false">IFERROR(INDEX(Catálogo!L$4:L$1000,MATCH($A$1&amp;"|"&amp;20,Índice!$A$4:$A$1000,0)),"")</f>
        <v>q_sgrs</v>
      </c>
      <c r="M23" s="7" t="str">
        <f aca="false">IFERROR(INDEX(Catálogo!M$4:M$1000,MATCH($A$1&amp;"|"&amp;20,Índice!$A$4:$A$1000,0)),"")</f>
        <v>https://correiaricardina-ui.github.io/questionarios/SGRS_v1.html</v>
      </c>
    </row>
    <row r="24" customFormat="false" ht="42" hidden="false" customHeight="true" outlineLevel="0" collapsed="false">
      <c r="A24" s="5" t="n">
        <f aca="false">IFERROR(INDEX(Catálogo!A$4:A$1000,MATCH($A$1&amp;"|"&amp;21,Índice!$A$4:$A$1000,0)),"")</f>
        <v>196</v>
      </c>
      <c r="B24" s="6" t="str">
        <f aca="false">IFERROR(INDEX(Catálogo!B$4:B$1000,MATCH($A$1&amp;"|"&amp;21,Índice!$A$4:$A$1000,0)),"")</f>
        <v>AASP — Perfil Sensorial Adolescente e Adulto</v>
      </c>
      <c r="C24" s="6" t="str">
        <f aca="false">IFERROR(INDEX(Catálogo!C$4:C$1000,MATCH($A$1&amp;"|"&amp;21,Índice!$A$4:$A$1000,0)),"")</f>
        <v>Neurodesenvolvimento</v>
      </c>
      <c r="D24" s="6" t="str">
        <f aca="false">IFERROR(INDEX(Catálogo!D$4:D$1000,MATCH($A$1&amp;"|"&amp;21,Índice!$A$4:$A$1000,0)),"")</f>
        <v>Próprio, Criança/Jovem</v>
      </c>
      <c r="E24" s="6" t="str">
        <f aca="false">IFERROR(INDEX(Catálogo!E$4:E$1000,MATCH($A$1&amp;"|"&amp;21,Índice!$A$4:$A$1000,0)),"")</f>
        <v>11–99 anos</v>
      </c>
      <c r="F24" s="5" t="n">
        <f aca="false">IFERROR(INDEX(Catálogo!F$4:F$1000,MATCH($A$1&amp;"|"&amp;21,Índice!$A$4:$A$1000,0)),"")</f>
        <v>11</v>
      </c>
      <c r="G24" s="5" t="n">
        <f aca="false">IFERROR(INDEX(Catálogo!G$4:G$1000,MATCH($A$1&amp;"|"&amp;21,Índice!$A$4:$A$1000,0)),"")</f>
        <v>99</v>
      </c>
      <c r="H24" s="5" t="n">
        <f aca="false">IFERROR(INDEX(Catálogo!H$4:H$1000,MATCH($A$1&amp;"|"&amp;21,Índice!$A$4:$A$1000,0)),"")</f>
        <v>15</v>
      </c>
      <c r="I24" s="6" t="str">
        <f aca="false">IFERROR(INDEX(Catálogo!I$4:I$1000,MATCH($A$1&amp;"|"&amp;21,Índice!$A$4:$A$1000,0)),"")</f>
        <v>Caracteriza o PADRÃO DE PROCESSAMENTO SENSORIAL segundo o modelo de Dunn (limiar neurológico × estratégia de autorregulação), através do Adolescent/Adult Sensory Profile (Brown &amp; Dunn, 2002; Pearson/PsychCorp). Autorrelato de 60 itens numa escala 1–5 (1 Quase nunca ≈ 5% das vezes → 5 Quase sempre ≈ 85% ou mais), TODOS no sentido directo — não existe um único item invertido. Cada item pode ainda ser marcado NA quando não houve oportunidade de experimentar a situação. Devolve quatro totais brutos de quadrante (amplitude 15–75 cada) e seis totais de secção sensorial. ⚠ A classificação é DESCRITIVA e não uma medida de gravidade: situa o total de cada quadrante face à distribuição do grupo normativo em cinco posições — −− muito menos · − menos · = semelhante · + mais · ++ muito mais que a maioria das pessoas. Por isso o painel usa PALETA AZUL: verde/laranja/vermelho comunicariam uma gravidade que o instrumento não mede. ⚠ LEITURA CONTRA-INTUITIVA do quadrante Baixo Registo: −− ou − significam MENOS comportamentos de baixo registo, isto é MAIOR detecção de estímulos — não um défice. A direcção clínica de cada quadrante lê-se à luz do modelo de Dunn, nunca por analogia com escalas de sintomas. ⚠ NÃO existem normas portuguesas de validação: os pontos de corte são os do quadro normativo ORIGINAL (amostra norte-americana), aplicados por faixa etária — 11–17, 18–64 e 65 ou mais anos. Abaixo dos 11 anos o instrumento não é aplicável (considerar o Perfil Sensorial 2, versão criança) e a classificação fica suspensa. ⚠ REGRA DE OMISSÕES: 0 NA num quadrante → soma directa; 1 a 2 NA → total prorrateado [(soma dos respondidos ÷ n.º de respondidos) × 15], arredondado à unidade e assinalado como ESTIMATIVA, com a classificação a ser lida com reserva; 3 ou mais NA → quadrante NÃO COTÁVEL, sem classificação. O prorrateamento é uma opção operacional desta plataforma e NÃO consta do manual original. Item por responder é distinto de NA e impede a cotação do quadrante. ⚠ As seis secções sensoriais (A a F) NÃO têm quadro normativo publicado em nenhuma das fontes disponíveis: os seus totais e médias por item servem apenas para localizar, de forma descritiva, os domínios com maior densidade de respostas. ⚠ Instrumento comercial protegido por direitos de autor: a administração deve fazer-se com o protocolo licenciado adoptado pelo serviço. ⚠ Contraparte adolescente/adulta do Perfil Sensorial 2 (PS2), já catalogado — daí a mesma área clínica. ⚠ Cotação validada contra o livro de cotação de referência (0 divergências em 22 casos) e pontos de corte verificados exaustivamente nas 732 combinações faixa × quadrante × total (0 erros).</v>
      </c>
      <c r="J24" s="6" t="str">
        <f aca="false">IFERROR(INDEX(Catálogo!J$4:J$1000,MATCH($A$1&amp;"|"&amp;21,Índice!$A$4:$A$1000,0)),"")</f>
        <v>Quadrante 1 — Baixo Registo (15 itens, total 15–75): limiar neurológico alto com estratégia passiva; a pessoa deteta menos estímulos do que a maioria e pode requerer maior intensidade ou saliência para responder | Quadrante 2 — Procura de Sensação (15 itens, 15–75): limiar alto com estratégia activa; a pessoa cria ou procura activamente estimulação sensorial adicional nas suas rotinas | Quadrante 3 — Sensibilidade Sensorial (15 itens, 15–75): limiar baixo com estratégia passiva; a pessoa deteta e reage a estímulos de baixa intensidade que outros filtram, com maior distratibilidade ou desconforto | Quadrante 4 — Evitamento Sensorial (15 itens, 15–75): limiar baixo com estratégia activa; a pessoa restringe ou controla activamente a exposição sensorial | Classificação normativa por quadrante — cinco posições descritivas (−− · − · = · + · ++) face à faixa etária aplicável; posição face à maioria das pessoas, NUNCA medida de gravidade | Faixa normativa aplicada — 11–17, 18–64 ou 65+ anos, determinada automaticamente pela idade; abaixo dos 11 anos a classificação fica suspensa por o instrumento estar fora de âmbito | Estado de cotação por quadrante — Completo · Prorrateado (estimativa, 1 a 2 NA) · Não cotável (3 ou mais NA) · Incompleto (item por responder); é um resultado de validade e condiciona toda a leitura do quadrante | Secção A — Processamento olfativo/gustativo (8 itens): soma e média por item, leitura estritamente descritiva | Secção B — Processamento do movimento (8 itens): soma e média por item, leitura estritamente descritiva | Secção C — Processamento visual (10 itens): soma e média por item, leitura estritamente descritiva | Secção D — Processamento tátil (13 itens): soma e média por item, leitura estritamente descritiva | Secção E — Nível de atividade (10 itens): soma e média por item, leitura estritamente descritiva | Secção F — Processamento auditivo (11 itens): soma e média por item, leitura estritamente descritiva | Distribuição do perfil pelos quatro quadrantes — quantos se afastam do intervalo esperado, em que direcção, e quais se mantêm semelhantes à maioria; é a leitura primária do instrumento | Registo de omissões (NA) — total de itens sem oportunidade de observação, com sinalização automática dos quadrantes prorrateados e dos não cotáveis</v>
      </c>
      <c r="K24" s="6" t="str">
        <f aca="false">IFERROR(INDEX(Catálogo!K$4:K$1000,MATCH($A$1&amp;"|"&amp;21,Índice!$A$4:$A$1000,0)),"")</f>
        <v>aasp</v>
      </c>
      <c r="L24" s="6" t="str">
        <f aca="false">IFERROR(INDEX(Catálogo!L$4:L$1000,MATCH($A$1&amp;"|"&amp;21,Índice!$A$4:$A$1000,0)),"")</f>
        <v>q_aasp</v>
      </c>
      <c r="M24" s="7" t="str">
        <f aca="false">IFERROR(INDEX(Catálogo!M$4:M$1000,MATCH($A$1&amp;"|"&amp;21,Índice!$A$4:$A$1000,0)),"")</f>
        <v>https://correiaricardina-ui.github.io/questionarios/AASP_v1.html</v>
      </c>
    </row>
    <row r="25" customFormat="false" ht="42" hidden="false" customHeight="true" outlineLevel="0" collapsed="false">
      <c r="A25" s="5" t="n">
        <f aca="false">IFERROR(INDEX(Catálogo!A$4:A$1000,MATCH($A$1&amp;"|"&amp;22,Índice!$A$4:$A$1000,0)),"")</f>
        <v>199</v>
      </c>
      <c r="B25" s="6" t="str">
        <f aca="false">IFERROR(INDEX(Catálogo!B$4:B$1000,MATCH($A$1&amp;"|"&amp;22,Índice!$A$4:$A$1000,0)),"")</f>
        <v>QUP-T/J — Questionário de Urgência Premonitória ao Tique (versão juvenil)</v>
      </c>
      <c r="C25" s="6" t="str">
        <f aca="false">IFERROR(INDEX(Catálogo!C$4:C$1000,MATCH($A$1&amp;"|"&amp;22,Índice!$A$4:$A$1000,0)),"")</f>
        <v>Neurodesenvolvimento</v>
      </c>
      <c r="D25" s="6" t="str">
        <f aca="false">IFERROR(INDEX(Catálogo!D$4:D$1000,MATCH($A$1&amp;"|"&amp;22,Índice!$A$4:$A$1000,0)),"")</f>
        <v>Próprio</v>
      </c>
      <c r="E25" s="6" t="str">
        <f aca="false">IFERROR(INDEX(Catálogo!E$4:E$1000,MATCH($A$1&amp;"|"&amp;22,Índice!$A$4:$A$1000,0)),"")</f>
        <v>11–18 anos</v>
      </c>
      <c r="F25" s="5" t="n">
        <f aca="false">IFERROR(INDEX(Catálogo!F$4:F$1000,MATCH($A$1&amp;"|"&amp;22,Índice!$A$4:$A$1000,0)),"")</f>
        <v>11</v>
      </c>
      <c r="G25" s="5" t="n">
        <f aca="false">IFERROR(INDEX(Catálogo!G$4:G$1000,MATCH($A$1&amp;"|"&amp;22,Índice!$A$4:$A$1000,0)),"")</f>
        <v>18</v>
      </c>
      <c r="H25" s="5" t="n">
        <f aca="false">IFERROR(INDEX(Catálogo!H$4:H$1000,MATCH($A$1&amp;"|"&amp;22,Índice!$A$4:$A$1000,0)),"")</f>
        <v>11</v>
      </c>
      <c r="I25" s="6" t="str">
        <f aca="false">IFERROR(INDEX(Catálogo!I$4:I$1000,MATCH($A$1&amp;"|"&amp;22,Índice!$A$4:$A$1000,0)),"")</f>
        <v>Caracteriza a URGÊNCIA PREMONITÓRIA ao tique — a sensação ou experiência mental aversiva que antecede a execução do tique e se atenua depois dela. Instrumento de CONSTRUÇÃO ORIGINAL INSPIRADA, em português europeu, SEM equivalência formal ao PUTS (Woods, Piacentini, Himle e Chang, 2005) e sem reprodução dos seus itens: as pontuações NÃO são intermutáveis com pontuações PUTS publicadas. Referencial: modelo fenomenológico-descritivo (Leckman et al., 1993), aprendizagem operante por reforço negativo (Evers e van de Wetering, 1994; Capriotti et al., 2014) — que fundamenta o HRT (Azrin e Nunn, 1973) e o CBIT (Piacentini et al., 2010) —, modelo interocetivo-atencional (Ganos et al., 2015; Rae et al., 2019), substrato insular e da área motora suplementar (Bohlhalter et al., 2006) e continuum com os fenómenos sensoriais do espetro obsessivo-compulsivo (Miguel et al., 2000; Coles et al., 2003). Enquadramento nosológico das perturbações de tique: Tourette DSM-5-TR 307.23 (F95.2) · CID-11 8A05.00; tique motor ou vocal persistente DSM-5-TR 307.22 (F95.1) · CID-11 8A05.01 e 8A05.02; tique provisório DSM-5-TR 307.21 (F95.0) · CID-11 8A05.03. Métrica comum a todas as versões: MÉDIA POR ITEM (1,00–4,00), o que permite comparação entre versões e monitorização longitudinal na transição dos 10 para os 11 anos. Janela dos ÚLTIMOS 7 DIAS, coincidente com a da YGTSS, para emparelhamento temporal em protocolos de monitorização. Escala 1 Nada · 2 Pouco · 3 Bastante · 4 Totalmente, sem itens invertidos; item não respondido deixa-se em branco, nunca a zero. ⚠ AUSÊNCIA DE NORMAS PORTUGUESAS e de estudo psicométrico próprio: os níveis N1 (1,00–1,74) Ausente a mínima · N2 (1,75–2,49) Ligeira a moderada · N3 (2,50–3,24) Marcada · N4 (3,25–4,00) Muito marcada resultam de ANCORAGEM RACIONAL na métrica de resposta (divisão em quartos da amplitude), não de normas populacionais, e são por isso apresentados em paleta AZUL; o VERMELHO fica reservado aos alertas binários de validade de resposta (AVR-1/2/3). Utilização EXPLORATÓRIA, de caracterização e de monitorização INTRAINDIVIDUAL. ⚠ A urgência premonitória NÃO constitui critério diagnóstico no DSM-5-TR nem na CID-11 — o output é estritamente descritivo e não estabelece nem exclui qualquer diagnóstico. ⚠ A INTENSIDADE da urgência NÃO é indicador de compromisso funcional: só o Índice F da versão parental informa sobre repercussão. ⚠ Cada escala admite um número definido de omissões; dentro da tolerância a pontuação é PRORRATEADA, acima dela a escala é declarada NÃO VÁLIDA e não é interpretada (o IUP exige ambos os fatores válidos). ⚠ Versão de AUTORRELATO AUTÓNOMO, 20 itens, 7–10 minutos. Os 16 primeiros itens pontuam; a Secção S (4 itens finais) é administrada mas lida item a item, sem total. Tolerância de omissão: 1 item em cada escala.</v>
      </c>
      <c r="J25" s="6" t="str">
        <f aca="false">IFERROR(INDEX(Catálogo!J$4:J$1000,MATCH($A$1&amp;"|"&amp;22,Índice!$A$4:$A$1000,0)),"")</f>
        <v>Fator I — Urgência somatossensorial: sensação corporal localizada (pressão, aperto, tensão, energia acumulada) que antecede o tique | Fator II — Urgência mental e incompletude: sensação de que algo não está bem ou ficou por terminar, com necessidade de repetir até à resolução | IUP — Índice de Urgência Premonitória: derivado dos dois fatores (média por item do conjunto); exige ambos válidos | Índice O — Ocorrência e deteção: reconhecimento antecipado da sensação; alvo do treino de consciência da urgência em HRT/CBIT | Índice A — Ciclo de reforço negativo: força da contingência urgência–tique–alívio; a partir de N3 configura reforço de intervalo variável curto, esquema particularmente resistente à extinção | IDF — Índice de Discrepância Fatorial e perfil fatorial (SOM predomínio somatossensorial · MEN predomínio mental/incompletude · CONC concordante); MEN aproxima o quadro dos fenómenos sensoriais do espetro obsessivo-compulsivo e recomenda avaliação complementar dirigida | Leitura conjugada IUP × Índice O: distingue urgência intensa e reconhecida (favorável ao treino de consciência) de urgência intensa com deteção limitada (treino de consciência como alvo prioritário antes da resposta competitiva) | Secção S — modulação e supressibilidade: administrada e lida ITEM A ITEM, sem total (supressão voluntária, absorção em atividade preferida, agravamento sob tensão ou cansaço, efeito da atenção interocetiva) | Secção Q — registo qualitativo (não pontuado): localização corporal da sensação, tique subjetivamente mais perturbador, o que agrava e o que alivia | Alertas de validade de resposta — AVR-1 deteção frequente sem intensidade correspondente · AVR-2 urgência intensa sem contingência de alívio · AVR-3 ausência de variação entre itens; o protocolo permanece válido em todos | Convergência entre fontes (CV-1 a CV-4) — leitura conjunta com a versão parental; CV-3, frequente abaixo dos 10 anos, não indica discordância entre informantes mas ausência de vocabulário somático para reportar</v>
      </c>
      <c r="K25" s="6" t="str">
        <f aca="false">IFERROR(INDEX(Catálogo!K$4:K$1000,MATCH($A$1&amp;"|"&amp;22,Índice!$A$4:$A$1000,0)),"")</f>
        <v>qupt_j</v>
      </c>
      <c r="L25" s="6" t="str">
        <f aca="false">IFERROR(INDEX(Catálogo!L$4:L$1000,MATCH($A$1&amp;"|"&amp;22,Índice!$A$4:$A$1000,0)),"")</f>
        <v>q_qupt_j</v>
      </c>
      <c r="M25" s="7" t="str">
        <f aca="false">IFERROR(INDEX(Catálogo!M$4:M$1000,MATCH($A$1&amp;"|"&amp;22,Índice!$A$4:$A$1000,0)),"")</f>
        <v>https://correiaricardina-ui.github.io/questionarios/QUPT_J_v1.html</v>
      </c>
    </row>
    <row r="26" customFormat="false" ht="42" hidden="false" customHeight="true" outlineLevel="0" collapsed="false">
      <c r="A26" s="5" t="n">
        <f aca="false">IFERROR(INDEX(Catálogo!A$4:A$1000,MATCH($A$1&amp;"|"&amp;23,Índice!$A$4:$A$1000,0)),"")</f>
        <v>200</v>
      </c>
      <c r="B26" s="6" t="str">
        <f aca="false">IFERROR(INDEX(Catálogo!B$4:B$1000,MATCH($A$1&amp;"|"&amp;23,Índice!$A$4:$A$1000,0)),"")</f>
        <v>QUP-T/I — Questionário de Urgência Premonitória ao Tique (versão infantil)</v>
      </c>
      <c r="C26" s="6" t="str">
        <f aca="false">IFERROR(INDEX(Catálogo!C$4:C$1000,MATCH($A$1&amp;"|"&amp;23,Índice!$A$4:$A$1000,0)),"")</f>
        <v>Neurodesenvolvimento</v>
      </c>
      <c r="D26" s="6" t="str">
        <f aca="false">IFERROR(INDEX(Catálogo!D$4:D$1000,MATCH($A$1&amp;"|"&amp;23,Índice!$A$4:$A$1000,0)),"")</f>
        <v>Próprio (aplicação assistida por adulto)</v>
      </c>
      <c r="E26" s="6" t="str">
        <f aca="false">IFERROR(INDEX(Catálogo!E$4:E$1000,MATCH($A$1&amp;"|"&amp;23,Índice!$A$4:$A$1000,0)),"")</f>
        <v>6–10 anos</v>
      </c>
      <c r="F26" s="5" t="n">
        <f aca="false">IFERROR(INDEX(Catálogo!F$4:F$1000,MATCH($A$1&amp;"|"&amp;23,Índice!$A$4:$A$1000,0)),"")</f>
        <v>6</v>
      </c>
      <c r="G26" s="5" t="n">
        <f aca="false">IFERROR(INDEX(Catálogo!G$4:G$1000,MATCH($A$1&amp;"|"&amp;23,Índice!$A$4:$A$1000,0)),"")</f>
        <v>10</v>
      </c>
      <c r="H26" s="5" t="n">
        <f aca="false">IFERROR(INDEX(Catálogo!H$4:H$1000,MATCH($A$1&amp;"|"&amp;23,Índice!$A$4:$A$1000,0)),"")</f>
        <v>11</v>
      </c>
      <c r="I26" s="6" t="str">
        <f aca="false">IFERROR(INDEX(Catálogo!I$4:I$1000,MATCH($A$1&amp;"|"&amp;23,Índice!$A$4:$A$1000,0)),"")</f>
        <v>Caracteriza a URGÊNCIA PREMONITÓRIA ao tique — a sensação ou experiência mental aversiva que antecede a execução do tique e se atenua depois dela. Instrumento de CONSTRUÇÃO ORIGINAL INSPIRADA, em português europeu, SEM equivalência formal ao PUTS (Woods, Piacentini, Himle e Chang, 2005) e sem reprodução dos seus itens: as pontuações NÃO são intermutáveis com pontuações PUTS publicadas. Referencial: modelo fenomenológico-descritivo (Leckman et al., 1993), aprendizagem operante por reforço negativo (Evers e van de Wetering, 1994; Capriotti et al., 2014) — que fundamenta o HRT (Azrin e Nunn, 1973) e o CBIT (Piacentini et al., 2010) —, modelo interocetivo-atencional (Ganos et al., 2015; Rae et al., 2019), substrato insular e da área motora suplementar (Bohlhalter et al., 2006) e continuum com os fenómenos sensoriais do espetro obsessivo-compulsivo (Miguel et al., 2000; Coles et al., 2003). Enquadramento nosológico das perturbações de tique: Tourette DSM-5-TR 307.23 (F95.2) · CID-11 8A05.00; tique motor ou vocal persistente DSM-5-TR 307.22 (F95.1) · CID-11 8A05.01 e 8A05.02; tique provisório DSM-5-TR 307.21 (F95.0) · CID-11 8A05.03. Métrica comum a todas as versões: MÉDIA POR ITEM (1,00–4,00), o que permite comparação entre versões e monitorização longitudinal na transição dos 10 para os 11 anos. Janela dos ÚLTIMOS 7 DIAS, coincidente com a da YGTSS, para emparelhamento temporal em protocolos de monitorização. Escala 1 Nada · 2 Pouco · 3 Bastante · 4 Totalmente, sem itens invertidos; item não respondido deixa-se em branco, nunca a zero. ⚠ AUSÊNCIA DE NORMAS PORTUGUESAS e de estudo psicométrico próprio: os níveis N1 (1,00–1,74) Ausente a mínima · N2 (1,75–2,49) Ligeira a moderada · N3 (2,50–3,24) Marcada · N4 (3,25–4,00) Muito marcada resultam de ANCORAGEM RACIONAL na métrica de resposta (divisão em quartos da amplitude), não de normas populacionais, e são por isso apresentados em paleta AZUL; o VERMELHO fica reservado aos alertas binários de validade de resposta (AVR-1/2/3). Utilização EXPLORATÓRIA, de caracterização e de monitorização INTRAINDIVIDUAL. ⚠ A urgência premonitória NÃO constitui critério diagnóstico no DSM-5-TR nem na CID-11 — o output é estritamente descritivo e não estabelece nem exclui qualquer diagnóstico. ⚠ A INTENSIDADE da urgência NÃO é indicador de compromisso funcional: só o Índice F da versão parental informa sobre repercussão. ⚠ Cada escala admite um número definido de omissões; dentro da tolerância a pontuação é PRORRATEADA, acima dela a escala é declarada NÃO VÁLIDA e não é interpretada (o IUP exige ambos os fatores válidos). ⚠ Versão de AUTORRELATO ASSISTIDO, 13 itens, 10–15 minutos: o adulto lê cada frase em voz alta, verifica a compreensão da primeira e regista a resposta da criança. A diferenciação etária face à versão juvenil é LINGUÍSTICA, não uma exclusão por idade — a fiabilidade do autorrelato abaixo dos 10 anos foi resolvida por simplificação do enunciado e não por retirar o instrumento. Os 11 primeiros itens pontuam; a Secção S (2 itens finais) lê-se item a item, sem total. ⚠ Tolerância de omissão ZERO nos índices O e A, por terem apenas dois itens cada.</v>
      </c>
      <c r="J26" s="6" t="str">
        <f aca="false">IFERROR(INDEX(Catálogo!J$4:J$1000,MATCH($A$1&amp;"|"&amp;23,Índice!$A$4:$A$1000,0)),"")</f>
        <v>Fator I — Urgência somatossensorial: sensação corporal localizada (pressão, aperto, tensão, energia acumulada) que antecede o tique | Fator II — Urgência mental e incompletude: sensação de que algo não está bem ou ficou por terminar, com necessidade de repetir até à resolução | IUP — Índice de Urgência Premonitória: derivado dos dois fatores (média por item do conjunto); exige ambos válidos | Índice O — Ocorrência e deteção: reconhecimento antecipado da sensação; alvo do treino de consciência da urgência em HRT/CBIT | Índice A — Ciclo de reforço negativo: força da contingência urgência–tique–alívio; a partir de N3 configura reforço de intervalo variável curto, esquema particularmente resistente à extinção | IDF — Índice de Discrepância Fatorial e perfil fatorial (SOM predomínio somatossensorial · MEN predomínio mental/incompletude · CONC concordante); MEN aproxima o quadro dos fenómenos sensoriais do espetro obsessivo-compulsivo e recomenda avaliação complementar dirigida | Leitura conjugada IUP × Índice O: distingue urgência intensa e reconhecida (favorável ao treino de consciência) de urgência intensa com deteção limitada (treino de consciência como alvo prioritário antes da resposta competitiva) | Secção S — modulação e supressibilidade: administrada e lida ITEM A ITEM, sem total (supressão voluntária, absorção em atividade preferida, agravamento sob tensão ou cansaço, efeito da atenção interocetiva) | Secção Q — registo qualitativo (não pontuado): localização corporal da sensação, tique subjetivamente mais perturbador, o que agrava e o que alivia | Alertas de validade de resposta — AVR-1 deteção frequente sem intensidade correspondente · AVR-2 urgência intensa sem contingência de alívio · AVR-3 ausência de variação entre itens; o protocolo permanece válido em todos | Convergência entre fontes (CV-1 a CV-4) — leitura conjunta com a versão parental; CV-3, frequente abaixo dos 10 anos, não indica discordância entre informantes mas ausência de vocabulário somático para reportar</v>
      </c>
      <c r="K26" s="6" t="str">
        <f aca="false">IFERROR(INDEX(Catálogo!K$4:K$1000,MATCH($A$1&amp;"|"&amp;23,Índice!$A$4:$A$1000,0)),"")</f>
        <v>qupt_i</v>
      </c>
      <c r="L26" s="6" t="str">
        <f aca="false">IFERROR(INDEX(Catálogo!L$4:L$1000,MATCH($A$1&amp;"|"&amp;23,Índice!$A$4:$A$1000,0)),"")</f>
        <v>q_qupt_i</v>
      </c>
      <c r="M26" s="7" t="str">
        <f aca="false">IFERROR(INDEX(Catálogo!M$4:M$1000,MATCH($A$1&amp;"|"&amp;23,Índice!$A$4:$A$1000,0)),"")</f>
        <v>https://correiaricardina-ui.github.io/questionarios/QUPT_I_v1.html</v>
      </c>
    </row>
    <row r="27" customFormat="false" ht="42" hidden="false" customHeight="true" outlineLevel="0" collapsed="false">
      <c r="A27" s="5" t="n">
        <f aca="false">IFERROR(INDEX(Catálogo!A$4:A$1000,MATCH($A$1&amp;"|"&amp;24,Índice!$A$4:$A$1000,0)),"")</f>
        <v>201</v>
      </c>
      <c r="B27" s="6" t="str">
        <f aca="false">IFERROR(INDEX(Catálogo!B$4:B$1000,MATCH($A$1&amp;"|"&amp;24,Índice!$A$4:$A$1000,0)),"")</f>
        <v>QUP-T/P — Questionário de Urgência Premonitória ao Tique (versão parental)</v>
      </c>
      <c r="C27" s="6" t="str">
        <f aca="false">IFERROR(INDEX(Catálogo!C$4:C$1000,MATCH($A$1&amp;"|"&amp;24,Índice!$A$4:$A$1000,0)),"")</f>
        <v>Neurodesenvolvimento</v>
      </c>
      <c r="D27" s="6" t="str">
        <f aca="false">IFERROR(INDEX(Catálogo!D$4:D$1000,MATCH($A$1&amp;"|"&amp;24,Índice!$A$4:$A$1000,0)),"")</f>
        <v>Mãe | Pai | Enc. Educação</v>
      </c>
      <c r="E27" s="6" t="str">
        <f aca="false">IFERROR(INDEX(Catálogo!E$4:E$1000,MATCH($A$1&amp;"|"&amp;24,Índice!$A$4:$A$1000,0)),"")</f>
        <v>6–18 anos</v>
      </c>
      <c r="F27" s="5" t="n">
        <f aca="false">IFERROR(INDEX(Catálogo!F$4:F$1000,MATCH($A$1&amp;"|"&amp;24,Índice!$A$4:$A$1000,0)),"")</f>
        <v>6</v>
      </c>
      <c r="G27" s="5" t="n">
        <f aca="false">IFERROR(INDEX(Catálogo!G$4:G$1000,MATCH($A$1&amp;"|"&amp;24,Índice!$A$4:$A$1000,0)),"")</f>
        <v>18</v>
      </c>
      <c r="H27" s="5" t="n">
        <f aca="false">IFERROR(INDEX(Catálogo!H$4:H$1000,MATCH($A$1&amp;"|"&amp;24,Índice!$A$4:$A$1000,0)),"")</f>
        <v>5</v>
      </c>
      <c r="I27" s="6" t="str">
        <f aca="false">IFERROR(INDEX(Catálogo!I$4:I$1000,MATCH($A$1&amp;"|"&amp;24,Índice!$A$4:$A$1000,0)),"")</f>
        <v>Caracteriza a URGÊNCIA PREMONITÓRIA ao tique — a sensação ou experiência mental aversiva que antecede a execução do tique e se atenua depois dela. Instrumento de CONSTRUÇÃO ORIGINAL INSPIRADA, em português europeu, SEM equivalência formal ao PUTS (Woods, Piacentini, Himle e Chang, 2005) e sem reprodução dos seus itens: as pontuações NÃO são intermutáveis com pontuações PUTS publicadas. Referencial: modelo fenomenológico-descritivo (Leckman et al., 1993), aprendizagem operante por reforço negativo (Evers e van de Wetering, 1994; Capriotti et al., 2014) — que fundamenta o HRT (Azrin e Nunn, 1973) e o CBIT (Piacentini et al., 2010) —, modelo interocetivo-atencional (Ganos et al., 2015; Rae et al., 2019), substrato insular e da área motora suplementar (Bohlhalter et al., 2006) e continuum com os fenómenos sensoriais do espetro obsessivo-compulsivo (Miguel et al., 2000; Coles et al., 2003). Enquadramento nosológico das perturbações de tique: Tourette DSM-5-TR 307.23 (F95.2) · CID-11 8A05.00; tique motor ou vocal persistente DSM-5-TR 307.22 (F95.1) · CID-11 8A05.01 e 8A05.02; tique provisório DSM-5-TR 307.21 (F95.0) · CID-11 8A05.03. Métrica comum a todas as versões: MÉDIA POR ITEM (1,00–4,00), o que permite comparação entre versões e monitorização longitudinal na transição dos 10 para os 11 anos. Janela dos ÚLTIMOS 7 DIAS, coincidente com a da YGTSS, para emparelhamento temporal em protocolos de monitorização. Escala 1 Nada · 2 Pouco · 3 Bastante · 4 Totalmente, sem itens invertidos; item não respondido deixa-se em branco, nunca a zero. ⚠ AUSÊNCIA DE NORMAS PORTUGUESAS e de estudo psicométrico próprio: os níveis N1 (1,00–1,74) Ausente a mínima · N2 (1,75–2,49) Ligeira a moderada · N3 (2,50–3,24) Marcada · N4 (3,25–4,00) Muito marcada resultam de ANCORAGEM RACIONAL na métrica de resposta (divisão em quartos da amplitude), não de normas populacionais, e são por isso apresentados em paleta AZUL; o VERMELHO fica reservado aos alertas binários de validade de resposta (AVR-1/2/3). Utilização EXPLORATÓRIA, de caracterização e de monitorização INTRAINDIVIDUAL. ⚠ A urgência premonitória NÃO constitui critério diagnóstico no DSM-5-TR nem na CID-11 — o output é estritamente descritivo e não estabelece nem exclui qualquer diagnóstico. ⚠ A INTENSIDADE da urgência NÃO é indicador de compromisso funcional: só o Índice F da versão parental informa sobre repercussão. ⚠ Cada escala admite um número definido de omissões; dentro da tolerância a pontuação é PRORRATEADA, acima dela a escala é declarada NÃO VÁLIDA e não é interpretada (o IUP exige ambos os fatores válidos). ⚠ A versão parental NÃO MEDE urgência premonitória: a urgência é experiência interna e não observável por terceiros. Mede o RELATO COMUNICADO ao cuidador, os INDICADORES COMPORTAMENTAIS observáveis e a REPERCUSSÃO FUNCIONAL, em 16 itens. Não é somável com o autorrelato e não se calculam diferenças aritméticas entre as duas fontes. ⚠ «Não observei» é resposta LEGÍTIMA e útil, tratada como omissão e NUNCA como zero: substituí-la por uma estimativa degrada a validade do relato. ⚠ O Índice F é a ÚNICA fonte de dados sobre repercussão em todo o protocolo.</v>
      </c>
      <c r="J27" s="6" t="str">
        <f aca="false">IFERROR(INDEX(Catálogo!J$4:J$1000,MATCH($A$1&amp;"|"&amp;24,Índice!$A$4:$A$1000,0)),"")</f>
        <v>Índice R — Comunicação: em que medida a criança ou jovem verbaliza e sabe descrever ao cuidador as sensações que antecedem o tique | Índice C — Manifestação observável: indicadores comportamentais compatíveis com urgência premonitória — inquietação antecipatória, procura de pressão ou fricção, repetição até parecer satisfeito, movimentos preparatórios, alívio aparente, esforço de contenção | Índice F — Repercussão funcional: interferência dos tiques, ou do esforço de os conter, no funcionamento escolar, social e familiar; única fonte de dados sobre impacto em todo o protocolo | Contagem de respostas «Não observei» por índice — tratadas como omissão e nunca como zero; acima da tolerância (1 em 4 no Índice R, 2 em 6 nos Índices C e F) o índice é declarado não válido e não é interpretado | Convergência entre fontes (CV-1 a CV-4) — leitura conjunta com o autorrelato: com IUP ≥ N3 o discriminante é o Índice R; com IUP &lt; N3 é o Índice C</v>
      </c>
      <c r="K27" s="6" t="str">
        <f aca="false">IFERROR(INDEX(Catálogo!K$4:K$1000,MATCH($A$1&amp;"|"&amp;24,Índice!$A$4:$A$1000,0)),"")</f>
        <v>qupt_p</v>
      </c>
      <c r="L27" s="6" t="str">
        <f aca="false">IFERROR(INDEX(Catálogo!L$4:L$1000,MATCH($A$1&amp;"|"&amp;24,Índice!$A$4:$A$1000,0)),"")</f>
        <v>q_qupt_p</v>
      </c>
      <c r="M27" s="7" t="str">
        <f aca="false">IFERROR(INDEX(Catálogo!M$4:M$1000,MATCH($A$1&amp;"|"&amp;24,Índice!$A$4:$A$1000,0)),"")</f>
        <v>https://correiaricardina-ui.github.io/questionarios/QUPT_P_v1.html</v>
      </c>
    </row>
    <row r="28" customFormat="false" ht="42" hidden="false" customHeight="true" outlineLevel="0" collapsed="false">
      <c r="A28" s="5" t="n">
        <f aca="false">IFERROR(INDEX(Catálogo!A$4:A$1000,MATCH($A$1&amp;"|"&amp;25,Índice!$A$4:$A$1000,0)),"")</f>
        <v>203</v>
      </c>
      <c r="B28" s="6" t="str">
        <f aca="false">IFERROR(INDEX(Catálogo!B$4:B$1000,MATCH($A$1&amp;"|"&amp;25,Índice!$A$4:$A$1000,0)),"")</f>
        <v>YGTSS — Escala Global de Gravidade de Tiques de Yale</v>
      </c>
      <c r="C28" s="6" t="str">
        <f aca="false">IFERROR(INDEX(Catálogo!C$4:C$1000,MATCH($A$1&amp;"|"&amp;25,Índice!$A$4:$A$1000,0)),"")</f>
        <v>Neurodesenvolvimento</v>
      </c>
      <c r="D28" s="6" t="str">
        <f aca="false">IFERROR(INDEX(Catálogo!D$4:D$1000,MATCH($A$1&amp;"|"&amp;25,Índice!$A$4:$A$1000,0)),"")</f>
        <v>Mãe, Pai, Enc. Educação, Paciente</v>
      </c>
      <c r="E28" s="6" t="str">
        <f aca="false">IFERROR(INDEX(Catálogo!E$4:E$1000,MATCH($A$1&amp;"|"&amp;25,Índice!$A$4:$A$1000,0)),"")</f>
        <v>6–18 anos</v>
      </c>
      <c r="F28" s="5" t="n">
        <f aca="false">IFERROR(INDEX(Catálogo!F$4:F$1000,MATCH($A$1&amp;"|"&amp;25,Índice!$A$4:$A$1000,0)),"")</f>
        <v>6</v>
      </c>
      <c r="G28" s="5" t="n">
        <f aca="false">IFERROR(INDEX(Catálogo!G$4:G$1000,MATCH($A$1&amp;"|"&amp;25,Índice!$A$4:$A$1000,0)),"")</f>
        <v>18</v>
      </c>
      <c r="H28" s="5" t="n">
        <f aca="false">IFERROR(INDEX(Catálogo!H$4:H$1000,MATCH($A$1&amp;"|"&amp;25,Índice!$A$4:$A$1000,0)),"")</f>
        <v>7</v>
      </c>
      <c r="I28" s="6" t="str">
        <f aca="false">IFERROR(INDEX(Catálogo!I$4:I$1000,MATCH($A$1&amp;"|"&amp;25,Índice!$A$4:$A$1000,0)),"")</f>
        <v>Avalia a GRAVIDADE DOS TIQUES em duas etapas: inventário de 37 tiques (24 motores, 13 fónicos) com idade de início, e cotação de cinco dimensões (número, frequência, intensidade, complexidade, interferência) de 0 a 5, separadamente para tiques motores e fónicos, mais o comprometimento global (0–5, ×10). Total de Tiques 0–50, Índice de Comprometimento 0–50, Pontuação Global 0–100. Janela: últimos 7 dias, com coluna opcional «Pior fase». Preenchido pelos pais/cuidadores ou pelo próprio com apoio familiar; cotação final confirmada pelo/a psicólogo/a em entrevista semiestruturada. ⚠ Bandas HEURÍSTICAS (0–9 mínima · 10–24 ligeira · 25–49 moderada · 50–100 acentuada a grave), sem pontos de corte normativos nem normas portuguesas — apresentadas em paleta azul; vermelho reservado aos sinalizadores binários (coprolalia, copropraxia, autoagressão, ecolalia, palilalia). ⚠ Intensidade e Complexidade exigem julgamento externo: autorrelato não corroborado tende a subestimá-las. Rastreio e monitorização, não diagnóstico. Substitui operacionalmente a entrada TS-OC · Parte I (n.º 155).</v>
      </c>
      <c r="J28" s="6" t="str">
        <f aca="false">IFERROR(INDEX(Catálogo!J$4:J$1000,MATCH($A$1&amp;"|"&amp;25,Índice!$A$4:$A$1000,0)),"")</f>
        <v>Inventário de tiques (37 categorias, motoras e fónicas); Subtotal Motor (0–25); Subtotal Fónico (0–25); Total de Tiques (0–50); Índice de Comprometimento (0–50); Pontuação Global YGTSS (0–100); Predomínio motor–fónico e proporcionalidade comprometimento–tiques; Sinalizadores fenomenológicos binários</v>
      </c>
      <c r="K28" s="6" t="str">
        <f aca="false">IFERROR(INDEX(Catálogo!K$4:K$1000,MATCH($A$1&amp;"|"&amp;25,Índice!$A$4:$A$1000,0)),"")</f>
        <v>ygtss</v>
      </c>
      <c r="L28" s="6" t="str">
        <f aca="false">IFERROR(INDEX(Catálogo!L$4:L$1000,MATCH($A$1&amp;"|"&amp;25,Índice!$A$4:$A$1000,0)),"")</f>
        <v>q_ygtss</v>
      </c>
      <c r="M28" s="7" t="str">
        <f aca="false">IFERROR(INDEX(Catálogo!M$4:M$1000,MATCH($A$1&amp;"|"&amp;25,Índice!$A$4:$A$1000,0)),"")</f>
        <v>https://correiaricardina-ui.github.io/questionarios/YGTSS_v1.html</v>
      </c>
    </row>
    <row r="29" customFormat="false" ht="42" hidden="false" customHeight="true" outlineLevel="0" collapsed="false">
      <c r="A29" s="5" t="n">
        <f aca="false">IFERROR(INDEX(Catálogo!A$4:A$1000,MATCH($A$1&amp;"|"&amp;26,Índice!$A$4:$A$1000,0)),"")</f>
        <v>205</v>
      </c>
      <c r="B29" s="6" t="str">
        <f aca="false">IFERROR(INDEX(Catálogo!B$4:B$1000,MATCH($A$1&amp;"|"&amp;26,Índice!$A$4:$A$1000,0)),"")</f>
        <v>Síntese TS-OC — Leitura cruzada YGTSS × CY-BOCS</v>
      </c>
      <c r="C29" s="6" t="str">
        <f aca="false">IFERROR(INDEX(Catálogo!C$4:C$1000,MATCH($A$1&amp;"|"&amp;26,Índice!$A$4:$A$1000,0)),"")</f>
        <v>Neurodesenvolvimento</v>
      </c>
      <c r="D29" s="6" t="str">
        <f aca="false">IFERROR(INDEX(Catálogo!D$4:D$1000,MATCH($A$1&amp;"|"&amp;26,Índice!$A$4:$A$1000,0)),"")</f>
        <v>Psicóloga (ferramenta clínica — não atribuir a famílias)</v>
      </c>
      <c r="E29" s="6" t="str">
        <f aca="false">IFERROR(INDEX(Catálogo!E$4:E$1000,MATCH($A$1&amp;"|"&amp;26,Índice!$A$4:$A$1000,0)),"")</f>
        <v>6–18 anos</v>
      </c>
      <c r="F29" s="5" t="n">
        <f aca="false">IFERROR(INDEX(Catálogo!F$4:F$1000,MATCH($A$1&amp;"|"&amp;26,Índice!$A$4:$A$1000,0)),"")</f>
        <v>6</v>
      </c>
      <c r="G29" s="5" t="n">
        <f aca="false">IFERROR(INDEX(Catálogo!G$4:G$1000,MATCH($A$1&amp;"|"&amp;26,Índice!$A$4:$A$1000,0)),"")</f>
        <v>18</v>
      </c>
      <c r="H29" s="5" t="n">
        <f aca="false">IFERROR(INDEX(Catálogo!H$4:H$1000,MATCH($A$1&amp;"|"&amp;26,Índice!$A$4:$A$1000,0)),"")</f>
        <v>6</v>
      </c>
      <c r="I29" s="6" t="str">
        <f aca="false">IFERROR(INDEX(Catálogo!I$4:I$1000,MATCH($A$1&amp;"|"&amp;26,Índice!$A$4:$A$1000,0)),"")</f>
        <v>FERRAMENTA CLÍNICA DE LEITURA, não questionário: não recolhe respostas nem escreve no Sheet, pelo que não tem aba nem syncKey operacional. Lê as abas YGTSS e CYBOCS, agrega por código de paciente e produz a leitura conjunta sobre a avaliação mais recente de cada instrumento. Regra da leitura combinada: comprometimento desproporcionadamente elevado no YGTSS (diferença ≥ 20 na escala 0–50) com total CY-BOCS ≥ 16 → sintomatologia obsessivo-compulsiva sinalizada como HIPÓTESE CONTRIBUTIVA para o impacto funcional, a confirmar em entrevista e nunca como conclusão; desproporção sem expressão OC saliente → remete para outros fatores (ansiedade, PHDA, acomodação familiar, resposta do meio escolar). Produz ainda o diferencial fenomenológico tique complexo × compulsão, a leitura da lentificação e as trajetórias de cada instrumento com deteção de RESPOSTA DISSOCIADA. ⚠ Cruza sempre a avaliação mais recente de cada escala: acima de 90 dias de intervalo apresenta reserva metodológica. ⚠ Acesso restrito por palavra-passe.</v>
      </c>
      <c r="J29" s="6" t="str">
        <f aca="false">IFERROR(INDEX(Catálogo!J$4:J$1000,MATCH($A$1&amp;"|"&amp;26,Índice!$A$4:$A$1000,0)),"")</f>
        <v>Leitura combinada YGTSS × CY-BOCS (hipótese OC contributiva · explorar outros fatores · quadro misto · expressão OC não saliente); Diferencial fenomenológico tique complexo × compulsão; Trajetória por instrumento (critério de resposta ≥ 35%); Resposta dissociada entre dimensões; Condicionantes da intervenção (crítica pobre, evitamento elevado); Reserva metodológica por distância temporal (&gt; 90 dias)</v>
      </c>
      <c r="K29" s="6" t="str">
        <f aca="false">IFERROR(INDEX(Catálogo!K$4:K$1000,MATCH($A$1&amp;"|"&amp;26,Índice!$A$4:$A$1000,0)),"")</f>
        <v>—</v>
      </c>
      <c r="L29" s="6" t="str">
        <f aca="false">IFERROR(INDEX(Catálogo!L$4:L$1000,MATCH($A$1&amp;"|"&amp;26,Índice!$A$4:$A$1000,0)),"")</f>
        <v>q_tsoc_sintese</v>
      </c>
      <c r="M29" s="7" t="str">
        <f aca="false">IFERROR(INDEX(Catálogo!M$4:M$1000,MATCH($A$1&amp;"|"&amp;26,Índice!$A$4:$A$1000,0)),"")</f>
        <v>https://correiaricardina-ui.github.io/questionarios/TSOC_Sintese_v1.html</v>
      </c>
    </row>
    <row r="30" customFormat="false" ht="42" hidden="false" customHeight="true" outlineLevel="0" collapsed="false">
      <c r="A30" s="5" t="n">
        <f aca="false">IFERROR(INDEX(Catálogo!A$4:A$1000,MATCH($A$1&amp;"|"&amp;27,Índice!$A$4:$A$1000,0)),"")</f>
        <v>206</v>
      </c>
      <c r="B30" s="6" t="str">
        <f aca="false">IFERROR(INDEX(Catálogo!B$4:B$1000,MATCH($A$1&amp;"|"&amp;27,Índice!$A$4:$A$1000,0)),"")</f>
        <v>QPTMV — Questionário Parental de Tiques Motores e Vocais</v>
      </c>
      <c r="C30" s="6" t="str">
        <f aca="false">IFERROR(INDEX(Catálogo!C$4:C$1000,MATCH($A$1&amp;"|"&amp;27,Índice!$A$4:$A$1000,0)),"")</f>
        <v>Neurodesenvolvimento</v>
      </c>
      <c r="D30" s="6" t="str">
        <f aca="false">IFERROR(INDEX(Catálogo!D$4:D$1000,MATCH($A$1&amp;"|"&amp;27,Índice!$A$4:$A$1000,0)),"")</f>
        <v>Mãe, Pai, Enc. Educação</v>
      </c>
      <c r="E30" s="6" t="str">
        <f aca="false">IFERROR(INDEX(Catálogo!E$4:E$1000,MATCH($A$1&amp;"|"&amp;27,Índice!$A$4:$A$1000,0)),"")</f>
        <v>6–17 anos</v>
      </c>
      <c r="F30" s="5" t="n">
        <f aca="false">IFERROR(INDEX(Catálogo!F$4:F$1000,MATCH($A$1&amp;"|"&amp;27,Índice!$A$4:$A$1000,0)),"")</f>
        <v>6</v>
      </c>
      <c r="G30" s="5" t="n">
        <f aca="false">IFERROR(INDEX(Catálogo!G$4:G$1000,MATCH($A$1&amp;"|"&amp;27,Índice!$A$4:$A$1000,0)),"")</f>
        <v>17</v>
      </c>
      <c r="H30" s="5" t="n">
        <f aca="false">IFERROR(INDEX(Catálogo!H$4:H$1000,MATCH($A$1&amp;"|"&amp;27,Índice!$A$4:$A$1000,0)),"")</f>
        <v>9</v>
      </c>
      <c r="I30" s="6" t="str">
        <f aca="false">IFERROR(INDEX(Catálogo!I$4:I$1000,MATCH($A$1&amp;"|"&amp;27,Índice!$A$4:$A$1000,0)),"")</f>
        <v>Sistematiza o REPERTÓRIO DE TIQUES motores e vocais observado pelo cuidador coabitante nos ÚLTIMOS SETE DIAS e monitoriza a variação INTRAINDIVIDUAL ao longo do acompanhamento. Instrumento ORIGINAL de construção de raiz (Via B): não é versão, tradução nem adaptação autorizada de qualquer instrumento existente. Referencial arquitetónico: Chang, Himle, Tucker, Woods &amp; Piacentini (2009); referencial teórico: Leckman et al. (1989), Storch et al. (2007) e Kircanski et al. (2010). 28 itens com dupla codificação — presença (Sim/Não) e, quando presente, frequência (1 semanalmente a 4 constantemente) e intensidade (1 ligeiro a 4 muito acentuado); regra de calibragem: comportamento notado por outras pessoas cota-se na intensidade com 2 no mínimo. SEM estudo psicométrico, SEM normas e SEM pontos de corte: é proibida a leitura em termos de «ligeiro», «moderado» ou «grave», pelo que toda a saída é apresentada em paleta azul, sem codificação de gravidade por cores. NÃO é diagnóstico e NÃO substitui instrumentos validados — para a gravidade de tiques a YGTSS (Leckman et al., 1989) mantém-se a referência. Mede quantidade e magnitude fenomenológica do tique, não repercussão funcional. A gravidade é função conjunta do número de topografias e da magnitude de cada uma (G = N × (F+I)), pelo que nenhuma variação pode ser lida sem a decomposição ΔN × Δ(F+I). A comparação longitudinal exige o MESMO informante; o curso natural do tique, em agravamento e atenuação espontâneos, impede atribuir a variação entre dois momentos a efeito de intervenção, e a leitura de tendência exige três ou mais momentos. Um aumento do número de topografias pode refletir melhoria da deteção parental após treino de consciencialização e não agravamento clínico.</v>
      </c>
      <c r="J30" s="6" t="str">
        <f aca="false">IFERROR(INDEX(Catálogo!J$4:J$1000,MATCH($A$1&amp;"|"&amp;27,Índice!$A$4:$A$1000,0)),"")</f>
        <v>Escala motora (M1 a M14): 14 topografias, incluindo ecopraxia, copropraxia, item aberto e sequências encadeadas; Escala vocal (V1 a V14): 14 topografias, incluindo ecolalia, palilalia, coprolalia, bloqueio da fala, item aberto e sequências encadeadas; Número (N): motor 0–14, vocal 0–14, total 0–28; Frequência (F) e Intensidade (I): médias das topografias assinaladas, 0–4, por escala e total; Gravidade (G): motor 0–112, vocal 0–112, total 0–224 (ao nível do item, 0 ou 2 a 8); Perfil de distribuição modal e dominância relativa R = G_M/(G_M+G_V); Extensão × magnitude por escala e dissociação frequência–intensidade por escala e total; Topografias de saliência social elevada (ecopraxia, copropraxia, ecolalia, palilalia, coprolalia) e itens abertos (M13, V13) com especificação; Leitura longitudinal com o mesmo informante: variação face à referência e sequencial, decomposição ΔN × Δ(F+I), tendência sustentada e sinalização exploratória declarada</v>
      </c>
      <c r="K30" s="6" t="str">
        <f aca="false">IFERROR(INDEX(Catálogo!K$4:K$1000,MATCH($A$1&amp;"|"&amp;27,Índice!$A$4:$A$1000,0)),"")</f>
        <v>qptmv</v>
      </c>
      <c r="L30" s="6" t="str">
        <f aca="false">IFERROR(INDEX(Catálogo!L$4:L$1000,MATCH($A$1&amp;"|"&amp;27,Índice!$A$4:$A$1000,0)),"")</f>
        <v>q_qptmv</v>
      </c>
      <c r="M30" s="7" t="str">
        <f aca="false">IFERROR(INDEX(Catálogo!M$4:M$1000,MATCH($A$1&amp;"|"&amp;27,Índice!$A$4:$A$1000,0)),"")</f>
        <v>https://correiaricardina-ui.github.io/questionarios/QPTMV_v1.html</v>
      </c>
    </row>
    <row r="31" customFormat="false" ht="42" hidden="false" customHeight="true" outlineLevel="0" collapsed="false">
      <c r="A31" s="5" t="str">
        <f aca="false">IFERROR(INDEX(Catálogo!A$4:A$1000,MATCH($A$1&amp;"|"&amp;28,Índice!$A$4:$A$1000,0)),"")</f>
        <v/>
      </c>
      <c r="B31" s="6" t="str">
        <f aca="false">IFERROR(INDEX(Catálogo!B$4:B$1000,MATCH($A$1&amp;"|"&amp;28,Índice!$A$4:$A$1000,0)),"")</f>
        <v/>
      </c>
      <c r="C31" s="6" t="str">
        <f aca="false">IFERROR(INDEX(Catálogo!C$4:C$1000,MATCH($A$1&amp;"|"&amp;28,Índice!$A$4:$A$1000,0)),"")</f>
        <v/>
      </c>
      <c r="D31" s="6" t="str">
        <f aca="false">IFERROR(INDEX(Catálogo!D$4:D$1000,MATCH($A$1&amp;"|"&amp;28,Índice!$A$4:$A$1000,0)),"")</f>
        <v/>
      </c>
      <c r="E31" s="6" t="str">
        <f aca="false">IFERROR(INDEX(Catálogo!E$4:E$1000,MATCH($A$1&amp;"|"&amp;28,Índice!$A$4:$A$1000,0)),"")</f>
        <v/>
      </c>
      <c r="F31" s="5" t="str">
        <f aca="false">IFERROR(INDEX(Catálogo!F$4:F$1000,MATCH($A$1&amp;"|"&amp;28,Índice!$A$4:$A$1000,0)),"")</f>
        <v/>
      </c>
      <c r="G31" s="5" t="str">
        <f aca="false">IFERROR(INDEX(Catálogo!G$4:G$1000,MATCH($A$1&amp;"|"&amp;28,Índice!$A$4:$A$1000,0)),"")</f>
        <v/>
      </c>
      <c r="H31" s="5" t="str">
        <f aca="false">IFERROR(INDEX(Catálogo!H$4:H$1000,MATCH($A$1&amp;"|"&amp;28,Índice!$A$4:$A$1000,0)),"")</f>
        <v/>
      </c>
      <c r="I31" s="6" t="str">
        <f aca="false">IFERROR(INDEX(Catálogo!I$4:I$1000,MATCH($A$1&amp;"|"&amp;28,Índice!$A$4:$A$1000,0)),"")</f>
        <v/>
      </c>
      <c r="J31" s="6" t="str">
        <f aca="false">IFERROR(INDEX(Catálogo!J$4:J$1000,MATCH($A$1&amp;"|"&amp;28,Índice!$A$4:$A$1000,0)),"")</f>
        <v/>
      </c>
      <c r="K31" s="6" t="str">
        <f aca="false">IFERROR(INDEX(Catálogo!K$4:K$1000,MATCH($A$1&amp;"|"&amp;28,Índice!$A$4:$A$1000,0)),"")</f>
        <v/>
      </c>
      <c r="L31" s="6" t="str">
        <f aca="false">IFERROR(INDEX(Catálogo!L$4:L$1000,MATCH($A$1&amp;"|"&amp;28,Índice!$A$4:$A$1000,0)),"")</f>
        <v/>
      </c>
      <c r="M31" s="7" t="str">
        <f aca="false">IFERROR(INDEX(Catálogo!M$4:M$1000,MATCH($A$1&amp;"|"&amp;28,Índice!$A$4:$A$1000,0)),"")</f>
        <v/>
      </c>
    </row>
    <row r="32" customFormat="false" ht="42" hidden="false" customHeight="true" outlineLevel="0" collapsed="false">
      <c r="A32" s="5" t="str">
        <f aca="false">IFERROR(INDEX(Catálogo!A$4:A$1000,MATCH($A$1&amp;"|"&amp;29,Índice!$A$4:$A$1000,0)),"")</f>
        <v/>
      </c>
      <c r="B32" s="6" t="str">
        <f aca="false">IFERROR(INDEX(Catálogo!B$4:B$1000,MATCH($A$1&amp;"|"&amp;29,Índice!$A$4:$A$1000,0)),"")</f>
        <v/>
      </c>
      <c r="C32" s="6" t="str">
        <f aca="false">IFERROR(INDEX(Catálogo!C$4:C$1000,MATCH($A$1&amp;"|"&amp;29,Índice!$A$4:$A$1000,0)),"")</f>
        <v/>
      </c>
      <c r="D32" s="6" t="str">
        <f aca="false">IFERROR(INDEX(Catálogo!D$4:D$1000,MATCH($A$1&amp;"|"&amp;29,Índice!$A$4:$A$1000,0)),"")</f>
        <v/>
      </c>
      <c r="E32" s="6" t="str">
        <f aca="false">IFERROR(INDEX(Catálogo!E$4:E$1000,MATCH($A$1&amp;"|"&amp;29,Índice!$A$4:$A$1000,0)),"")</f>
        <v/>
      </c>
      <c r="F32" s="5" t="str">
        <f aca="false">IFERROR(INDEX(Catálogo!F$4:F$1000,MATCH($A$1&amp;"|"&amp;29,Índice!$A$4:$A$1000,0)),"")</f>
        <v/>
      </c>
      <c r="G32" s="5" t="str">
        <f aca="false">IFERROR(INDEX(Catálogo!G$4:G$1000,MATCH($A$1&amp;"|"&amp;29,Índice!$A$4:$A$1000,0)),"")</f>
        <v/>
      </c>
      <c r="H32" s="5" t="str">
        <f aca="false">IFERROR(INDEX(Catálogo!H$4:H$1000,MATCH($A$1&amp;"|"&amp;29,Índice!$A$4:$A$1000,0)),"")</f>
        <v/>
      </c>
      <c r="I32" s="6" t="str">
        <f aca="false">IFERROR(INDEX(Catálogo!I$4:I$1000,MATCH($A$1&amp;"|"&amp;29,Índice!$A$4:$A$1000,0)),"")</f>
        <v/>
      </c>
      <c r="J32" s="6" t="str">
        <f aca="false">IFERROR(INDEX(Catálogo!J$4:J$1000,MATCH($A$1&amp;"|"&amp;29,Índice!$A$4:$A$1000,0)),"")</f>
        <v/>
      </c>
      <c r="K32" s="6" t="str">
        <f aca="false">IFERROR(INDEX(Catálogo!K$4:K$1000,MATCH($A$1&amp;"|"&amp;29,Índice!$A$4:$A$1000,0)),"")</f>
        <v/>
      </c>
      <c r="L32" s="6" t="str">
        <f aca="false">IFERROR(INDEX(Catálogo!L$4:L$1000,MATCH($A$1&amp;"|"&amp;29,Índice!$A$4:$A$1000,0)),"")</f>
        <v/>
      </c>
      <c r="M32" s="7" t="str">
        <f aca="false">IFERROR(INDEX(Catálogo!M$4:M$1000,MATCH($A$1&amp;"|"&amp;29,Índice!$A$4:$A$1000,0)),"")</f>
        <v/>
      </c>
    </row>
  </sheetData>
  <autoFilter ref="A3:M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131</v>
      </c>
      <c r="I1" s="17" t="str">
        <f aca="false">COUNTIF(Catálogo!$C$4:$C$1000,$A$1)&amp;IF(COUNTIF(Catálogo!$C$4:$C$1000,$A$1)=1," instrumento nesta área"," instrumentos nesta área")</f>
        <v>21 instrumentos nesta área</v>
      </c>
    </row>
    <row r="2" customFormat="false" ht="15" hidden="false" customHeight="true" outlineLevel="0" collapsed="false">
      <c r="A2" s="18" t="s">
        <v>1488</v>
      </c>
      <c r="I2" s="19" t="str">
        <f aca="false">IF(COUNTIF(Catálogo!$C$4:$C$1000,$A$1)&gt;26,"⚠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17</v>
      </c>
      <c r="B4" s="6" t="str">
        <f aca="false">IFERROR(INDEX(Catálogo!B$4:B$1000,MATCH($A$1&amp;"|"&amp;1,Índice!$A$4:$A$1000,0)),"")</f>
        <v>BRIEF — Auto-questionário</v>
      </c>
      <c r="C4" s="6" t="str">
        <f aca="false">IFERROR(INDEX(Catálogo!C$4:C$1000,MATCH($A$1&amp;"|"&amp;1,Índice!$A$4:$A$1000,0)),"")</f>
        <v>Atenção, PHDA &amp; Funções Executivas</v>
      </c>
      <c r="D4" s="6" t="str">
        <f aca="false">IFERROR(INDEX(Catálogo!D$4:D$1000,MATCH($A$1&amp;"|"&amp;1,Índice!$A$4:$A$1000,0)),"")</f>
        <v>Paciente</v>
      </c>
      <c r="E4" s="6" t="str">
        <f aca="false">IFERROR(INDEX(Catálogo!E$4:E$1000,MATCH($A$1&amp;"|"&amp;1,Índice!$A$4:$A$1000,0)),"")</f>
        <v>11–18 anos</v>
      </c>
      <c r="F4" s="5" t="n">
        <f aca="false">IFERROR(INDEX(Catálogo!F$4:F$1000,MATCH($A$1&amp;"|"&amp;1,Índice!$A$4:$A$1000,0)),"")</f>
        <v>11</v>
      </c>
      <c r="G4" s="5" t="n">
        <f aca="false">IFERROR(INDEX(Catálogo!G$4:G$1000,MATCH($A$1&amp;"|"&amp;1,Índice!$A$4:$A$1000,0)),"")</f>
        <v>17.9</v>
      </c>
      <c r="H4" s="5" t="n">
        <f aca="false">IFERROR(INDEX(Catálogo!H$4:H$1000,MATCH($A$1&amp;"|"&amp;1,Índice!$A$4:$A$1000,0)),"")</f>
        <v>11</v>
      </c>
      <c r="I4" s="6" t="str">
        <f aca="false">IFERROR(INDEX(Catálogo!I$4:I$1000,MATCH($A$1&amp;"|"&amp;1,Índice!$A$4:$A$1000,0)),"")</f>
        <v>Avalia funções executivas — versão auto-relato para adolescentes</v>
      </c>
      <c r="J4" s="6" t="str">
        <f aca="false">IFERROR(INDEX(Catálogo!J$4:J$1000,MATCH($A$1&amp;"|"&amp;1,Índice!$A$4:$A$1000,0)),"")</f>
        <v>Inibição (INHIB); Flexibilidade/Mudança (SHIFT); Controlo Emocional (EC); Monitorização (MON); Memória de Trabalho (WM); Planeamento/Organização (PO); Organização de Materiais (OM); Conclusão de Tarefas (TC); Índice de Regulação Comportamental (IRC); Índice de Metacognição (IM); Índice Global de Funções Executivas (GEF)</v>
      </c>
      <c r="K4" s="6" t="str">
        <f aca="false">IFERROR(INDEX(Catálogo!K$4:K$1000,MATCH($A$1&amp;"|"&amp;1,Índice!$A$4:$A$1000,0)),"")</f>
        <v>brief_auto</v>
      </c>
      <c r="L4" s="6" t="str">
        <f aca="false">IFERROR(INDEX(Catálogo!L$4:L$1000,MATCH($A$1&amp;"|"&amp;1,Índice!$A$4:$A$1000,0)),"")</f>
        <v>q_brief_auto</v>
      </c>
      <c r="M4" s="7" t="str">
        <f aca="false">IFERROR(INDEX(Catálogo!M$4:M$1000,MATCH($A$1&amp;"|"&amp;1,Índice!$A$4:$A$1000,0)),"")</f>
        <v>https://correiaricardina-ui.github.io/questionarios/BRIEF_Autoavaliacao_v2.html</v>
      </c>
    </row>
    <row r="5" customFormat="false" ht="42" hidden="false" customHeight="true" outlineLevel="0" collapsed="false">
      <c r="A5" s="5" t="n">
        <f aca="false">IFERROR(INDEX(Catálogo!A$4:A$1000,MATCH($A$1&amp;"|"&amp;2,Índice!$A$4:$A$1000,0)),"")</f>
        <v>18</v>
      </c>
      <c r="B5" s="6" t="str">
        <f aca="false">IFERROR(INDEX(Catálogo!B$4:B$1000,MATCH($A$1&amp;"|"&amp;2,Índice!$A$4:$A$1000,0)),"")</f>
        <v>BRIEF — Pais</v>
      </c>
      <c r="C5" s="6" t="str">
        <f aca="false">IFERROR(INDEX(Catálogo!C$4:C$1000,MATCH($A$1&amp;"|"&amp;2,Índice!$A$4:$A$1000,0)),"")</f>
        <v>Atenção, PHDA &amp; Funções Executivas</v>
      </c>
      <c r="D5" s="6" t="str">
        <f aca="false">IFERROR(INDEX(Catálogo!D$4:D$1000,MATCH($A$1&amp;"|"&amp;2,Índice!$A$4:$A$1000,0)),"")</f>
        <v>Mãe, Pai, Enc. Educação</v>
      </c>
      <c r="E5" s="6" t="str">
        <f aca="false">IFERROR(INDEX(Catálogo!E$4:E$1000,MATCH($A$1&amp;"|"&amp;2,Índice!$A$4:$A$1000,0)),"")</f>
        <v>5–18 anos</v>
      </c>
      <c r="F5" s="5" t="n">
        <f aca="false">IFERROR(INDEX(Catálogo!F$4:F$1000,MATCH($A$1&amp;"|"&amp;2,Índice!$A$4:$A$1000,0)),"")</f>
        <v>5</v>
      </c>
      <c r="G5" s="5" t="n">
        <f aca="false">IFERROR(INDEX(Catálogo!G$4:G$1000,MATCH($A$1&amp;"|"&amp;2,Índice!$A$4:$A$1000,0)),"")</f>
        <v>17.9</v>
      </c>
      <c r="H5" s="5" t="n">
        <f aca="false">IFERROR(INDEX(Catálogo!H$4:H$1000,MATCH($A$1&amp;"|"&amp;2,Índice!$A$4:$A$1000,0)),"")</f>
        <v>9</v>
      </c>
      <c r="I5" s="6" t="str">
        <f aca="false">IFERROR(INDEX(Catálogo!I$4:I$1000,MATCH($A$1&amp;"|"&amp;2,Índice!$A$4:$A$1000,0)),"")</f>
        <v>Avalia funções executivas em casa — versão pais/cuidadores</v>
      </c>
      <c r="J5" s="6" t="str">
        <f aca="false">IFERROR(INDEX(Catálogo!J$4:J$1000,MATCH($A$1&amp;"|"&amp;2,Índice!$A$4:$A$1000,0)),"")</f>
        <v>Inibição (INHIB); Flexibilidade/Mudança (SHIFT); Controlo Emocional (ECON); Memória de Trabalho (WM); Planeamento/Organização (PO); Índice de Autorregulação Comportamental (ISCI); Índice de Flexibilidade (FI); Índice de Metacognição Emergente (EMI); Índice Global de Funções Executivas (GEF)</v>
      </c>
      <c r="K5" s="6" t="str">
        <f aca="false">IFERROR(INDEX(Catálogo!K$4:K$1000,MATCH($A$1&amp;"|"&amp;2,Índice!$A$4:$A$1000,0)),"")</f>
        <v>brief_pais</v>
      </c>
      <c r="L5" s="6" t="str">
        <f aca="false">IFERROR(INDEX(Catálogo!L$4:L$1000,MATCH($A$1&amp;"|"&amp;2,Índice!$A$4:$A$1000,0)),"")</f>
        <v>q_brief_pais</v>
      </c>
      <c r="M5" s="7" t="str">
        <f aca="false">IFERROR(INDEX(Catálogo!M$4:M$1000,MATCH($A$1&amp;"|"&amp;2,Índice!$A$4:$A$1000,0)),"")</f>
        <v>https://correiaricardina-ui.github.io/questionarios/BRIEF_Pais_v5.html</v>
      </c>
    </row>
    <row r="6" customFormat="false" ht="42" hidden="false" customHeight="true" outlineLevel="0" collapsed="false">
      <c r="A6" s="5" t="n">
        <f aca="false">IFERROR(INDEX(Catálogo!A$4:A$1000,MATCH($A$1&amp;"|"&amp;3,Índice!$A$4:$A$1000,0)),"")</f>
        <v>19</v>
      </c>
      <c r="B6" s="6" t="str">
        <f aca="false">IFERROR(INDEX(Catálogo!B$4:B$1000,MATCH($A$1&amp;"|"&amp;3,Índice!$A$4:$A$1000,0)),"")</f>
        <v>BRIEF — Professores</v>
      </c>
      <c r="C6" s="6" t="str">
        <f aca="false">IFERROR(INDEX(Catálogo!C$4:C$1000,MATCH($A$1&amp;"|"&amp;3,Índice!$A$4:$A$1000,0)),"")</f>
        <v>Atenção, PHDA &amp; Funções Executivas</v>
      </c>
      <c r="D6" s="6" t="str">
        <f aca="false">IFERROR(INDEX(Catálogo!D$4:D$1000,MATCH($A$1&amp;"|"&amp;3,Índice!$A$4:$A$1000,0)),"")</f>
        <v>Professor(a)</v>
      </c>
      <c r="E6" s="6" t="str">
        <f aca="false">IFERROR(INDEX(Catálogo!E$4:E$1000,MATCH($A$1&amp;"|"&amp;3,Índice!$A$4:$A$1000,0)),"")</f>
        <v>5–18 anos</v>
      </c>
      <c r="F6" s="5" t="n">
        <f aca="false">IFERROR(INDEX(Catálogo!F$4:F$1000,MATCH($A$1&amp;"|"&amp;3,Índice!$A$4:$A$1000,0)),"")</f>
        <v>5</v>
      </c>
      <c r="G6" s="5" t="n">
        <f aca="false">IFERROR(INDEX(Catálogo!G$4:G$1000,MATCH($A$1&amp;"|"&amp;3,Índice!$A$4:$A$1000,0)),"")</f>
        <v>17.9</v>
      </c>
      <c r="H6" s="5" t="n">
        <f aca="false">IFERROR(INDEX(Catálogo!H$4:H$1000,MATCH($A$1&amp;"|"&amp;3,Índice!$A$4:$A$1000,0)),"")</f>
        <v>9</v>
      </c>
      <c r="I6" s="6" t="str">
        <f aca="false">IFERROR(INDEX(Catálogo!I$4:I$1000,MATCH($A$1&amp;"|"&amp;3,Índice!$A$4:$A$1000,0)),"")</f>
        <v>Avalia funções executivas em contexto escolar — versão professor</v>
      </c>
      <c r="J6" s="6" t="str">
        <f aca="false">IFERROR(INDEX(Catálogo!J$4:J$1000,MATCH($A$1&amp;"|"&amp;3,Índice!$A$4:$A$1000,0)),"")</f>
        <v>Inibição (INHIB); Flexibilidade/Mudança (SHIFT); Controlo Emocional (ECON); Memória de Trabalho (WM); Planeamento/Organização (PO); Índice de Autorregulação Comportamental (ISCI); Índice de Flexibilidade (FI); Índice de Metacognição Emergente (EMI); Índice Global de Funções Executivas (GEF)</v>
      </c>
      <c r="K6" s="6" t="str">
        <f aca="false">IFERROR(INDEX(Catálogo!K$4:K$1000,MATCH($A$1&amp;"|"&amp;3,Índice!$A$4:$A$1000,0)),"")</f>
        <v>brief_professores</v>
      </c>
      <c r="L6" s="6" t="str">
        <f aca="false">IFERROR(INDEX(Catálogo!L$4:L$1000,MATCH($A$1&amp;"|"&amp;3,Índice!$A$4:$A$1000,0)),"")</f>
        <v>q_brief_prof</v>
      </c>
      <c r="M6" s="7" t="str">
        <f aca="false">IFERROR(INDEX(Catálogo!M$4:M$1000,MATCH($A$1&amp;"|"&amp;3,Índice!$A$4:$A$1000,0)),"")</f>
        <v>https://correiaricardina-ui.github.io/questionarios/BRIEF_Professores_v3.html</v>
      </c>
    </row>
    <row r="7" customFormat="false" ht="42" hidden="false" customHeight="true" outlineLevel="0" collapsed="false">
      <c r="A7" s="5" t="n">
        <f aca="false">IFERROR(INDEX(Catálogo!A$4:A$1000,MATCH($A$1&amp;"|"&amp;4,Índice!$A$4:$A$1000,0)),"")</f>
        <v>20</v>
      </c>
      <c r="B7" s="6" t="str">
        <f aca="false">IFERROR(INDEX(Catálogo!B$4:B$1000,MATCH($A$1&amp;"|"&amp;4,Índice!$A$4:$A$1000,0)),"")</f>
        <v>BRIEF Pré-Escolar — Pais</v>
      </c>
      <c r="C7" s="6" t="str">
        <f aca="false">IFERROR(INDEX(Catálogo!C$4:C$1000,MATCH($A$1&amp;"|"&amp;4,Índice!$A$4:$A$1000,0)),"")</f>
        <v>Atenção, PHDA &amp; Funções Executivas</v>
      </c>
      <c r="D7" s="6" t="str">
        <f aca="false">IFERROR(INDEX(Catálogo!D$4:D$1000,MATCH($A$1&amp;"|"&amp;4,Índice!$A$4:$A$1000,0)),"")</f>
        <v>Mãe, Pai, Enc. Educação</v>
      </c>
      <c r="E7" s="6" t="str">
        <f aca="false">IFERROR(INDEX(Catálogo!E$4:E$1000,MATCH($A$1&amp;"|"&amp;4,Índice!$A$4:$A$1000,0)),"")</f>
        <v>2–5 anos</v>
      </c>
      <c r="F7" s="5" t="n">
        <f aca="false">IFERROR(INDEX(Catálogo!F$4:F$1000,MATCH($A$1&amp;"|"&amp;4,Índice!$A$4:$A$1000,0)),"")</f>
        <v>2</v>
      </c>
      <c r="G7" s="5" t="n">
        <f aca="false">IFERROR(INDEX(Catálogo!G$4:G$1000,MATCH($A$1&amp;"|"&amp;4,Índice!$A$4:$A$1000,0)),"")</f>
        <v>5.9</v>
      </c>
      <c r="H7" s="5" t="n">
        <f aca="false">IFERROR(INDEX(Catálogo!H$4:H$1000,MATCH($A$1&amp;"|"&amp;4,Índice!$A$4:$A$1000,0)),"")</f>
        <v>9</v>
      </c>
      <c r="I7" s="6" t="str">
        <f aca="false">IFERROR(INDEX(Catálogo!I$4:I$1000,MATCH($A$1&amp;"|"&amp;4,Índice!$A$4:$A$1000,0)),"")</f>
        <v>Avalia funções executivas em contexto pré-escolar — versão pais</v>
      </c>
      <c r="J7" s="6" t="str">
        <f aca="false">IFERROR(INDEX(Catálogo!J$4:J$1000,MATCH($A$1&amp;"|"&amp;4,Índice!$A$4:$A$1000,0)),"")</f>
        <v>Inibição (INHIB); Flexibilidade/Mudança (SHIFT); Controlo Emocional (ECON); Memória de Trabalho (WM); Planeamento/Organização (PO); Índice de Autorregulação Comportamental (ISCI); Índice de Flexibilidade (FI); Índice de Metacognição Emergente (EMI); Índice Global de Funções Executivas (GEF)</v>
      </c>
      <c r="K7" s="6" t="str">
        <f aca="false">IFERROR(INDEX(Catálogo!K$4:K$1000,MATCH($A$1&amp;"|"&amp;4,Índice!$A$4:$A$1000,0)),"")</f>
        <v>brief_pe_pais</v>
      </c>
      <c r="L7" s="6" t="str">
        <f aca="false">IFERROR(INDEX(Catálogo!L$4:L$1000,MATCH($A$1&amp;"|"&amp;4,Índice!$A$4:$A$1000,0)),"")</f>
        <v>q_brief_pe_pais</v>
      </c>
      <c r="M7" s="7" t="str">
        <f aca="false">IFERROR(INDEX(Catálogo!M$4:M$1000,MATCH($A$1&amp;"|"&amp;4,Índice!$A$4:$A$1000,0)),"")</f>
        <v>https://correiaricardina-ui.github.io/questionarios/BRIEF_PreEscolar_Pais_v2.html</v>
      </c>
    </row>
    <row r="8" customFormat="false" ht="42" hidden="false" customHeight="true" outlineLevel="0" collapsed="false">
      <c r="A8" s="5" t="n">
        <f aca="false">IFERROR(INDEX(Catálogo!A$4:A$1000,MATCH($A$1&amp;"|"&amp;5,Índice!$A$4:$A$1000,0)),"")</f>
        <v>21</v>
      </c>
      <c r="B8" s="6" t="str">
        <f aca="false">IFERROR(INDEX(Catálogo!B$4:B$1000,MATCH($A$1&amp;"|"&amp;5,Índice!$A$4:$A$1000,0)),"")</f>
        <v>BRIEF Pré-Escolar — Professores</v>
      </c>
      <c r="C8" s="6" t="str">
        <f aca="false">IFERROR(INDEX(Catálogo!C$4:C$1000,MATCH($A$1&amp;"|"&amp;5,Índice!$A$4:$A$1000,0)),"")</f>
        <v>Atenção, PHDA &amp; Funções Executivas</v>
      </c>
      <c r="D8" s="6" t="str">
        <f aca="false">IFERROR(INDEX(Catálogo!D$4:D$1000,MATCH($A$1&amp;"|"&amp;5,Índice!$A$4:$A$1000,0)),"")</f>
        <v>Professor(a), Educador(a)</v>
      </c>
      <c r="E8" s="6" t="str">
        <f aca="false">IFERROR(INDEX(Catálogo!E$4:E$1000,MATCH($A$1&amp;"|"&amp;5,Índice!$A$4:$A$1000,0)),"")</f>
        <v>2–5 anos</v>
      </c>
      <c r="F8" s="5" t="n">
        <f aca="false">IFERROR(INDEX(Catálogo!F$4:F$1000,MATCH($A$1&amp;"|"&amp;5,Índice!$A$4:$A$1000,0)),"")</f>
        <v>2</v>
      </c>
      <c r="G8" s="5" t="n">
        <f aca="false">IFERROR(INDEX(Catálogo!G$4:G$1000,MATCH($A$1&amp;"|"&amp;5,Índice!$A$4:$A$1000,0)),"")</f>
        <v>5.9</v>
      </c>
      <c r="H8" s="5" t="n">
        <f aca="false">IFERROR(INDEX(Catálogo!H$4:H$1000,MATCH($A$1&amp;"|"&amp;5,Índice!$A$4:$A$1000,0)),"")</f>
        <v>9</v>
      </c>
      <c r="I8" s="6" t="str">
        <f aca="false">IFERROR(INDEX(Catálogo!I$4:I$1000,MATCH($A$1&amp;"|"&amp;5,Índice!$A$4:$A$1000,0)),"")</f>
        <v>Avalia funções executivas em contexto pré-escolar — versão professor/educador</v>
      </c>
      <c r="J8" s="6" t="str">
        <f aca="false">IFERROR(INDEX(Catálogo!J$4:J$1000,MATCH($A$1&amp;"|"&amp;5,Índice!$A$4:$A$1000,0)),"")</f>
        <v>Inibição (INHIB); Flexibilidade/Mudança (SHIFT); Controlo Emocional (ECON); Memória de Trabalho (WM); Planeamento/Organização (PO); Índice de Autorregulação Comportamental (ISCI); Índice de Flexibilidade (FI); Índice de Metacognição Emergente (EMI); Índice Global de Funções Executivas (GEF)</v>
      </c>
      <c r="K8" s="6" t="str">
        <f aca="false">IFERROR(INDEX(Catálogo!K$4:K$1000,MATCH($A$1&amp;"|"&amp;5,Índice!$A$4:$A$1000,0)),"")</f>
        <v>brief_pe_prof</v>
      </c>
      <c r="L8" s="6" t="str">
        <f aca="false">IFERROR(INDEX(Catálogo!L$4:L$1000,MATCH($A$1&amp;"|"&amp;5,Índice!$A$4:$A$1000,0)),"")</f>
        <v>q_brief_pe_prof</v>
      </c>
      <c r="M8" s="7" t="str">
        <f aca="false">IFERROR(INDEX(Catálogo!M$4:M$1000,MATCH($A$1&amp;"|"&amp;5,Índice!$A$4:$A$1000,0)),"")</f>
        <v>https://correiaricardina-ui.github.io/questionarios/BRIEF_PreEscolar_Professores_v2.html</v>
      </c>
    </row>
    <row r="9" customFormat="false" ht="42" hidden="false" customHeight="true" outlineLevel="0" collapsed="false">
      <c r="A9" s="5" t="n">
        <f aca="false">IFERROR(INDEX(Catálogo!A$4:A$1000,MATCH($A$1&amp;"|"&amp;6,Índice!$A$4:$A$1000,0)),"")</f>
        <v>34</v>
      </c>
      <c r="B9" s="6" t="str">
        <f aca="false">IFERROR(INDEX(Catálogo!B$4:B$1000,MATCH($A$1&amp;"|"&amp;6,Índice!$A$4:$A$1000,0)),"")</f>
        <v>Checklist Obs. Comportamental — Casa</v>
      </c>
      <c r="C9" s="6" t="str">
        <f aca="false">IFERROR(INDEX(Catálogo!C$4:C$1000,MATCH($A$1&amp;"|"&amp;6,Índice!$A$4:$A$1000,0)),"")</f>
        <v>Atenção, PHDA &amp; Funções Executivas</v>
      </c>
      <c r="D9" s="6" t="str">
        <f aca="false">IFERROR(INDEX(Catálogo!D$4:D$1000,MATCH($A$1&amp;"|"&amp;6,Índice!$A$4:$A$1000,0)),"")</f>
        <v>Mãe, Pai, Enc. Educação</v>
      </c>
      <c r="E9" s="6" t="str">
        <f aca="false">IFERROR(INDEX(Catálogo!E$4:E$1000,MATCH($A$1&amp;"|"&amp;6,Índice!$A$4:$A$1000,0)),"")</f>
        <v>Todas as idades</v>
      </c>
      <c r="F9" s="5" t="n">
        <f aca="false">IFERROR(INDEX(Catálogo!F$4:F$1000,MATCH($A$1&amp;"|"&amp;6,Índice!$A$4:$A$1000,0)),"")</f>
        <v>0</v>
      </c>
      <c r="G9" s="5" t="n">
        <f aca="false">IFERROR(INDEX(Catálogo!G$4:G$1000,MATCH($A$1&amp;"|"&amp;6,Índice!$A$4:$A$1000,0)),"")</f>
        <v>99</v>
      </c>
      <c r="H9" s="5" t="n">
        <f aca="false">IFERROR(INDEX(Catálogo!H$4:H$1000,MATCH($A$1&amp;"|"&amp;6,Índice!$A$4:$A$1000,0)),"")</f>
        <v>6</v>
      </c>
      <c r="I9" s="6" t="str">
        <f aca="false">IFERROR(INDEX(Catálogo!I$4:I$1000,MATCH($A$1&amp;"|"&amp;6,Índice!$A$4:$A$1000,0)),"")</f>
        <v>Registo diário de comportamento em contexto de casa — comparação com/sem medicação (atenção, regulação emocional, comportamento social, atividade motora, bem-estar, efeitos adversos)</v>
      </c>
      <c r="J9" s="6" t="str">
        <f aca="false">IFERROR(INDEX(Catálogo!J$4:J$1000,MATCH($A$1&amp;"|"&amp;6,Índice!$A$4:$A$1000,0)),"")</f>
        <v>Atenção &amp; Função Executiva; Regulação Emocional; Comportamento Social; Atividade Motora; Bem-estar; Efeitos Adversos</v>
      </c>
      <c r="K9" s="6" t="str">
        <f aca="false">IFERROR(INDEX(Catálogo!K$4:K$1000,MATCH($A$1&amp;"|"&amp;6,Índice!$A$4:$A$1000,0)),"")</f>
        <v>obs_phda_casa</v>
      </c>
      <c r="L9" s="6" t="str">
        <f aca="false">IFERROR(INDEX(Catálogo!L$4:L$1000,MATCH($A$1&amp;"|"&amp;6,Índice!$A$4:$A$1000,0)),"")</f>
        <v>q_obs_phda_casa</v>
      </c>
      <c r="M9" s="7" t="str">
        <f aca="false">IFERROR(INDEX(Catálogo!M$4:M$1000,MATCH($A$1&amp;"|"&amp;6,Índice!$A$4:$A$1000,0)),"")</f>
        <v>https://correiaricardina-ui.github.io/questionarios/checklist_obs_medicacao_PHDA_casa.html</v>
      </c>
    </row>
    <row r="10" customFormat="false" ht="42" hidden="false" customHeight="true" outlineLevel="0" collapsed="false">
      <c r="A10" s="5" t="n">
        <f aca="false">IFERROR(INDEX(Catálogo!A$4:A$1000,MATCH($A$1&amp;"|"&amp;7,Índice!$A$4:$A$1000,0)),"")</f>
        <v>35</v>
      </c>
      <c r="B10" s="6" t="str">
        <f aca="false">IFERROR(INDEX(Catálogo!B$4:B$1000,MATCH($A$1&amp;"|"&amp;7,Índice!$A$4:$A$1000,0)),"")</f>
        <v>Checklist Obs. Comportamental — Escola</v>
      </c>
      <c r="C10" s="6" t="str">
        <f aca="false">IFERROR(INDEX(Catálogo!C$4:C$1000,MATCH($A$1&amp;"|"&amp;7,Índice!$A$4:$A$1000,0)),"")</f>
        <v>Atenção, PHDA &amp; Funções Executivas</v>
      </c>
      <c r="D10" s="6" t="str">
        <f aca="false">IFERROR(INDEX(Catálogo!D$4:D$1000,MATCH($A$1&amp;"|"&amp;7,Índice!$A$4:$A$1000,0)),"")</f>
        <v>Professor(a), Educador(a)</v>
      </c>
      <c r="E10" s="6" t="str">
        <f aca="false">IFERROR(INDEX(Catálogo!E$4:E$1000,MATCH($A$1&amp;"|"&amp;7,Índice!$A$4:$A$1000,0)),"")</f>
        <v>Todas as idades</v>
      </c>
      <c r="F10" s="5" t="n">
        <f aca="false">IFERROR(INDEX(Catálogo!F$4:F$1000,MATCH($A$1&amp;"|"&amp;7,Índice!$A$4:$A$1000,0)),"")</f>
        <v>0</v>
      </c>
      <c r="G10" s="5" t="n">
        <f aca="false">IFERROR(INDEX(Catálogo!G$4:G$1000,MATCH($A$1&amp;"|"&amp;7,Índice!$A$4:$A$1000,0)),"")</f>
        <v>99</v>
      </c>
      <c r="H10" s="5" t="n">
        <f aca="false">IFERROR(INDEX(Catálogo!H$4:H$1000,MATCH($A$1&amp;"|"&amp;7,Índice!$A$4:$A$1000,0)),"")</f>
        <v>4</v>
      </c>
      <c r="I10" s="6" t="str">
        <f aca="false">IFERROR(INDEX(Catálogo!I$4:I$1000,MATCH($A$1&amp;"|"&amp;7,Índice!$A$4:$A$1000,0)),"")</f>
        <v>Registo diário de comportamento em contexto escolar — comparação com/sem medicação (atenção, regulação emocional, comportamento social, atividade motora)</v>
      </c>
      <c r="J10" s="6" t="str">
        <f aca="false">IFERROR(INDEX(Catálogo!J$4:J$1000,MATCH($A$1&amp;"|"&amp;7,Índice!$A$4:$A$1000,0)),"")</f>
        <v>Atenção &amp; Função Executiva; Regulação Emocional; Comportamento Social; Atividade Motora</v>
      </c>
      <c r="K10" s="6" t="str">
        <f aca="false">IFERROR(INDEX(Catálogo!K$4:K$1000,MATCH($A$1&amp;"|"&amp;7,Índice!$A$4:$A$1000,0)),"")</f>
        <v>obs_phda_escola</v>
      </c>
      <c r="L10" s="6" t="str">
        <f aca="false">IFERROR(INDEX(Catálogo!L$4:L$1000,MATCH($A$1&amp;"|"&amp;7,Índice!$A$4:$A$1000,0)),"")</f>
        <v>q_obs_phda_escola</v>
      </c>
      <c r="M10" s="7" t="str">
        <f aca="false">IFERROR(INDEX(Catálogo!M$4:M$1000,MATCH($A$1&amp;"|"&amp;7,Índice!$A$4:$A$1000,0)),"")</f>
        <v>https://correiaricardina-ui.github.io/questionarios/checklist_obs_medicacao_PHDA_escola.html</v>
      </c>
    </row>
    <row r="11" customFormat="false" ht="42" hidden="false" customHeight="true" outlineLevel="0" collapsed="false">
      <c r="A11" s="5" t="n">
        <f aca="false">IFERROR(INDEX(Catálogo!A$4:A$1000,MATCH($A$1&amp;"|"&amp;8,Índice!$A$4:$A$1000,0)),"")</f>
        <v>43</v>
      </c>
      <c r="B11" s="6" t="str">
        <f aca="false">IFERROR(INDEX(Catálogo!B$4:B$1000,MATCH($A$1&amp;"|"&amp;8,Índice!$A$4:$A$1000,0)),"")</f>
        <v>Conners 3-P — Pais (Completa)</v>
      </c>
      <c r="C11" s="6" t="str">
        <f aca="false">IFERROR(INDEX(Catálogo!C$4:C$1000,MATCH($A$1&amp;"|"&amp;8,Índice!$A$4:$A$1000,0)),"")</f>
        <v>Atenção, PHDA &amp; Funções Executivas</v>
      </c>
      <c r="D11" s="6" t="str">
        <f aca="false">IFERROR(INDEX(Catálogo!D$4:D$1000,MATCH($A$1&amp;"|"&amp;8,Índice!$A$4:$A$1000,0)),"")</f>
        <v>Mãe, Pai, Enc. Educação</v>
      </c>
      <c r="E11" s="6" t="str">
        <f aca="false">IFERROR(INDEX(Catálogo!E$4:E$1000,MATCH($A$1&amp;"|"&amp;8,Índice!$A$4:$A$1000,0)),"")</f>
        <v>6–18 anos</v>
      </c>
      <c r="F11" s="5" t="n">
        <f aca="false">IFERROR(INDEX(Catálogo!F$4:F$1000,MATCH($A$1&amp;"|"&amp;8,Índice!$A$4:$A$1000,0)),"")</f>
        <v>6</v>
      </c>
      <c r="G11" s="5" t="n">
        <f aca="false">IFERROR(INDEX(Catálogo!G$4:G$1000,MATCH($A$1&amp;"|"&amp;8,Índice!$A$4:$A$1000,0)),"")</f>
        <v>17.9</v>
      </c>
      <c r="H11" s="5" t="n">
        <f aca="false">IFERROR(INDEX(Catálogo!H$4:H$1000,MATCH($A$1&amp;"|"&amp;8,Índice!$A$4:$A$1000,0)),"")</f>
        <v>10</v>
      </c>
      <c r="I11" s="6" t="str">
        <f aca="false">IFERROR(INDEX(Catálogo!I$4:I$1000,MATCH($A$1&amp;"|"&amp;8,Índice!$A$4:$A$1000,0)),"")</f>
        <v>Avalia sintomas de PHDA, aprendizagem e comportamento — versão pais completa (110 itens)</v>
      </c>
      <c r="J11" s="6" t="str">
        <f aca="false">IFERROR(INDEX(Catálogo!J$4:J$1000,MATCH($A$1&amp;"|"&amp;8,Índice!$A$4:$A$1000,0)),"")</f>
        <v>Desatenção (IN); Hiperatividade/Impulsividade (HI); Problemas de Aprendizagem (LP); Funções Executivas (EF); Agressão (AG); Relações com os Pares (PR); Escala DSM — Desatenção (DSMI); Escala DSM — Hiperatividade/Impulsividade (DSMH); Perturbação do Comportamento (Conduta) (CD); Perturbação de Oposição/Desafio (ODD)</v>
      </c>
      <c r="K11" s="6" t="str">
        <f aca="false">IFERROR(INDEX(Catálogo!K$4:K$1000,MATCH($A$1&amp;"|"&amp;8,Índice!$A$4:$A$1000,0)),"")</f>
        <v>conners3p_full</v>
      </c>
      <c r="L11" s="6" t="str">
        <f aca="false">IFERROR(INDEX(Catálogo!L$4:L$1000,MATCH($A$1&amp;"|"&amp;8,Índice!$A$4:$A$1000,0)),"")</f>
        <v>q_conners3p_full</v>
      </c>
      <c r="M11" s="7" t="str">
        <f aca="false">IFERROR(INDEX(Catálogo!M$4:M$1000,MATCH($A$1&amp;"|"&amp;8,Índice!$A$4:$A$1000,0)),"")</f>
        <v>https://correiaricardina-ui.github.io/questionarios/Conners3_Pais_Full.html</v>
      </c>
    </row>
    <row r="12" customFormat="false" ht="42" hidden="false" customHeight="true" outlineLevel="0" collapsed="false">
      <c r="A12" s="5" t="n">
        <f aca="false">IFERROR(INDEX(Catálogo!A$4:A$1000,MATCH($A$1&amp;"|"&amp;9,Índice!$A$4:$A$1000,0)),"")</f>
        <v>44</v>
      </c>
      <c r="B12" s="6" t="str">
        <f aca="false">IFERROR(INDEX(Catálogo!B$4:B$1000,MATCH($A$1&amp;"|"&amp;9,Índice!$A$4:$A$1000,0)),"")</f>
        <v>Conners 3-P(S) — Pais (Curta)</v>
      </c>
      <c r="C12" s="6" t="str">
        <f aca="false">IFERROR(INDEX(Catálogo!C$4:C$1000,MATCH($A$1&amp;"|"&amp;9,Índice!$A$4:$A$1000,0)),"")</f>
        <v>Atenção, PHDA &amp; Funções Executivas</v>
      </c>
      <c r="D12" s="6" t="str">
        <f aca="false">IFERROR(INDEX(Catálogo!D$4:D$1000,MATCH($A$1&amp;"|"&amp;9,Índice!$A$4:$A$1000,0)),"")</f>
        <v>Mãe, Pai, Enc. Educação</v>
      </c>
      <c r="E12" s="6" t="str">
        <f aca="false">IFERROR(INDEX(Catálogo!E$4:E$1000,MATCH($A$1&amp;"|"&amp;9,Índice!$A$4:$A$1000,0)),"")</f>
        <v>6–18 anos</v>
      </c>
      <c r="F12" s="5" t="n">
        <f aca="false">IFERROR(INDEX(Catálogo!F$4:F$1000,MATCH($A$1&amp;"|"&amp;9,Índice!$A$4:$A$1000,0)),"")</f>
        <v>6</v>
      </c>
      <c r="G12" s="5" t="n">
        <f aca="false">IFERROR(INDEX(Catálogo!G$4:G$1000,MATCH($A$1&amp;"|"&amp;9,Índice!$A$4:$A$1000,0)),"")</f>
        <v>17.9</v>
      </c>
      <c r="H12" s="5" t="n">
        <f aca="false">IFERROR(INDEX(Catálogo!H$4:H$1000,MATCH($A$1&amp;"|"&amp;9,Índice!$A$4:$A$1000,0)),"")</f>
        <v>6</v>
      </c>
      <c r="I12" s="6" t="str">
        <f aca="false">IFERROR(INDEX(Catálogo!I$4:I$1000,MATCH($A$1&amp;"|"&amp;9,Índice!$A$4:$A$1000,0)),"")</f>
        <v>Avalia sintomas de PHDA, aprendizagem e comportamento — versão pais curta (45 itens)</v>
      </c>
      <c r="J12" s="6" t="str">
        <f aca="false">IFERROR(INDEX(Catálogo!J$4:J$1000,MATCH($A$1&amp;"|"&amp;9,Índice!$A$4:$A$1000,0)),"")</f>
        <v>Desatenção (IN); Hiperatividade/Impulsividade (HI); Problemas de Aprendizagem (LP); Funções Executivas (EF); Agressão (AG); Relações com os Pares (PR)</v>
      </c>
      <c r="K12" s="6" t="str">
        <f aca="false">IFERROR(INDEX(Catálogo!K$4:K$1000,MATCH($A$1&amp;"|"&amp;9,Índice!$A$4:$A$1000,0)),"")</f>
        <v>conners3ps</v>
      </c>
      <c r="L12" s="6" t="str">
        <f aca="false">IFERROR(INDEX(Catálogo!L$4:L$1000,MATCH($A$1&amp;"|"&amp;9,Índice!$A$4:$A$1000,0)),"")</f>
        <v>q_conners3ps</v>
      </c>
      <c r="M12" s="7" t="str">
        <f aca="false">IFERROR(INDEX(Catálogo!M$4:M$1000,MATCH($A$1&amp;"|"&amp;9,Índice!$A$4:$A$1000,0)),"")</f>
        <v>https://correiaricardina-ui.github.io/questionarios/Conners3_Pais_Short.html</v>
      </c>
    </row>
    <row r="13" customFormat="false" ht="42" hidden="false" customHeight="true" outlineLevel="0" collapsed="false">
      <c r="A13" s="5" t="n">
        <f aca="false">IFERROR(INDEX(Catálogo!A$4:A$1000,MATCH($A$1&amp;"|"&amp;10,Índice!$A$4:$A$1000,0)),"")</f>
        <v>45</v>
      </c>
      <c r="B13" s="6" t="str">
        <f aca="false">IFERROR(INDEX(Catálogo!B$4:B$1000,MATCH($A$1&amp;"|"&amp;10,Índice!$A$4:$A$1000,0)),"")</f>
        <v>Conners 3-T — Professores (Completa)</v>
      </c>
      <c r="C13" s="6" t="str">
        <f aca="false">IFERROR(INDEX(Catálogo!C$4:C$1000,MATCH($A$1&amp;"|"&amp;10,Índice!$A$4:$A$1000,0)),"")</f>
        <v>Atenção, PHDA &amp; Funções Executivas</v>
      </c>
      <c r="D13" s="6" t="str">
        <f aca="false">IFERROR(INDEX(Catálogo!D$4:D$1000,MATCH($A$1&amp;"|"&amp;10,Índice!$A$4:$A$1000,0)),"")</f>
        <v>Professor(a)</v>
      </c>
      <c r="E13" s="6" t="str">
        <f aca="false">IFERROR(INDEX(Catálogo!E$4:E$1000,MATCH($A$1&amp;"|"&amp;10,Índice!$A$4:$A$1000,0)),"")</f>
        <v>6–18 anos</v>
      </c>
      <c r="F13" s="5" t="n">
        <f aca="false">IFERROR(INDEX(Catálogo!F$4:F$1000,MATCH($A$1&amp;"|"&amp;10,Índice!$A$4:$A$1000,0)),"")</f>
        <v>6</v>
      </c>
      <c r="G13" s="5" t="n">
        <f aca="false">IFERROR(INDEX(Catálogo!G$4:G$1000,MATCH($A$1&amp;"|"&amp;10,Índice!$A$4:$A$1000,0)),"")</f>
        <v>17.9</v>
      </c>
      <c r="H13" s="5" t="n">
        <f aca="false">IFERROR(INDEX(Catálogo!H$4:H$1000,MATCH($A$1&amp;"|"&amp;10,Índice!$A$4:$A$1000,0)),"")</f>
        <v>9</v>
      </c>
      <c r="I13" s="6" t="str">
        <f aca="false">IFERROR(INDEX(Catálogo!I$4:I$1000,MATCH($A$1&amp;"|"&amp;10,Índice!$A$4:$A$1000,0)),"")</f>
        <v>Avalia sintomas de PHDA, aprendizagem e comportamento — versão professores completa (115 itens)</v>
      </c>
      <c r="J13" s="6" t="str">
        <f aca="false">IFERROR(INDEX(Catálogo!J$4:J$1000,MATCH($A$1&amp;"|"&amp;10,Índice!$A$4:$A$1000,0)),"")</f>
        <v>Desatenção (IN); Hiperatividade/Impulsividade (HI); Aprendizagem e Funções Executivas (LPEF); Agressão (AG); Relações com os Pares (PR); Escala DSM — Desatenção (DSMI); Escala DSM — Hiperatividade/Impulsividade (DSMH); Perturbação do Comportamento (Conduta) (CD); Perturbação de Oposição/Desafio (ODD)</v>
      </c>
      <c r="K13" s="6" t="str">
        <f aca="false">IFERROR(INDEX(Catálogo!K$4:K$1000,MATCH($A$1&amp;"|"&amp;10,Índice!$A$4:$A$1000,0)),"")</f>
        <v>conners3t_full</v>
      </c>
      <c r="L13" s="6" t="str">
        <f aca="false">IFERROR(INDEX(Catálogo!L$4:L$1000,MATCH($A$1&amp;"|"&amp;10,Índice!$A$4:$A$1000,0)),"")</f>
        <v>q_conners3t_full</v>
      </c>
      <c r="M13" s="7" t="str">
        <f aca="false">IFERROR(INDEX(Catálogo!M$4:M$1000,MATCH($A$1&amp;"|"&amp;10,Índice!$A$4:$A$1000,0)),"")</f>
        <v>https://correiaricardina-ui.github.io/questionarios/Conners3_Professores_Full.html</v>
      </c>
    </row>
    <row r="14" customFormat="false" ht="42" hidden="false" customHeight="true" outlineLevel="0" collapsed="false">
      <c r="A14" s="5" t="n">
        <f aca="false">IFERROR(INDEX(Catálogo!A$4:A$1000,MATCH($A$1&amp;"|"&amp;11,Índice!$A$4:$A$1000,0)),"")</f>
        <v>46</v>
      </c>
      <c r="B14" s="6" t="str">
        <f aca="false">IFERROR(INDEX(Catálogo!B$4:B$1000,MATCH($A$1&amp;"|"&amp;11,Índice!$A$4:$A$1000,0)),"")</f>
        <v>Conners 3-T(S) — Professores (Curta)</v>
      </c>
      <c r="C14" s="6" t="str">
        <f aca="false">IFERROR(INDEX(Catálogo!C$4:C$1000,MATCH($A$1&amp;"|"&amp;11,Índice!$A$4:$A$1000,0)),"")</f>
        <v>Atenção, PHDA &amp; Funções Executivas</v>
      </c>
      <c r="D14" s="6" t="str">
        <f aca="false">IFERROR(INDEX(Catálogo!D$4:D$1000,MATCH($A$1&amp;"|"&amp;11,Índice!$A$4:$A$1000,0)),"")</f>
        <v>Professor(a)</v>
      </c>
      <c r="E14" s="6" t="str">
        <f aca="false">IFERROR(INDEX(Catálogo!E$4:E$1000,MATCH($A$1&amp;"|"&amp;11,Índice!$A$4:$A$1000,0)),"")</f>
        <v>6–18 anos</v>
      </c>
      <c r="F14" s="5" t="n">
        <f aca="false">IFERROR(INDEX(Catálogo!F$4:F$1000,MATCH($A$1&amp;"|"&amp;11,Índice!$A$4:$A$1000,0)),"")</f>
        <v>6</v>
      </c>
      <c r="G14" s="5" t="n">
        <f aca="false">IFERROR(INDEX(Catálogo!G$4:G$1000,MATCH($A$1&amp;"|"&amp;11,Índice!$A$4:$A$1000,0)),"")</f>
        <v>17.9</v>
      </c>
      <c r="H14" s="5" t="n">
        <f aca="false">IFERROR(INDEX(Catálogo!H$4:H$1000,MATCH($A$1&amp;"|"&amp;11,Índice!$A$4:$A$1000,0)),"")</f>
        <v>5</v>
      </c>
      <c r="I14" s="6" t="str">
        <f aca="false">IFERROR(INDEX(Catálogo!I$4:I$1000,MATCH($A$1&amp;"|"&amp;11,Índice!$A$4:$A$1000,0)),"")</f>
        <v>Avalia sintomas de PHDA, aprendizagem e comportamento — versão professores curta (41 itens)</v>
      </c>
      <c r="J14" s="6" t="str">
        <f aca="false">IFERROR(INDEX(Catálogo!J$4:J$1000,MATCH($A$1&amp;"|"&amp;11,Índice!$A$4:$A$1000,0)),"")</f>
        <v>Desatenção (IN); Hiperatividade/Impulsividade (HI); Aprendizagem e Funções Executivas (LPEF); Agressão (AG); Relações com os Pares (PR)</v>
      </c>
      <c r="K14" s="6" t="str">
        <f aca="false">IFERROR(INDEX(Catálogo!K$4:K$1000,MATCH($A$1&amp;"|"&amp;11,Índice!$A$4:$A$1000,0)),"")</f>
        <v>conners3ts</v>
      </c>
      <c r="L14" s="6" t="str">
        <f aca="false">IFERROR(INDEX(Catálogo!L$4:L$1000,MATCH($A$1&amp;"|"&amp;11,Índice!$A$4:$A$1000,0)),"")</f>
        <v>q_conners3ts</v>
      </c>
      <c r="M14" s="7" t="str">
        <f aca="false">IFERROR(INDEX(Catálogo!M$4:M$1000,MATCH($A$1&amp;"|"&amp;11,Índice!$A$4:$A$1000,0)),"")</f>
        <v>https://correiaricardina-ui.github.io/questionarios/Conners3_Professores_Short.html</v>
      </c>
    </row>
    <row r="15" customFormat="false" ht="42" hidden="false" customHeight="true" outlineLevel="0" collapsed="false">
      <c r="A15" s="5" t="n">
        <f aca="false">IFERROR(INDEX(Catálogo!A$4:A$1000,MATCH($A$1&amp;"|"&amp;12,Índice!$A$4:$A$1000,0)),"")</f>
        <v>55</v>
      </c>
      <c r="B15" s="6" t="str">
        <f aca="false">IFERROR(INDEX(Catálogo!B$4:B$1000,MATCH($A$1&amp;"|"&amp;12,Índice!$A$4:$A$1000,0)),"")</f>
        <v>DIVA-5</v>
      </c>
      <c r="C15" s="6" t="str">
        <f aca="false">IFERROR(INDEX(Catálogo!C$4:C$1000,MATCH($A$1&amp;"|"&amp;12,Índice!$A$4:$A$1000,0)),"")</f>
        <v>Atenção, PHDA &amp; Funções Executivas</v>
      </c>
      <c r="D15" s="6" t="str">
        <f aca="false">IFERROR(INDEX(Catálogo!D$4:D$1000,MATCH($A$1&amp;"|"&amp;12,Índice!$A$4:$A$1000,0)),"")</f>
        <v>Paciente, Cônjuge/Parceiro(a), Mãe, Pai, Enc. Educação, Clínico</v>
      </c>
      <c r="E15" s="6" t="str">
        <f aca="false">IFERROR(INDEX(Catálogo!E$4:E$1000,MATCH($A$1&amp;"|"&amp;12,Índice!$A$4:$A$1000,0)),"")</f>
        <v>5 anos+</v>
      </c>
      <c r="F15" s="5" t="n">
        <f aca="false">IFERROR(INDEX(Catálogo!F$4:F$1000,MATCH($A$1&amp;"|"&amp;12,Índice!$A$4:$A$1000,0)),"")</f>
        <v>5</v>
      </c>
      <c r="G15" s="5" t="n">
        <f aca="false">IFERROR(INDEX(Catálogo!G$4:G$1000,MATCH($A$1&amp;"|"&amp;12,Índice!$A$4:$A$1000,0)),"")</f>
        <v>99</v>
      </c>
      <c r="H15" s="5" t="n">
        <f aca="false">IFERROR(INDEX(Catálogo!H$4:H$1000,MATCH($A$1&amp;"|"&amp;12,Índice!$A$4:$A$1000,0)),"")</f>
        <v>11</v>
      </c>
      <c r="I15" s="6" t="str">
        <f aca="false">IFERROR(INDEX(Catálogo!I$4:I$1000,MATCH($A$1&amp;"|"&amp;12,Índice!$A$4:$A$1000,0)),"")</f>
        <v>Entrevista diagnóstica semiestruturada para a PHDA segundo o DSM-5 (Kooij &amp; Francken, 2019), nas três versões: DIVA-5 Adultos, Young DIVA-5 (crianças e adolescentes) e DIVA-5 ID (dificuldade intelectual). Os 18 critérios do DSM-5 — 9 de desatenção (A1–A9) e 9 de hiperatividade/impulsividade (H1–H9) — são avaliados em DOIS períodos: o período actual (adultez, Critério A) e a infância dos 5 aos 12 anos (Critério B). APLICAÇÃO A TRÊS INFORMADORES: o próprio (ambas as colunas), o cônjuge ou parceiro(a) (só o período actual) e os pais (só a infância) preenchem em SEPARADO e SEM SE CONSULTAREM, todos com o MESMO código de paciente. BLOQUEIO DURO DE ÂMBITO: cada informador só vê a coluna sobre a qual tem conhecimento direto — a outra não é renderizada e é submetida como não respondida. O próprio responde às duas colunas; o cônjuge ou parceiro(a) apenas ao período actual; mãe, pai, encarregado de educação e outro familiar apenas à infância. Na Young DIVA-5 o mesmo princípio aplica-se às colunas Jovem e Pais/EE. A restrição é estrutural e não uma instrução: com a coluna aberta, um informador bem-intencionado preenche-a a partir de relato em segunda mão, e como o Critério B é condição necessária e a agregação usa a regra «qualquer informador», esse relato entraria exactamente no critério que decide se há ou não apresentação diagnóstica. Custo aceite: um progenitor que convive hoje com a pessoa avaliada tem conhecimento direto do período actual e deixa de o poder registar por esta via. Os papéis Professor e Técnico/Cuidador ficam sem bloqueio, por o seu âmbito depender do caso. O painel agrega as submissões por código e produz uma grelha de convergência de 18 critérios × N informadores, assinalando os critérios em que os informadores divergem. A cotação composta agrega pela regra «qualquer informador» — um critério conta como presente num período se pelo menos um informador o endossou — mantendo sempre visíveis as contagens individuais, porque a divergência entre informadores é informação clínica e não erro de medida (o próprio subestima com frequência a hiperatividade; o parceiro e os pais servem para corroborar). INSTRUMENTO DE CRITÉRIOS, NÃO NORMATIVO: a cotação é contagem de critérios preenchidos face a um limiar (≥5 em cada domínio, ≥6 na Young DIVA-5 abaixo dos 17 anos). Não produz pontuações padronizadas, percentis nem T-scores, e não admite bandas de gravidade. O Critério B é CONDIÇÃO NECESSÁRIA: nenhuma apresentação diagnóstica é devolvida a partir apenas da coluna do período actual. O Critério A tem protecção simétrica: se a coluna do período actual não estiver preenchida, é devolvido INDETERMINADO e nunca «Não preenche critérios» — a submissão dos pais, que só cobre a infância, não pode ser lida como ausência de sintomatologia actual. São devolvidas DUAS LEITURAS EM PARALELO: a regra DSM-5-TR (Critério B ≥ 2, «vários sintomas» antes dos 12 anos) e a regra DIVA-5 formal (Critério B ≥ 5, o mesmo limiar em ambos os períodos). Quando as duas divergem, a sintomatologia de infância situa-se entre os dois limiares e essa divergência é ela própria informação clínica, a explicitar no relatório. A apresentação é SEMPRE PROVISÓRIA: os Critérios C (≥2 contextos), D (interferência) e E (exclusão de outro quadro) não são recolhidos por este formulário e têm de ser estabelecidos em entrevista — nenhuma conclusão diagnóstica pode assentar apenas nesta grelha. O respondente NÃO vê qualquer resultado: o ecrã final não mostra pontuações nem apresentação diagnóstica, e a cópia de segurança em CSV contém apenas as respostas em bruto.</v>
      </c>
      <c r="J15" s="6" t="str">
        <f aca="false">IFERROR(INDEX(Catálogo!J$4:J$1000,MATCH($A$1&amp;"|"&amp;12,Índice!$A$4:$A$1000,0)),"")</f>
        <v>Desatenção — período actual / adultez (critérios A1–A9; Critério A, limiar ≥5); Desatenção — infância dos 5 aos 12 anos (critérios A1–A9; Critério B); Hiperatividade/Impulsividade — período actual / adultez (critérios H1–H9; Critério A, limiar ≥5); Hiperatividade/Impulsividade — infância dos 5 aos 12 anos (critérios H1–H9; Critério B); Estado do Critério A (não avaliado · parcialmente avaliado · preenchido · não preenchido), com contagem dos itens efectivamente respondidos na coluna do período actual; Estado do Critério B (mesmas quatro categorias), com contagem dos itens respondidos na coluna da infância — a contagem é o que distingue «sintoma ausente» de «período não avaliado»; Apresentação pela regra DSM-5-TR, Critério B ≥ 2 (combinada · predominantemente desatenta · predominantemente hiperativa/impulsiva · não preenche critérios · indeterminado); Apresentação pela regra DIVA-5 formal, Critério B ≥ 5 (mesmas categorias) — leitura mais exigente, apresentada lado a lado com a anterior; Âmbito atribuído por informador (período actual · infância · ambos), aplicado por bloqueio estrutural das colunas no formulário; Grelha de convergência entre informadores — 18 critérios × N informadores, com marcação dos critérios divergentes; Cotação composta por agregação «qualquer informador», calculada em separado para cada um dos dois períodos</v>
      </c>
      <c r="K15" s="6" t="str">
        <f aca="false">IFERROR(INDEX(Catálogo!K$4:K$1000,MATCH($A$1&amp;"|"&amp;12,Índice!$A$4:$A$1000,0)),"")</f>
        <v>diva5</v>
      </c>
      <c r="L15" s="6" t="str">
        <f aca="false">IFERROR(INDEX(Catálogo!L$4:L$1000,MATCH($A$1&amp;"|"&amp;12,Índice!$A$4:$A$1000,0)),"")</f>
        <v>q_diva5</v>
      </c>
      <c r="M15" s="7" t="str">
        <f aca="false">IFERROR(INDEX(Catálogo!M$4:M$1000,MATCH($A$1&amp;"|"&amp;12,Índice!$A$4:$A$1000,0)),"")</f>
        <v>https://correiaricardina-ui.github.io/questionarios/DIVA5_v1.html</v>
      </c>
    </row>
    <row r="16" customFormat="false" ht="42" hidden="false" customHeight="true" outlineLevel="0" collapsed="false">
      <c r="A16" s="5" t="n">
        <f aca="false">IFERROR(INDEX(Catálogo!A$4:A$1000,MATCH($A$1&amp;"|"&amp;13,Índice!$A$4:$A$1000,0)),"")</f>
        <v>137</v>
      </c>
      <c r="B16" s="6" t="str">
        <f aca="false">IFERROR(INDEX(Catálogo!B$4:B$1000,MATCH($A$1&amp;"|"&amp;13,Índice!$A$4:$A$1000,0)),"")</f>
        <v>SNAP-IV — Escala de Sintomas de PHDA (Versão Reduzida, DSM-IV)</v>
      </c>
      <c r="C16" s="6" t="str">
        <f aca="false">IFERROR(INDEX(Catálogo!C$4:C$1000,MATCH($A$1&amp;"|"&amp;13,Índice!$A$4:$A$1000,0)),"")</f>
        <v>Atenção, PHDA &amp; Funções Executivas</v>
      </c>
      <c r="D16" s="6" t="str">
        <f aca="false">IFERROR(INDEX(Catálogo!D$4:D$1000,MATCH($A$1&amp;"|"&amp;13,Índice!$A$4:$A$1000,0)),"")</f>
        <v>Mãe, Pai, Enc. Educação, Professor(a)</v>
      </c>
      <c r="E16" s="6" t="str">
        <f aca="false">IFERROR(INDEX(Catálogo!E$4:E$1000,MATCH($A$1&amp;"|"&amp;13,Índice!$A$4:$A$1000,0)),"")</f>
        <v>5–11 anos</v>
      </c>
      <c r="F16" s="5" t="n">
        <f aca="false">IFERROR(INDEX(Catálogo!F$4:F$1000,MATCH($A$1&amp;"|"&amp;13,Índice!$A$4:$A$1000,0)),"")</f>
        <v>5</v>
      </c>
      <c r="G16" s="5" t="n">
        <f aca="false">IFERROR(INDEX(Catálogo!G$4:G$1000,MATCH($A$1&amp;"|"&amp;13,Índice!$A$4:$A$1000,0)),"")</f>
        <v>11</v>
      </c>
      <c r="H16" s="5" t="n">
        <f aca="false">IFERROR(INDEX(Catálogo!H$4:H$1000,MATCH($A$1&amp;"|"&amp;13,Índice!$A$4:$A$1000,0)),"")</f>
        <v>3</v>
      </c>
      <c r="I16" s="6" t="str">
        <f aca="false">IFERROR(INDEX(Catálogo!I$4:I$1000,MATCH($A$1&amp;"|"&amp;13,Índice!$A$4:$A$1000,0)),"")</f>
        <v>Rastreio dimensional dos sintomas de PHDA por heteroavaliação (pais ou professores), 18 itens em escala 0–3 (Não ocorre=0, Um pouco=1, Frequente=2, Muito frequente=3). Métrica = média por item nas dimensões Desatenção (itens 1–9), Hiperatividade-Impulsividade (itens 10–18) e Combinada/PHDA (itens 1–18). O tipo de informante (Pais / Professores) determina os pontos de corte de rastreio de Swanson et al. e as bandas graduadas de Bussing et al. (2008). Resultado exploratório — limiares heurísticos internacionais, sem normas portuguesas; não constitui diagnóstico (a formulação de PHDA exige avaliação multimodal e multi-informante, DSM-5-TR / CID-11). Versão portuguesa: Octávio Moura (2006, 2012).</v>
      </c>
      <c r="J16" s="6" t="str">
        <f aca="false">IFERROR(INDEX(Catálogo!J$4:J$1000,MATCH($A$1&amp;"|"&amp;13,Índice!$A$4:$A$1000,0)),"")</f>
        <v>Desatenção (itens 1–9); Hiperatividade-Impulsividade (itens 10–18); Combinada / PHDA (itens 1–18)</v>
      </c>
      <c r="K16" s="6" t="str">
        <f aca="false">IFERROR(INDEX(Catálogo!K$4:K$1000,MATCH($A$1&amp;"|"&amp;13,Índice!$A$4:$A$1000,0)),"")</f>
        <v>snapiv</v>
      </c>
      <c r="L16" s="6" t="str">
        <f aca="false">IFERROR(INDEX(Catálogo!L$4:L$1000,MATCH($A$1&amp;"|"&amp;13,Índice!$A$4:$A$1000,0)),"")</f>
        <v>q_snapiv</v>
      </c>
      <c r="M16" s="7" t="str">
        <f aca="false">IFERROR(INDEX(Catálogo!M$4:M$1000,MATCH($A$1&amp;"|"&amp;13,Índice!$A$4:$A$1000,0)),"")</f>
        <v>https://correiaricardina-ui.github.io/questionarios/SNAP_IV_v1.html</v>
      </c>
    </row>
    <row r="17" customFormat="false" ht="42" hidden="false" customHeight="true" outlineLevel="0" collapsed="false">
      <c r="A17" s="5" t="n">
        <f aca="false">IFERROR(INDEX(Catálogo!A$4:A$1000,MATCH($A$1&amp;"|"&amp;14,Índice!$A$4:$A$1000,0)),"")</f>
        <v>150</v>
      </c>
      <c r="B17" s="6" t="str">
        <f aca="false">IFERROR(INDEX(Catálogo!B$4:B$1000,MATCH($A$1&amp;"|"&amp;14,Índice!$A$4:$A$1000,0)),"")</f>
        <v>SWAN</v>
      </c>
      <c r="C17" s="6" t="str">
        <f aca="false">IFERROR(INDEX(Catálogo!C$4:C$1000,MATCH($A$1&amp;"|"&amp;14,Índice!$A$4:$A$1000,0)),"")</f>
        <v>Atenção, PHDA &amp; Funções Executivas</v>
      </c>
      <c r="D17" s="6" t="str">
        <f aca="false">IFERROR(INDEX(Catálogo!D$4:D$1000,MATCH($A$1&amp;"|"&amp;14,Índice!$A$4:$A$1000,0)),"")</f>
        <v>Pais, Mãe, Pai, Enc. Educação, Professor(a)</v>
      </c>
      <c r="E17" s="6" t="str">
        <f aca="false">IFERROR(INDEX(Catálogo!E$4:E$1000,MATCH($A$1&amp;"|"&amp;14,Índice!$A$4:$A$1000,0)),"")</f>
        <v>6–18 anos</v>
      </c>
      <c r="F17" s="5" t="n">
        <f aca="false">IFERROR(INDEX(Catálogo!F$4:F$1000,MATCH($A$1&amp;"|"&amp;14,Índice!$A$4:$A$1000,0)),"")</f>
        <v>6</v>
      </c>
      <c r="G17" s="5" t="n">
        <f aca="false">IFERROR(INDEX(Catálogo!G$4:G$1000,MATCH($A$1&amp;"|"&amp;14,Índice!$A$4:$A$1000,0)),"")</f>
        <v>17.9</v>
      </c>
      <c r="H17" s="5" t="n">
        <f aca="false">IFERROR(INDEX(Catálogo!H$4:H$1000,MATCH($A$1&amp;"|"&amp;14,Índice!$A$4:$A$1000,0)),"")</f>
        <v>2</v>
      </c>
      <c r="I17" s="6" t="str">
        <f aca="false">IFERROR(INDEX(Catálogo!I$4:I$1000,MATCH($A$1&amp;"|"&amp;14,Índice!$A$4:$A$1000,0)),"")</f>
        <v>Avaliar sintomas de PHDA em contexto dimensional</v>
      </c>
      <c r="J17" s="6" t="str">
        <f aca="false">IFERROR(INDEX(Catálogo!J$4:J$1000,MATCH($A$1&amp;"|"&amp;14,Índice!$A$4:$A$1000,0)),"")</f>
        <v>Desatenção; Hiperatividade-Impulsividade</v>
      </c>
      <c r="K17" s="6" t="str">
        <f aca="false">IFERROR(INDEX(Catálogo!K$4:K$1000,MATCH($A$1&amp;"|"&amp;14,Índice!$A$4:$A$1000,0)),"")</f>
        <v>swan</v>
      </c>
      <c r="L17" s="6" t="str">
        <f aca="false">IFERROR(INDEX(Catálogo!L$4:L$1000,MATCH($A$1&amp;"|"&amp;14,Índice!$A$4:$A$1000,0)),"")</f>
        <v>q_swan</v>
      </c>
      <c r="M17" s="7" t="str">
        <f aca="false">IFERROR(INDEX(Catálogo!M$4:M$1000,MATCH($A$1&amp;"|"&amp;14,Índice!$A$4:$A$1000,0)),"")</f>
        <v>https://correiaricardina-ui.github.io/questionarios/SWAN_v1.html</v>
      </c>
    </row>
    <row r="18" customFormat="false" ht="42" hidden="false" customHeight="true" outlineLevel="0" collapsed="false">
      <c r="A18" s="5" t="n">
        <f aca="false">IFERROR(INDEX(Catálogo!A$4:A$1000,MATCH($A$1&amp;"|"&amp;15,Índice!$A$4:$A$1000,0)),"")</f>
        <v>182</v>
      </c>
      <c r="B18" s="6" t="str">
        <f aca="false">IFERROR(INDEX(Catálogo!B$4:B$1000,MATCH($A$1&amp;"|"&amp;15,Índice!$A$4:$A$1000,0)),"")</f>
        <v>BRIEF-A — Autorrelato</v>
      </c>
      <c r="C18" s="6" t="str">
        <f aca="false">IFERROR(INDEX(Catálogo!C$4:C$1000,MATCH($A$1&amp;"|"&amp;15,Índice!$A$4:$A$1000,0)),"")</f>
        <v>Atenção, PHDA &amp; Funções Executivas</v>
      </c>
      <c r="D18" s="6" t="str">
        <f aca="false">IFERROR(INDEX(Catálogo!D$4:D$1000,MATCH($A$1&amp;"|"&amp;15,Índice!$A$4:$A$1000,0)),"")</f>
        <v>Paciente</v>
      </c>
      <c r="E18" s="6" t="str">
        <f aca="false">IFERROR(INDEX(Catálogo!E$4:E$1000,MATCH($A$1&amp;"|"&amp;15,Índice!$A$4:$A$1000,0)),"")</f>
        <v>18–90 anos</v>
      </c>
      <c r="F18" s="5" t="n">
        <f aca="false">IFERROR(INDEX(Catálogo!F$4:F$1000,MATCH($A$1&amp;"|"&amp;15,Índice!$A$4:$A$1000,0)),"")</f>
        <v>18</v>
      </c>
      <c r="G18" s="5" t="n">
        <f aca="false">IFERROR(INDEX(Catálogo!G$4:G$1000,MATCH($A$1&amp;"|"&amp;15,Índice!$A$4:$A$1000,0)),"")</f>
        <v>90</v>
      </c>
      <c r="H18" s="5" t="n">
        <f aca="false">IFERROR(INDEX(Catálogo!H$4:H$1000,MATCH($A$1&amp;"|"&amp;15,Índice!$A$4:$A$1000,0)),"")</f>
        <v>14</v>
      </c>
      <c r="I18" s="6" t="str">
        <f aca="false">IFERROR(INDEX(Catálogo!I$4:I$1000,MATCH($A$1&amp;"|"&amp;15,Índice!$A$4:$A$1000,0)),"")</f>
        <v>Avalia o funcionamento executivo no quotidiano do adulto em 75 itens, numa escala de frequência de três pontos (Nunca = 1; Às vezes = 2; Frequentemente = 3), reportada ao último mês. RECOLHE EXCLUSIVAMENTE PONTUAÇÕES BRUTAS, por resposta e por escala: nove escalas clínicas, os índices BRI, MI e GEC, e as duas escalas de validade. Por decisão clínica NÃO converte para T-score nem para percentil — a leitura normativa, que depende da idade e do sexo, é feita manualmente nas tabelas do manual a partir da folha de cotação exportada em PDF, que traz as colunas T e Percentil em branco. Os itens 10, 27, 38, 48 e 59 pertencem à escala de Infrequência e não entram em nenhuma escala clínica (70 itens clínicos + 5 de validade). No painel, escalas e índices são apresentados em escala descritiva azul, com a posição do valor bruto dentro da amplitude possível; o vermelho fica reservado aos dois sinalizadores binários de validade. T ≥ 65 é o limiar tradicionalmente considerado clinicamente elevado no BRIEF-A, mas essa leitura só existe depois da conversão manual. Instrumento proprietário (Roth, Isquith e Gioia, 2005; PAR). Resultado isolado não é diagnóstico. Versão de AUTORRELATO: descreve o funcionamento executivo tal como o próprio o relata.</v>
      </c>
      <c r="J18" s="6" t="str">
        <f aca="false">IFERROR(INDEX(Catálogo!J$4:J$1000,MATCH($A$1&amp;"|"&amp;15,Índice!$A$4:$A$1000,0)),"")</f>
        <v>Inibição (8 itens, 8–24); Flexibilidade (6 itens, 6–18); Controlo Emocional (10 itens, 10–30); Automonitorização (6 itens, 6–18); Iniciativa (8 itens, 8–24); Memória de Trabalho (8 itens, 8–24); Planificação/Organização (10 itens, 10–30); Monitorização da Tarefa (6 itens, 6–18); Organização de Materiais (8 itens, 8–24); BRI — Índice de Regulação Comportamental (Inibição + Flexibilidade + Controlo Emocional + Automonitorização; 30 itens, 30–90); MI — Índice de Metacognição (Iniciativa + Memória de Trabalho + Planificação/Organização + Monitorização da Tarefa + Organização de Materiais; 40 itens, 40–120); GEC — Composto Executivo Global (BRI + MI; 70 itens, 70–210); Infrequência — escala de validade (5 itens: 10, 27, 38, 48 e 59; 0–5; 0–2 aceitável, ≥3 sinaliza padrão de resposta infrequente); Inconsistência — escala de validade (10 pares de itens equivalentes: 2–41, 25–49, 28–42, 33–72, 34–63, 44–61, 46–56, 52–75, 60–74, 64–70; soma das diferenças absolutas, 0–20; 0–7 aceitável, ≥8 sinaliza inconsistência)</v>
      </c>
      <c r="K18" s="6" t="str">
        <f aca="false">IFERROR(INDEX(Catálogo!K$4:K$1000,MATCH($A$1&amp;"|"&amp;15,Índice!$A$4:$A$1000,0)),"")</f>
        <v>brief_a_auto</v>
      </c>
      <c r="L18" s="6" t="str">
        <f aca="false">IFERROR(INDEX(Catálogo!L$4:L$1000,MATCH($A$1&amp;"|"&amp;15,Índice!$A$4:$A$1000,0)),"")</f>
        <v>q_brief_a_auto</v>
      </c>
      <c r="M18" s="7" t="str">
        <f aca="false">IFERROR(INDEX(Catálogo!M$4:M$1000,MATCH($A$1&amp;"|"&amp;15,Índice!$A$4:$A$1000,0)),"")</f>
        <v>https://correiaricardina-ui.github.io/questionarios/BRIEF_A_Autorrelato_v1.html</v>
      </c>
    </row>
    <row r="19" customFormat="false" ht="42" hidden="false" customHeight="true" outlineLevel="0" collapsed="false">
      <c r="A19" s="5" t="n">
        <f aca="false">IFERROR(INDEX(Catálogo!A$4:A$1000,MATCH($A$1&amp;"|"&amp;16,Índice!$A$4:$A$1000,0)),"")</f>
        <v>183</v>
      </c>
      <c r="B19" s="6" t="str">
        <f aca="false">IFERROR(INDEX(Catálogo!B$4:B$1000,MATCH($A$1&amp;"|"&amp;16,Índice!$A$4:$A$1000,0)),"")</f>
        <v>BRIEF-A — Informante</v>
      </c>
      <c r="C19" s="6" t="str">
        <f aca="false">IFERROR(INDEX(Catálogo!C$4:C$1000,MATCH($A$1&amp;"|"&amp;16,Índice!$A$4:$A$1000,0)),"")</f>
        <v>Atenção, PHDA &amp; Funções Executivas</v>
      </c>
      <c r="D19" s="6" t="str">
        <f aca="false">IFERROR(INDEX(Catálogo!D$4:D$1000,MATCH($A$1&amp;"|"&amp;16,Índice!$A$4:$A$1000,0)),"")</f>
        <v>Mãe, Pai, Outro</v>
      </c>
      <c r="E19" s="6" t="str">
        <f aca="false">IFERROR(INDEX(Catálogo!E$4:E$1000,MATCH($A$1&amp;"|"&amp;16,Índice!$A$4:$A$1000,0)),"")</f>
        <v>18–90 anos</v>
      </c>
      <c r="F19" s="5" t="n">
        <f aca="false">IFERROR(INDEX(Catálogo!F$4:F$1000,MATCH($A$1&amp;"|"&amp;16,Índice!$A$4:$A$1000,0)),"")</f>
        <v>18</v>
      </c>
      <c r="G19" s="5" t="n">
        <f aca="false">IFERROR(INDEX(Catálogo!G$4:G$1000,MATCH($A$1&amp;"|"&amp;16,Índice!$A$4:$A$1000,0)),"")</f>
        <v>90</v>
      </c>
      <c r="H19" s="5" t="n">
        <f aca="false">IFERROR(INDEX(Catálogo!H$4:H$1000,MATCH($A$1&amp;"|"&amp;16,Índice!$A$4:$A$1000,0)),"")</f>
        <v>14</v>
      </c>
      <c r="I19" s="6" t="str">
        <f aca="false">IFERROR(INDEX(Catálogo!I$4:I$1000,MATCH($A$1&amp;"|"&amp;16,Índice!$A$4:$A$1000,0)),"")</f>
        <v>Avalia o funcionamento executivo no quotidiano do adulto em 75 itens, numa escala de frequência de três pontos (Nunca = 1; Às vezes = 2; Frequentemente = 3), reportada ao último mês. RECOLHE EXCLUSIVAMENTE PONTUAÇÕES BRUTAS, por resposta e por escala: nove escalas clínicas, os índices BRI, MI e GEC, e as duas escalas de validade. Por decisão clínica NÃO converte para T-score nem para percentil — a leitura normativa, que depende da idade e do sexo, é feita manualmente nas tabelas do manual a partir da folha de cotação exportada em PDF, que traz as colunas T e Percentil em branco. Os itens 10, 27, 38, 48 e 59 pertencem à escala de Infrequência e não entram em nenhuma escala clínica (70 itens clínicos + 5 de validade). No painel, escalas e índices são apresentados em escala descritiva azul, com a posição do valor bruto dentro da amplitude possível; o vermelho fica reservado aos dois sinalizadores binários de validade. T ≥ 65 é o limiar tradicionalmente considerado clinicamente elevado no BRIEF-A, mas essa leitura só existe depois da conversão manual. Instrumento proprietário (Roth, Isquith e Gioia, 2005; PAR). Resultado isolado não é diagnóstico. Versão de INFORMANTE: preenchida por alguém que conhece bem a pessoa avaliada (cônjuge, familiar, amigo ou cuidador), paralela ao autorrelato item a item, para triangulação entre a descrição do próprio e a do informante.</v>
      </c>
      <c r="J19" s="6" t="str">
        <f aca="false">IFERROR(INDEX(Catálogo!J$4:J$1000,MATCH($A$1&amp;"|"&amp;16,Índice!$A$4:$A$1000,0)),"")</f>
        <v>Inibição (8 itens, 8–24); Flexibilidade (6 itens, 6–18); Controlo Emocional (10 itens, 10–30); Automonitorização (6 itens, 6–18); Iniciativa (8 itens, 8–24); Memória de Trabalho (8 itens, 8–24); Planificação/Organização (10 itens, 10–30); Monitorização da Tarefa (6 itens, 6–18); Organização de Materiais (8 itens, 8–24); BRI — Índice de Regulação Comportamental (Inibição + Flexibilidade + Controlo Emocional + Automonitorização; 30 itens, 30–90); MI — Índice de Metacognição (Iniciativa + Memória de Trabalho + Planificação/Organização + Monitorização da Tarefa + Organização de Materiais; 40 itens, 40–120); GEC — Composto Executivo Global (BRI + MI; 70 itens, 70–210); Infrequência — escala de validade (5 itens: 10, 27, 38, 48 e 59; 0–5; 0–2 aceitável, ≥3 sinaliza padrão de resposta infrequente); Inconsistência — escala de validade (10 pares de itens equivalentes: 2–41, 25–49, 28–42, 33–72, 34–63, 44–61, 46–56, 52–75, 60–74, 64–70; soma das diferenças absolutas, 0–20; 0–7 aceitável, ≥8 sinaliza inconsistência)</v>
      </c>
      <c r="K19" s="6" t="str">
        <f aca="false">IFERROR(INDEX(Catálogo!K$4:K$1000,MATCH($A$1&amp;"|"&amp;16,Índice!$A$4:$A$1000,0)),"")</f>
        <v>brief_a_inf</v>
      </c>
      <c r="L19" s="6" t="str">
        <f aca="false">IFERROR(INDEX(Catálogo!L$4:L$1000,MATCH($A$1&amp;"|"&amp;16,Índice!$A$4:$A$1000,0)),"")</f>
        <v>q_brief_a_inf</v>
      </c>
      <c r="M19" s="7" t="str">
        <f aca="false">IFERROR(INDEX(Catálogo!M$4:M$1000,MATCH($A$1&amp;"|"&amp;16,Índice!$A$4:$A$1000,0)),"")</f>
        <v>https://correiaricardina-ui.github.io/questionarios/BRIEF_A_Informante_v1.html</v>
      </c>
    </row>
    <row r="20" customFormat="false" ht="42" hidden="false" customHeight="true" outlineLevel="0" collapsed="false">
      <c r="A20" s="5" t="n">
        <f aca="false">IFERROR(INDEX(Catálogo!A$4:A$1000,MATCH($A$1&amp;"|"&amp;17,Índice!$A$4:$A$1000,0)),"")</f>
        <v>190</v>
      </c>
      <c r="B20" s="6" t="str">
        <f aca="false">IFERROR(INDEX(Catálogo!B$4:B$1000,MATCH($A$1&amp;"|"&amp;17,Índice!$A$4:$A$1000,0)),"")</f>
        <v>CAARS–S:L — Conners’ Adult ADHD Rating Scales (forma longa, auto-relato)</v>
      </c>
      <c r="C20" s="6" t="str">
        <f aca="false">IFERROR(INDEX(Catálogo!C$4:C$1000,MATCH($A$1&amp;"|"&amp;17,Índice!$A$4:$A$1000,0)),"")</f>
        <v>Atenção, PHDA &amp; Funções Executivas</v>
      </c>
      <c r="D20" s="6" t="str">
        <f aca="false">IFERROR(INDEX(Catálogo!D$4:D$1000,MATCH($A$1&amp;"|"&amp;17,Índice!$A$4:$A$1000,0)),"")</f>
        <v>Próprio</v>
      </c>
      <c r="E20" s="6" t="str">
        <f aca="false">IFERROR(INDEX(Catálogo!E$4:E$1000,MATCH($A$1&amp;"|"&amp;17,Índice!$A$4:$A$1000,0)),"")</f>
        <v>18–99 anos</v>
      </c>
      <c r="F20" s="5" t="n">
        <f aca="false">IFERROR(INDEX(Catálogo!F$4:F$1000,MATCH($A$1&amp;"|"&amp;17,Índice!$A$4:$A$1000,0)),"")</f>
        <v>18</v>
      </c>
      <c r="G20" s="5" t="n">
        <f aca="false">IFERROR(INDEX(Catálogo!G$4:G$1000,MATCH($A$1&amp;"|"&amp;17,Índice!$A$4:$A$1000,0)),"")</f>
        <v>99</v>
      </c>
      <c r="H20" s="5" t="n">
        <f aca="false">IFERROR(INDEX(Catálogo!H$4:H$1000,MATCH($A$1&amp;"|"&amp;17,Índice!$A$4:$A$1000,0)),"")</f>
        <v>12</v>
      </c>
      <c r="I20" s="6" t="str">
        <f aca="false">IFERROR(INDEX(Catálogo!I$4:I$1000,MATCH($A$1&amp;"|"&amp;17,Índice!$A$4:$A$1000,0)),"")</f>
        <v>Avalia a sintomatologia de Perturbação de Hiperatividade e Défice de Atenção no ADULTO através da forma longa das Conners’ Adult ADHD Rating Scales (Conners, Erhardt &amp; Sparrow, 1999; Multi-Health Systems Inc.). 66 itens numa escala 0–3 (0 = nada, nunca → 3 = muito, muito frequentemente), TODOS no sentido directo — não existe um único item invertido. Devolve oito resultados brutos: quatro escalas factoriais (A Problemas de Desatenção/Memória, B Hiperatividade/Inquietação, C Impulsividade/Labilidade Emocional, D Problemas com o Autoconceito), as duas listas de sintomas do DSM-IV (E Desatenção, F Hiperatividade-Impulsividade) e as suas derivadas (G Sintomas Totais de PHDA = E + F, H Índice de PHDA), mais o Índice de Inconsistência. ⚠ A conversão de resultado bruto em T-score NÃO é feita pela plataforma: as tabelas normativas são propriedade do editor (MHS) e a leitura faz-se nas folhas de perfil oficiais, pelo SEXO e IDADE DA PESSOA AVALIADA — nunca do observador. O T é introduzido manualmente no painel clínico do questionário, onde activa as bandas descritivas (45 · 56 · 60 · 65 · 70) e a interpretação; sem T introduzido o painel apresenta apenas resultados brutos e percentagem do máximo, em paleta azul e sem juízo de gravidade. ⚠ As bandas são convenções interpretativas, NÃO pontos de corte diagnósticos: o DSM-5-TR exige início antes dos 12 anos, presença em pelo menos dois contextos e interferência funcional. ⚠ Nenhuma das formas é padrão-ouro face à outra — a divergência entre auto-relato e heterorrelato é dado clínico a interpretar, não critério de validade. ⚠ Índice de Inconsistência ≥ 8 exige prudência interpretativa quanto à consistência do protocolo. ⚠ Instrumento sob licença (MHS): utilização reservada a quem detenha protocolo oficial e o manual. Forma de AUTO-RELATO: é a própria pessoa avaliada que descreve o seu funcionamento recente.</v>
      </c>
      <c r="J20" s="6" t="str">
        <f aca="false">IFERROR(INDEX(Catálogo!J$4:J$1000,MATCH($A$1&amp;"|"&amp;17,Índice!$A$4:$A$1000,0)),"")</f>
        <v>A — Problemas de Desatenção/Memória (12 itens, RB 0–36): esquecimento, desorganização, dificuldade em iniciar e concluir tarefas, má estimativa do tempo | B — Hiperatividade/Inquietação (12 itens, RB 0–36): inquietação motora e interna, procura de estimulação, dificuldade em permanecer parado | C — Impulsividade/Labilidade Emocional (12 itens, RB 0–36): dizer e agir sem pensar, irritabilidade, oscilações de humor, baixa tolerância à frustração | D — Problemas com o Autoconceito (6 itens, RB 0–18): insegurança, baixa confiança nas próprias capacidades, peso dos fracassos anteriores | E — Sintomas de Desatenção do DSM-IV (9 itens, RB 0–27): correspondência item a item com o critério A1 | F — Sintomas de Hiperatividade-Impulsividade do DSM-IV (9 itens, RB 0–27): correspondência item a item com o critério A2 | G — Sintomas Totais de PHDA do DSM-IV (18 itens, RB 0–54): derivada por soma de E + F, sem itens próprios | H — Índice de PHDA (12 itens, RB 0–36): itens que melhor discriminam adultos com e sem o diagnóstico; escala de rastreio | Índice de Inconsistência (0–24): soma dos diferenciais absolutos em 8 pares de itens de conteúdo equivalente (11-49, 40-44, 20-25, 13-27, 30-47, 19-23, 6-37, 26-63); ≥ 8 exige prudência interpretativa | Grupo normativo derivado da idade da pessoa avaliada — 1: 18–29 · 2: 30–39 · 3: 40–49 · 4: ≥ 50 anos; as folhas de perfil são ainda separadas por sexo (M1–M4 / F1–F4) | Bandas descritivas por T-score, comuns às duas formas — Abaixo da média (&lt; 45) · Média (45–55) · Ligeiramente atípico (56–59) · Ligeiramente elevado (60–64) · Elevado (65–69) · Muito elevado (≥ 70) | Seis itens pertencem simultaneamente a duas escalas (19, 23, 26, 27, 40 e 63): 72 atribuições item→escala para 66 itens — soma de controlo do protocolo de cotação</v>
      </c>
      <c r="K20" s="6" t="str">
        <f aca="false">IFERROR(INDEX(Catálogo!K$4:K$1000,MATCH($A$1&amp;"|"&amp;17,Índice!$A$4:$A$1000,0)),"")</f>
        <v>caars_sl</v>
      </c>
      <c r="L20" s="6" t="str">
        <f aca="false">IFERROR(INDEX(Catálogo!L$4:L$1000,MATCH($A$1&amp;"|"&amp;17,Índice!$A$4:$A$1000,0)),"")</f>
        <v>q_caars_sl</v>
      </c>
      <c r="M20" s="7" t="str">
        <f aca="false">IFERROR(INDEX(Catálogo!M$4:M$1000,MATCH($A$1&amp;"|"&amp;17,Índice!$A$4:$A$1000,0)),"")</f>
        <v>https://correiaricardina-ui.github.io/questionarios/CAARS_SL_v1.html</v>
      </c>
    </row>
    <row r="21" customFormat="false" ht="42" hidden="false" customHeight="true" outlineLevel="0" collapsed="false">
      <c r="A21" s="5" t="n">
        <f aca="false">IFERROR(INDEX(Catálogo!A$4:A$1000,MATCH($A$1&amp;"|"&amp;18,Índice!$A$4:$A$1000,0)),"")</f>
        <v>191</v>
      </c>
      <c r="B21" s="6" t="str">
        <f aca="false">IFERROR(INDEX(Catálogo!B$4:B$1000,MATCH($A$1&amp;"|"&amp;18,Índice!$A$4:$A$1000,0)),"")</f>
        <v>CAARS–O:L — Conners’ Adult ADHD Rating Scales (forma longa, heterorrelato)</v>
      </c>
      <c r="C21" s="6" t="str">
        <f aca="false">IFERROR(INDEX(Catálogo!C$4:C$1000,MATCH($A$1&amp;"|"&amp;18,Índice!$A$4:$A$1000,0)),"")</f>
        <v>Atenção, PHDA &amp; Funções Executivas</v>
      </c>
      <c r="D21" s="6" t="str">
        <f aca="false">IFERROR(INDEX(Catálogo!D$4:D$1000,MATCH($A$1&amp;"|"&amp;18,Índice!$A$4:$A$1000,0)),"")</f>
        <v>Cônjuge/Parceiro(a), Familiar, Mãe, Pai, Outro familiar</v>
      </c>
      <c r="E21" s="6" t="str">
        <f aca="false">IFERROR(INDEX(Catálogo!E$4:E$1000,MATCH($A$1&amp;"|"&amp;18,Índice!$A$4:$A$1000,0)),"")</f>
        <v>18–99 anos</v>
      </c>
      <c r="F21" s="5" t="n">
        <f aca="false">IFERROR(INDEX(Catálogo!F$4:F$1000,MATCH($A$1&amp;"|"&amp;18,Índice!$A$4:$A$1000,0)),"")</f>
        <v>18</v>
      </c>
      <c r="G21" s="5" t="n">
        <f aca="false">IFERROR(INDEX(Catálogo!G$4:G$1000,MATCH($A$1&amp;"|"&amp;18,Índice!$A$4:$A$1000,0)),"")</f>
        <v>99</v>
      </c>
      <c r="H21" s="5" t="n">
        <f aca="false">IFERROR(INDEX(Catálogo!H$4:H$1000,MATCH($A$1&amp;"|"&amp;18,Índice!$A$4:$A$1000,0)),"")</f>
        <v>12</v>
      </c>
      <c r="I21" s="6" t="str">
        <f aca="false">IFERROR(INDEX(Catálogo!I$4:I$1000,MATCH($A$1&amp;"|"&amp;18,Índice!$A$4:$A$1000,0)),"")</f>
        <v>Avalia a sintomatologia de Perturbação de Hiperatividade e Défice de Atenção no ADULTO através da forma longa das Conners’ Adult ADHD Rating Scales (Conners, Erhardt &amp; Sparrow, 1999; Multi-Health Systems Inc.). 66 itens numa escala 0–3 (0 = nada, nunca → 3 = muito, muito frequentemente), TODOS no sentido directo — não existe um único item invertido. Devolve oito resultados brutos: quatro escalas factoriais (A Problemas de Desatenção/Memória, B Hiperatividade/Inquietação, C Impulsividade/Labilidade Emocional, D Problemas com o Autoconceito), as duas listas de sintomas do DSM-IV (E Desatenção, F Hiperatividade-Impulsividade) e as suas derivadas (G Sintomas Totais de PHDA = E + F, H Índice de PHDA), mais o Índice de Inconsistência. ⚠ A conversão de resultado bruto em T-score NÃO é feita pela plataforma: as tabelas normativas são propriedade do editor (MHS) e a leitura faz-se nas folhas de perfil oficiais, pelo SEXO e IDADE DA PESSOA AVALIADA — nunca do observador. O T é introduzido manualmente no painel clínico do questionário, onde activa as bandas descritivas (45 · 56 · 60 · 65 · 70) e a interpretação; sem T introduzido o painel apresenta apenas resultados brutos e percentagem do máximo, em paleta azul e sem juízo de gravidade. ⚠ As bandas são convenções interpretativas, NÃO pontos de corte diagnósticos: o DSM-5-TR exige início antes dos 12 anos, presença em pelo menos dois contextos e interferência funcional. ⚠ Nenhuma das formas é padrão-ouro face à outra — a divergência entre auto-relato e heterorrelato é dado clínico a interpretar, não critério de validade. ⚠ Índice de Inconsistência ≥ 8 exige prudência interpretativa quanto à consistência do protocolo. ⚠ Instrumento sob licença (MHS): utilização reservada a quem detenha protocolo oficial e o manual. Forma de HETERORRELATO: responde um observador que convive com a pessoa avaliada (cônjuge, progenitor, irmão(ã) ou outro). O tempo e a frequência de contacto são registados no próprio questionário porque um contacto limitado, ou restrito a um único contexto, reduz a validade do perfil.</v>
      </c>
      <c r="J21" s="6" t="str">
        <f aca="false">IFERROR(INDEX(Catálogo!J$4:J$1000,MATCH($A$1&amp;"|"&amp;18,Índice!$A$4:$A$1000,0)),"")</f>
        <v>A — Problemas de Desatenção/Memória (12 itens, RB 0–36): esquecimento, desorganização, dificuldade em iniciar e concluir tarefas, má estimativa do tempo | B — Hiperatividade/Inquietação (12 itens, RB 0–36): inquietação motora e interna, procura de estimulação, dificuldade em permanecer parado | C — Impulsividade/Labilidade Emocional (12 itens, RB 0–36): dizer e agir sem pensar, irritabilidade, oscilações de humor, baixa tolerância à frustração | D — Problemas com o Autoconceito (6 itens, RB 0–18): insegurança, baixa confiança nas próprias capacidades, peso dos fracassos anteriores | E — Sintomas de Desatenção do DSM-IV (9 itens, RB 0–27): correspondência item a item com o critério A1 | F — Sintomas de Hiperatividade-Impulsividade do DSM-IV (9 itens, RB 0–27): correspondência item a item com o critério A2 | G — Sintomas Totais de PHDA do DSM-IV (18 itens, RB 0–54): derivada por soma de E + F, sem itens próprios | H — Índice de PHDA (12 itens, RB 0–36): itens que melhor discriminam adultos com e sem o diagnóstico; escala de rastreio | Índice de Inconsistência (0–24): soma dos diferenciais absolutos em 8 pares de itens de conteúdo equivalente (11-49, 40-44, 20-25, 13-27, 30-47, 19-23, 6-37, 26-63); ≥ 8 exige prudência interpretativa | Grupo normativo derivado da idade da pessoa avaliada — 1: 18–29 · 2: 30–39 · 3: 40–49 · 4: ≥ 50 anos; as folhas de perfil são ainda separadas por sexo (M1–M4 / F1–F4) | Bandas descritivas por T-score, comuns às duas formas — Abaixo da média (&lt; 45) · Média (45–55) · Ligeiramente atípico (56–59) · Ligeiramente elevado (60–64) · Elevado (65–69) · Muito elevado (≥ 70) | Seis itens pertencem simultaneamente a duas escalas (19, 23, 26, 27, 40 e 63): 72 atribuições item→escala para 66 itens — soma de controlo do protocolo de cotação</v>
      </c>
      <c r="K21" s="6" t="str">
        <f aca="false">IFERROR(INDEX(Catálogo!K$4:K$1000,MATCH($A$1&amp;"|"&amp;18,Índice!$A$4:$A$1000,0)),"")</f>
        <v>caars_ol</v>
      </c>
      <c r="L21" s="6" t="str">
        <f aca="false">IFERROR(INDEX(Catálogo!L$4:L$1000,MATCH($A$1&amp;"|"&amp;18,Índice!$A$4:$A$1000,0)),"")</f>
        <v>q_caars_ol</v>
      </c>
      <c r="M21" s="7" t="str">
        <f aca="false">IFERROR(INDEX(Catálogo!M$4:M$1000,MATCH($A$1&amp;"|"&amp;18,Índice!$A$4:$A$1000,0)),"")</f>
        <v>https://correiaricardina-ui.github.io/questionarios/CAARS_OL_v1.html</v>
      </c>
    </row>
    <row r="22" customFormat="false" ht="42" hidden="false" customHeight="true" outlineLevel="0" collapsed="false">
      <c r="A22" s="5" t="n">
        <f aca="false">IFERROR(INDEX(Catálogo!A$4:A$1000,MATCH($A$1&amp;"|"&amp;19,Índice!$A$4:$A$1000,0)),"")</f>
        <v>219</v>
      </c>
      <c r="B22" s="6" t="str">
        <f aca="false">IFERROR(INDEX(Catálogo!B$4:B$1000,MATCH($A$1&amp;"|"&amp;19,Índice!$A$4:$A$1000,0)),"")</f>
        <v>EAFE-CA — Escala de Avaliação do Funcionamento Executivo em Crianças e Adolescentes (Pais e Cuidadores)</v>
      </c>
      <c r="C22" s="6" t="str">
        <f aca="false">IFERROR(INDEX(Catálogo!C$4:C$1000,MATCH($A$1&amp;"|"&amp;19,Índice!$A$4:$A$1000,0)),"")</f>
        <v>Atenção, PHDA &amp; Funções Executivas</v>
      </c>
      <c r="D22" s="6" t="str">
        <f aca="false">IFERROR(INDEX(Catálogo!D$4:D$1000,MATCH($A$1&amp;"|"&amp;19,Índice!$A$4:$A$1000,0)),"")</f>
        <v>Mãe, Pai, Enc. Educação</v>
      </c>
      <c r="E22" s="6" t="str">
        <f aca="false">IFERROR(INDEX(Catálogo!E$4:E$1000,MATCH($A$1&amp;"|"&amp;19,Índice!$A$4:$A$1000,0)),"")</f>
        <v>6–17 anos</v>
      </c>
      <c r="F22" s="5" t="n">
        <f aca="false">IFERROR(INDEX(Catálogo!F$4:F$1000,MATCH($A$1&amp;"|"&amp;19,Índice!$A$4:$A$1000,0)),"")</f>
        <v>6</v>
      </c>
      <c r="G22" s="5" t="n">
        <f aca="false">IFERROR(INDEX(Catálogo!G$4:G$1000,MATCH($A$1&amp;"|"&amp;19,Índice!$A$4:$A$1000,0)),"")</f>
        <v>17</v>
      </c>
      <c r="H22" s="5" t="n">
        <f aca="false">IFERROR(INDEX(Catálogo!H$4:H$1000,MATCH($A$1&amp;"|"&amp;19,Índice!$A$4:$A$1000,0)),"")</f>
        <v>16</v>
      </c>
      <c r="I22" s="6" t="str">
        <f aca="false">IFERROR(INDEX(Catálogo!I$4:I$1000,MATCH($A$1&amp;"|"&amp;19,Índice!$A$4:$A$1000,0)),"")</f>
        <v>Avalia o FUNCIONAMENTO EXECUTIVO no quotidiano em cinco domínios de autorregulação. Instrumento ORIGINAL de construção própria em português europeu, inspirado no modelo híbrido de autorregulação e funções executivas de Barkley (1997, 2011, 2012): NÃO constitui tradução, adaptação autorizada nem equivalente psicométrico de qualquer instrumento publicado. 60 itens em escala 1–4 (1 nunca ou raramente · 2 às vezes · 3 frequentemente · 4 muito frequentemente), janela dos ÚLTIMOS 6 MESES, 5 blocos paginados de 12 itens correspondentes aos 5 domínios. DEZ itens invertidos (8, 11, 18, 23, 31, 35, 42, 47, 53, 57), recodificados como 5 menos o valor assinalado — descrevem comportamentos ADEQUADOS e não dificuldades. ⚠ NÃO DISPÕE de estudos de validade, fidelidade ou normas para a população portuguesa: os limiares são CRITERIAIS, ancorados na escala de resposta, e NÃO normativos — leitura em paleta AZUL, sem codificação de gravidade por cores. ⚠ Apoio EXPLORATÓRIO à formulação clínica e à monitorização de intervenção; não substitui instrumentos validados (BRIEF, Conners, ASEBA) nem fundamenta, isoladamente, qualquer decisão diagnóstica. ⚠ O literal N/C (não cotável) é devolvido e gravado TAL COMO VEM quando um domínio tem menos de 10 itens respondidos, o protocolo global menos de 50, falta algum dos 10 itens do IRE ou falta alguma das cinco médias de domínio para a AID — N/C e zero são resultados clinicamente opostos. ⚠ AID igual ou superior a 0,75 obriga a interpretar POR DOMÍNIO e não pelo compósito global. ⚠ TRÊS FORMAS ISOMÓRFICAS (Pais e Cuidadores, Autorrelato, Professores), em que a mesma posição corresponde ao mesmo conteúdo, o que permite comparação directa item a item, por domínio e entre contextos; manter o MESMO informante ao longo dos momentos. ⚠ NÃO confundir com a EAFE (Entrevista de Análise Funcional do Estudo), instrumento distinto. Forma de HETERORRELATO PARENTAL, com registo do grau de parentesco; se houver medicação para perturbação do desenvolvimento ou do comportamento, responde-se tendo em conta o funcionamento SEM medicação.</v>
      </c>
      <c r="J22" s="6" t="str">
        <f aca="false">IFERROR(INDEX(Catálogo!J$4:J$1000,MATCH($A$1&amp;"|"&amp;19,Índice!$A$4:$A$1000,0)),"")</f>
        <v>AGT · Autogestão do Tempo (itens 1–12): noção do tempo, estimativa de duração, antecipação, cumprimento de prazos e prontidão de material | ARP · Auto-organização e Resolução de Problemas (itens 13–24): memória de trabalho aplicada, sequenciação de etapas, flexibilidade perante o imprevisto, organização do material e organização do discurso | ACI · Autocontrolo Inibitório (itens 25–36): inibição de resposta, espera pela vez, ponderação das alternativas, avaliação do risco e ajustamento ao feedback correctivo | AMP · Automotivação e Persistência (itens 37–48): manutenção do esforço em tarefa monótona, resistência à distração, iniciativa em tarefa de rotina e trabalho para objetivos diferidos | ARE · Autorregulação Emocional (itens 49–60): tolerância à frustração, latência de recuperação, reavaliação depois de acalmar e interferência do estado emocional no desempenho | Por domínio: pontuação bruta, média por item (1,00–4,00) e CI (contagem de indicadores — itens corrigidos iguais ou superiores a 3); exige pelo menos 10 dos 12 itens respondidos, caso contrário devolve N/C | PEG · Pontuação Executiva Global: soma dos itens corrigidos respondidos; exige pelo menos 50 dos 60 itens | MEG · Média Executiva Global (1,00–4,00) = PEG a dividir pelo número de itens respondidos; métrica de leitura de eleição, comparável entre domínios, entre informantes e entre momentos | CI_Global · contagem global de indicadores (0–60): 0–11 sem indicadores · 12–20 ligeiros · 21–35 moderados · 36 ou mais acentuados | IRE · Índice de Risco Executivo (10–40) = soma dos itens 4, 6, 13, 19, 25, 28, 37, 44, 50 e 55; exige os 10 itens respondidos | AID · Amplitude Interdomínios = média mais alta menos média mais baixa; igual ou superior a 0,75 indica perfil HETEROGÉNEO e obriga a leitura por domínio | Limiares criteriais da média por item: 1,00–1,74 sem indicadores · 1,75–2,24 ligeiros · 2,25–2,99 moderados · 3,00–4,00 acentuados | Limiares criteriais do IRE: inferior a 25 sem sinalização · 25–29 sinalização moderada · 30 ou mais sinalização elevada | Matriz de leitura clínica domínio × categoria: para cada um dos cinco domínios e cada uma das quatro categorias, a orientação interpretativa e a indicação de aprofundamento ou de suporte correspondentes | Validade do protocolo: N_Respondidos (de 60), Opcoes_Distintas (de 4 — padrão de resposta pouco diferenciado), Disc_Media (média dos itens invertidos menos média dos directos — possível aquiescência ou itens invertidos não processados) e texto da Sinalização activa | Monitorização serial pelo campo Momento da avaliação, mantendo o MESMO informante ao longo dos momentos</v>
      </c>
      <c r="K22" s="6" t="str">
        <f aca="false">IFERROR(INDEX(Catálogo!K$4:K$1000,MATCH($A$1&amp;"|"&amp;19,Índice!$A$4:$A$1000,0)),"")</f>
        <v>eafeca_p</v>
      </c>
      <c r="L22" s="6" t="str">
        <f aca="false">IFERROR(INDEX(Catálogo!L$4:L$1000,MATCH($A$1&amp;"|"&amp;19,Índice!$A$4:$A$1000,0)),"")</f>
        <v>q_eafeca_p</v>
      </c>
      <c r="M22" s="7" t="str">
        <f aca="false">IFERROR(INDEX(Catálogo!M$4:M$1000,MATCH($A$1&amp;"|"&amp;19,Índice!$A$4:$A$1000,0)),"")</f>
        <v>https://correiaricardina-ui.github.io/questionarios/EAFECA_Pais_v1.html</v>
      </c>
    </row>
    <row r="23" customFormat="false" ht="42" hidden="false" customHeight="true" outlineLevel="0" collapsed="false">
      <c r="A23" s="5" t="n">
        <f aca="false">IFERROR(INDEX(Catálogo!A$4:A$1000,MATCH($A$1&amp;"|"&amp;20,Índice!$A$4:$A$1000,0)),"")</f>
        <v>220</v>
      </c>
      <c r="B23" s="6" t="str">
        <f aca="false">IFERROR(INDEX(Catálogo!B$4:B$1000,MATCH($A$1&amp;"|"&amp;20,Índice!$A$4:$A$1000,0)),"")</f>
        <v>EAFE-CA — Escala de Avaliação do Funcionamento Executivo em Crianças e Adolescentes (Autorrelato)</v>
      </c>
      <c r="C23" s="6" t="str">
        <f aca="false">IFERROR(INDEX(Catálogo!C$4:C$1000,MATCH($A$1&amp;"|"&amp;20,Índice!$A$4:$A$1000,0)),"")</f>
        <v>Atenção, PHDA &amp; Funções Executivas</v>
      </c>
      <c r="D23" s="6" t="str">
        <f aca="false">IFERROR(INDEX(Catálogo!D$4:D$1000,MATCH($A$1&amp;"|"&amp;20,Índice!$A$4:$A$1000,0)),"")</f>
        <v>Paciente</v>
      </c>
      <c r="E23" s="6" t="str">
        <f aca="false">IFERROR(INDEX(Catálogo!E$4:E$1000,MATCH($A$1&amp;"|"&amp;20,Índice!$A$4:$A$1000,0)),"")</f>
        <v>12–17 anos</v>
      </c>
      <c r="F23" s="5" t="n">
        <f aca="false">IFERROR(INDEX(Catálogo!F$4:F$1000,MATCH($A$1&amp;"|"&amp;20,Índice!$A$4:$A$1000,0)),"")</f>
        <v>12</v>
      </c>
      <c r="G23" s="5" t="n">
        <f aca="false">IFERROR(INDEX(Catálogo!G$4:G$1000,MATCH($A$1&amp;"|"&amp;20,Índice!$A$4:$A$1000,0)),"")</f>
        <v>17</v>
      </c>
      <c r="H23" s="5" t="n">
        <f aca="false">IFERROR(INDEX(Catálogo!H$4:H$1000,MATCH($A$1&amp;"|"&amp;20,Índice!$A$4:$A$1000,0)),"")</f>
        <v>16</v>
      </c>
      <c r="I23" s="6" t="str">
        <f aca="false">IFERROR(INDEX(Catálogo!I$4:I$1000,MATCH($A$1&amp;"|"&amp;20,Índice!$A$4:$A$1000,0)),"")</f>
        <v>Avalia o FUNCIONAMENTO EXECUTIVO no quotidiano em cinco domínios de autorregulação. Instrumento ORIGINAL de construção própria em português europeu, inspirado no modelo híbrido de autorregulação e funções executivas de Barkley (1997, 2011, 2012): NÃO constitui tradução, adaptação autorizada nem equivalente psicométrico de qualquer instrumento publicado. 60 itens em escala 1–4 (1 nunca ou raramente · 2 às vezes · 3 frequentemente · 4 muito frequentemente), janela dos ÚLTIMOS 6 MESES, 5 blocos paginados de 12 itens correspondentes aos 5 domínios. DEZ itens invertidos (8, 11, 18, 23, 31, 35, 42, 47, 53, 57), recodificados como 5 menos o valor assinalado — descrevem comportamentos ADEQUADOS e não dificuldades. ⚠ NÃO DISPÕE de estudos de validade, fidelidade ou normas para a população portuguesa: os limiares são CRITERIAIS, ancorados na escala de resposta, e NÃO normativos — leitura em paleta AZUL, sem codificação de gravidade por cores. ⚠ Apoio EXPLORATÓRIO à formulação clínica e à monitorização de intervenção; não substitui instrumentos validados (BRIEF, Conners, ASEBA) nem fundamenta, isoladamente, qualquer decisão diagnóstica. ⚠ O literal N/C (não cotável) é devolvido e gravado TAL COMO VEM quando um domínio tem menos de 10 itens respondidos, o protocolo global menos de 50, falta algum dos 10 itens do IRE ou falta alguma das cinco médias de domínio para a AID — N/C e zero são resultados clinicamente opostos. ⚠ AID igual ou superior a 0,75 obriga a interpretar POR DOMÍNIO e não pelo compósito global. ⚠ TRÊS FORMAS ISOMÓRFICAS (Pais e Cuidadores, Autorrelato, Professores), em que a mesma posição corresponde ao mesmo conteúdo, o que permite comparação directa item a item, por domínio e entre contextos; manter o MESMO informante ao longo dos momentos. ⚠ NÃO confundir com a EAFE (Entrevista de Análise Funcional do Estudo), instrumento distinto. Forma de AUTORRELATO dos 12 aos 17 anos, com redação na primeira pessoa. A discrepância entre a perceção do jovem e a dos adultos é, ela própria, informação clínica: um autorrelato sistematicamente mais favorável sugere menor consciência crítica das dificuldades, e o inverso sinaliza sofrimento não plenamente percecionado pelos adultos.</v>
      </c>
      <c r="J23" s="6" t="str">
        <f aca="false">IFERROR(INDEX(Catálogo!J$4:J$1000,MATCH($A$1&amp;"|"&amp;20,Índice!$A$4:$A$1000,0)),"")</f>
        <v>AGT · Autogestão do Tempo (itens 1–12): noção do tempo, estimativa de duração, antecipação, cumprimento de prazos e prontidão de material | ARP · Auto-organização e Resolução de Problemas (itens 13–24): memória de trabalho aplicada, sequenciação de etapas, flexibilidade perante o imprevisto, organização do material e organização do discurso | ACI · Autocontrolo Inibitório (itens 25–36): inibição de resposta, espera pela vez, ponderação das alternativas, avaliação do risco e ajustamento ao feedback correctivo | AMP · Automotivação e Persistência (itens 37–48): manutenção do esforço em tarefa monótona, resistência à distração, iniciativa em tarefa de rotina e trabalho para objetivos diferidos | ARE · Autorregulação Emocional (itens 49–60): tolerância à frustração, latência de recuperação, reavaliação depois de acalmar e interferência do estado emocional no desempenho | Por domínio: pontuação bruta, média por item (1,00–4,00) e CI (contagem de indicadores — itens corrigidos iguais ou superiores a 3); exige pelo menos 10 dos 12 itens respondidos, caso contrário devolve N/C | PEG · Pontuação Executiva Global: soma dos itens corrigidos respondidos; exige pelo menos 50 dos 60 itens | MEG · Média Executiva Global (1,00–4,00) = PEG a dividir pelo número de itens respondidos; métrica de leitura de eleição, comparável entre domínios, entre informantes e entre momentos | CI_Global · contagem global de indicadores (0–60): 0–11 sem indicadores · 12–20 ligeiros · 21–35 moderados · 36 ou mais acentuados | IRE · Índice de Risco Executivo (10–40) = soma dos itens 4, 6, 13, 19, 25, 28, 37, 44, 50 e 55; exige os 10 itens respondidos | AID · Amplitude Interdomínios = média mais alta menos média mais baixa; igual ou superior a 0,75 indica perfil HETEROGÉNEO e obriga a leitura por domínio | Limiares criteriais da média por item: 1,00–1,74 sem indicadores · 1,75–2,24 ligeiros · 2,25–2,99 moderados · 3,00–4,00 acentuados | Limiares criteriais do IRE: inferior a 25 sem sinalização · 25–29 sinalização moderada · 30 ou mais sinalização elevada | Matriz de leitura clínica domínio × categoria: para cada um dos cinco domínios e cada uma das quatro categorias, a orientação interpretativa e a indicação de aprofundamento ou de suporte correspondentes | Validade do protocolo: N_Respondidos (de 60), Opcoes_Distintas (de 4 — padrão de resposta pouco diferenciado), Disc_Media (média dos itens invertidos menos média dos directos — possível aquiescência ou itens invertidos não processados) e texto da Sinalização activa | Monitorização serial pelo campo Momento da avaliação, mantendo o MESMO informante ao longo dos momentos</v>
      </c>
      <c r="K23" s="6" t="str">
        <f aca="false">IFERROR(INDEX(Catálogo!K$4:K$1000,MATCH($A$1&amp;"|"&amp;20,Índice!$A$4:$A$1000,0)),"")</f>
        <v>eafeca_a</v>
      </c>
      <c r="L23" s="6" t="str">
        <f aca="false">IFERROR(INDEX(Catálogo!L$4:L$1000,MATCH($A$1&amp;"|"&amp;20,Índice!$A$4:$A$1000,0)),"")</f>
        <v>q_eafeca_a</v>
      </c>
      <c r="M23" s="7" t="str">
        <f aca="false">IFERROR(INDEX(Catálogo!M$4:M$1000,MATCH($A$1&amp;"|"&amp;20,Índice!$A$4:$A$1000,0)),"")</f>
        <v>https://correiaricardina-ui.github.io/questionarios/EAFECA_Auto_v1.html</v>
      </c>
    </row>
    <row r="24" customFormat="false" ht="42" hidden="false" customHeight="true" outlineLevel="0" collapsed="false">
      <c r="A24" s="5" t="n">
        <f aca="false">IFERROR(INDEX(Catálogo!A$4:A$1000,MATCH($A$1&amp;"|"&amp;21,Índice!$A$4:$A$1000,0)),"")</f>
        <v>221</v>
      </c>
      <c r="B24" s="6" t="str">
        <f aca="false">IFERROR(INDEX(Catálogo!B$4:B$1000,MATCH($A$1&amp;"|"&amp;21,Índice!$A$4:$A$1000,0)),"")</f>
        <v>EAFE-CA — Escala de Avaliação do Funcionamento Executivo em Crianças e Adolescentes (Professores)</v>
      </c>
      <c r="C24" s="6" t="str">
        <f aca="false">IFERROR(INDEX(Catálogo!C$4:C$1000,MATCH($A$1&amp;"|"&amp;21,Índice!$A$4:$A$1000,0)),"")</f>
        <v>Atenção, PHDA &amp; Funções Executivas</v>
      </c>
      <c r="D24" s="6" t="str">
        <f aca="false">IFERROR(INDEX(Catálogo!D$4:D$1000,MATCH($A$1&amp;"|"&amp;21,Índice!$A$4:$A$1000,0)),"")</f>
        <v>Professor(a), Diretor(a) de turma</v>
      </c>
      <c r="E24" s="6" t="str">
        <f aca="false">IFERROR(INDEX(Catálogo!E$4:E$1000,MATCH($A$1&amp;"|"&amp;21,Índice!$A$4:$A$1000,0)),"")</f>
        <v>6–17 anos</v>
      </c>
      <c r="F24" s="5" t="n">
        <f aca="false">IFERROR(INDEX(Catálogo!F$4:F$1000,MATCH($A$1&amp;"|"&amp;21,Índice!$A$4:$A$1000,0)),"")</f>
        <v>6</v>
      </c>
      <c r="G24" s="5" t="n">
        <f aca="false">IFERROR(INDEX(Catálogo!G$4:G$1000,MATCH($A$1&amp;"|"&amp;21,Índice!$A$4:$A$1000,0)),"")</f>
        <v>17</v>
      </c>
      <c r="H24" s="5" t="n">
        <f aca="false">IFERROR(INDEX(Catálogo!H$4:H$1000,MATCH($A$1&amp;"|"&amp;21,Índice!$A$4:$A$1000,0)),"")</f>
        <v>16</v>
      </c>
      <c r="I24" s="6" t="str">
        <f aca="false">IFERROR(INDEX(Catálogo!I$4:I$1000,MATCH($A$1&amp;"|"&amp;21,Índice!$A$4:$A$1000,0)),"")</f>
        <v>Avalia o FUNCIONAMENTO EXECUTIVO no quotidiano em cinco domínios de autorregulação. Instrumento ORIGINAL de construção própria em português europeu, inspirado no modelo híbrido de autorregulação e funções executivas de Barkley (1997, 2011, 2012): NÃO constitui tradução, adaptação autorizada nem equivalente psicométrico de qualquer instrumento publicado. 60 itens em escala 1–4 (1 nunca ou raramente · 2 às vezes · 3 frequentemente · 4 muito frequentemente), janela dos ÚLTIMOS 6 MESES, 5 blocos paginados de 12 itens correspondentes aos 5 domínios. DEZ itens invertidos (8, 11, 18, 23, 31, 35, 42, 47, 53, 57), recodificados como 5 menos o valor assinalado — descrevem comportamentos ADEQUADOS e não dificuldades. ⚠ NÃO DISPÕE de estudos de validade, fidelidade ou normas para a população portuguesa: os limiares são CRITERIAIS, ancorados na escala de resposta, e NÃO normativos — leitura em paleta AZUL, sem codificação de gravidade por cores. ⚠ Apoio EXPLORATÓRIO à formulação clínica e à monitorização de intervenção; não substitui instrumentos validados (BRIEF, Conners, ASEBA) nem fundamenta, isoladamente, qualquer decisão diagnóstica. ⚠ O literal N/C (não cotável) é devolvido e gravado TAL COMO VEM quando um domínio tem menos de 10 itens respondidos, o protocolo global menos de 50, falta algum dos 10 itens do IRE ou falta alguma das cinco médias de domínio para a AID — N/C e zero são resultados clinicamente opostos. ⚠ AID igual ou superior a 0,75 obriga a interpretar POR DOMÍNIO e não pelo compósito global. ⚠ TRÊS FORMAS ISOMÓRFICAS (Pais e Cuidadores, Autorrelato, Professores), em que a mesma posição corresponde ao mesmo conteúdo, o que permite comparação directa item a item, por domínio e entre contextos; manter o MESMO informante ao longo dos momentos. ⚠ NÃO confundir com a EAFE (Entrevista de Análise Funcional do Estudo), instrumento distinto. Forma de HETERORRELATO ESCOLAR, com registo da disciplina leccionada, do tempo de conhecimento do aluno e do número de horas semanais de contacto — dados indispensáveis para ponderar a base observacional de quem responde. A comparação casa × escola é uma das saídas clinicamente mais produtivas: a especificidade contextual das dificuldades executivas orienta a formulação e o plano de acomodações.</v>
      </c>
      <c r="J24" s="6" t="str">
        <f aca="false">IFERROR(INDEX(Catálogo!J$4:J$1000,MATCH($A$1&amp;"|"&amp;21,Índice!$A$4:$A$1000,0)),"")</f>
        <v>AGT · Autogestão do Tempo (itens 1–12): noção do tempo, estimativa de duração, antecipação, cumprimento de prazos e prontidão de material | ARP · Auto-organização e Resolução de Problemas (itens 13–24): memória de trabalho aplicada, sequenciação de etapas, flexibilidade perante o imprevisto, organização do material e organização do discurso | ACI · Autocontrolo Inibitório (itens 25–36): inibição de resposta, espera pela vez, ponderação das alternativas, avaliação do risco e ajustamento ao feedback correctivo | AMP · Automotivação e Persistência (itens 37–48): manutenção do esforço em tarefa monótona, resistência à distração, iniciativa em tarefa de rotina e trabalho para objetivos diferidos | ARE · Autorregulação Emocional (itens 49–60): tolerância à frustração, latência de recuperação, reavaliação depois de acalmar e interferência do estado emocional no desempenho | Por domínio: pontuação bruta, média por item (1,00–4,00) e CI (contagem de indicadores — itens corrigidos iguais ou superiores a 3); exige pelo menos 10 dos 12 itens respondidos, caso contrário devolve N/C | PEG · Pontuação Executiva Global: soma dos itens corrigidos respondidos; exige pelo menos 50 dos 60 itens | MEG · Média Executiva Global (1,00–4,00) = PEG a dividir pelo número de itens respondidos; métrica de leitura de eleição, comparável entre domínios, entre informantes e entre momentos | CI_Global · contagem global de indicadores (0–60): 0–11 sem indicadores · 12–20 ligeiros · 21–35 moderados · 36 ou mais acentuados | IRE · Índice de Risco Executivo (10–40) = soma dos itens 4, 6, 13, 19, 25, 28, 37, 44, 50 e 55; exige os 10 itens respondidos | AID · Amplitude Interdomínios = média mais alta menos média mais baixa; igual ou superior a 0,75 indica perfil HETEROGÉNEO e obriga a leitura por domínio | Limiares criteriais da média por item: 1,00–1,74 sem indicadores · 1,75–2,24 ligeiros · 2,25–2,99 moderados · 3,00–4,00 acentuados | Limiares criteriais do IRE: inferior a 25 sem sinalização · 25–29 sinalização moderada · 30 ou mais sinalização elevada | Matriz de leitura clínica domínio × categoria: para cada um dos cinco domínios e cada uma das quatro categorias, a orientação interpretativa e a indicação de aprofundamento ou de suporte correspondentes | Validade do protocolo: N_Respondidos (de 60), Opcoes_Distintas (de 4 — padrão de resposta pouco diferenciado), Disc_Media (média dos itens invertidos menos média dos directos — possível aquiescência ou itens invertidos não processados) e texto da Sinalização activa | Monitorização serial pelo campo Momento da avaliação, mantendo o MESMO informante ao longo dos momentos</v>
      </c>
      <c r="K24" s="6" t="str">
        <f aca="false">IFERROR(INDEX(Catálogo!K$4:K$1000,MATCH($A$1&amp;"|"&amp;21,Índice!$A$4:$A$1000,0)),"")</f>
        <v>eafeca_t</v>
      </c>
      <c r="L24" s="6" t="str">
        <f aca="false">IFERROR(INDEX(Catálogo!L$4:L$1000,MATCH($A$1&amp;"|"&amp;21,Índice!$A$4:$A$1000,0)),"")</f>
        <v>q_eafeca_t</v>
      </c>
      <c r="M24" s="7" t="str">
        <f aca="false">IFERROR(INDEX(Catálogo!M$4:M$1000,MATCH($A$1&amp;"|"&amp;21,Índice!$A$4:$A$1000,0)),"")</f>
        <v>https://correiaricardina-ui.github.io/questionarios/EAFECA_Prof_v1.html</v>
      </c>
    </row>
    <row r="25" customFormat="false" ht="42" hidden="false" customHeight="true" outlineLevel="0" collapsed="false">
      <c r="A25" s="5" t="str">
        <f aca="false">IFERROR(INDEX(Catálogo!A$4:A$1000,MATCH($A$1&amp;"|"&amp;22,Índice!$A$4:$A$1000,0)),"")</f>
        <v/>
      </c>
      <c r="B25" s="6" t="str">
        <f aca="false">IFERROR(INDEX(Catálogo!B$4:B$1000,MATCH($A$1&amp;"|"&amp;22,Índice!$A$4:$A$1000,0)),"")</f>
        <v/>
      </c>
      <c r="C25" s="6" t="str">
        <f aca="false">IFERROR(INDEX(Catálogo!C$4:C$1000,MATCH($A$1&amp;"|"&amp;22,Índice!$A$4:$A$1000,0)),"")</f>
        <v/>
      </c>
      <c r="D25" s="6" t="str">
        <f aca="false">IFERROR(INDEX(Catálogo!D$4:D$1000,MATCH($A$1&amp;"|"&amp;22,Índice!$A$4:$A$1000,0)),"")</f>
        <v/>
      </c>
      <c r="E25" s="6" t="str">
        <f aca="false">IFERROR(INDEX(Catálogo!E$4:E$1000,MATCH($A$1&amp;"|"&amp;22,Índice!$A$4:$A$1000,0)),"")</f>
        <v/>
      </c>
      <c r="F25" s="5" t="str">
        <f aca="false">IFERROR(INDEX(Catálogo!F$4:F$1000,MATCH($A$1&amp;"|"&amp;22,Índice!$A$4:$A$1000,0)),"")</f>
        <v/>
      </c>
      <c r="G25" s="5" t="str">
        <f aca="false">IFERROR(INDEX(Catálogo!G$4:G$1000,MATCH($A$1&amp;"|"&amp;22,Índice!$A$4:$A$1000,0)),"")</f>
        <v/>
      </c>
      <c r="H25" s="5" t="str">
        <f aca="false">IFERROR(INDEX(Catálogo!H$4:H$1000,MATCH($A$1&amp;"|"&amp;22,Índice!$A$4:$A$1000,0)),"")</f>
        <v/>
      </c>
      <c r="I25" s="6" t="str">
        <f aca="false">IFERROR(INDEX(Catálogo!I$4:I$1000,MATCH($A$1&amp;"|"&amp;22,Índice!$A$4:$A$1000,0)),"")</f>
        <v/>
      </c>
      <c r="J25" s="6" t="str">
        <f aca="false">IFERROR(INDEX(Catálogo!J$4:J$1000,MATCH($A$1&amp;"|"&amp;22,Índice!$A$4:$A$1000,0)),"")</f>
        <v/>
      </c>
      <c r="K25" s="6" t="str">
        <f aca="false">IFERROR(INDEX(Catálogo!K$4:K$1000,MATCH($A$1&amp;"|"&amp;22,Índice!$A$4:$A$1000,0)),"")</f>
        <v/>
      </c>
      <c r="L25" s="6" t="str">
        <f aca="false">IFERROR(INDEX(Catálogo!L$4:L$1000,MATCH($A$1&amp;"|"&amp;22,Índice!$A$4:$A$1000,0)),"")</f>
        <v/>
      </c>
      <c r="M25" s="7" t="str">
        <f aca="false">IFERROR(INDEX(Catálogo!M$4:M$1000,MATCH($A$1&amp;"|"&amp;22,Índice!$A$4:$A$1000,0)),"")</f>
        <v/>
      </c>
    </row>
    <row r="26" customFormat="false" ht="42" hidden="false" customHeight="true" outlineLevel="0" collapsed="false">
      <c r="A26" s="5" t="str">
        <f aca="false">IFERROR(INDEX(Catálogo!A$4:A$1000,MATCH($A$1&amp;"|"&amp;23,Índice!$A$4:$A$1000,0)),"")</f>
        <v/>
      </c>
      <c r="B26" s="6" t="str">
        <f aca="false">IFERROR(INDEX(Catálogo!B$4:B$1000,MATCH($A$1&amp;"|"&amp;23,Índice!$A$4:$A$1000,0)),"")</f>
        <v/>
      </c>
      <c r="C26" s="6" t="str">
        <f aca="false">IFERROR(INDEX(Catálogo!C$4:C$1000,MATCH($A$1&amp;"|"&amp;23,Índice!$A$4:$A$1000,0)),"")</f>
        <v/>
      </c>
      <c r="D26" s="6" t="str">
        <f aca="false">IFERROR(INDEX(Catálogo!D$4:D$1000,MATCH($A$1&amp;"|"&amp;23,Índice!$A$4:$A$1000,0)),"")</f>
        <v/>
      </c>
      <c r="E26" s="6" t="str">
        <f aca="false">IFERROR(INDEX(Catálogo!E$4:E$1000,MATCH($A$1&amp;"|"&amp;23,Índice!$A$4:$A$1000,0)),"")</f>
        <v/>
      </c>
      <c r="F26" s="5" t="str">
        <f aca="false">IFERROR(INDEX(Catálogo!F$4:F$1000,MATCH($A$1&amp;"|"&amp;23,Índice!$A$4:$A$1000,0)),"")</f>
        <v/>
      </c>
      <c r="G26" s="5" t="str">
        <f aca="false">IFERROR(INDEX(Catálogo!G$4:G$1000,MATCH($A$1&amp;"|"&amp;23,Índice!$A$4:$A$1000,0)),"")</f>
        <v/>
      </c>
      <c r="H26" s="5" t="str">
        <f aca="false">IFERROR(INDEX(Catálogo!H$4:H$1000,MATCH($A$1&amp;"|"&amp;23,Índice!$A$4:$A$1000,0)),"")</f>
        <v/>
      </c>
      <c r="I26" s="6" t="str">
        <f aca="false">IFERROR(INDEX(Catálogo!I$4:I$1000,MATCH($A$1&amp;"|"&amp;23,Índice!$A$4:$A$1000,0)),"")</f>
        <v/>
      </c>
      <c r="J26" s="6" t="str">
        <f aca="false">IFERROR(INDEX(Catálogo!J$4:J$1000,MATCH($A$1&amp;"|"&amp;23,Índice!$A$4:$A$1000,0)),"")</f>
        <v/>
      </c>
      <c r="K26" s="6" t="str">
        <f aca="false">IFERROR(INDEX(Catálogo!K$4:K$1000,MATCH($A$1&amp;"|"&amp;23,Índice!$A$4:$A$1000,0)),"")</f>
        <v/>
      </c>
      <c r="L26" s="6" t="str">
        <f aca="false">IFERROR(INDEX(Catálogo!L$4:L$1000,MATCH($A$1&amp;"|"&amp;23,Índice!$A$4:$A$1000,0)),"")</f>
        <v/>
      </c>
      <c r="M26" s="7" t="str">
        <f aca="false">IFERROR(INDEX(Catálogo!M$4:M$1000,MATCH($A$1&amp;"|"&amp;23,Índice!$A$4:$A$1000,0)),"")</f>
        <v/>
      </c>
    </row>
    <row r="27" customFormat="false" ht="42" hidden="false" customHeight="true" outlineLevel="0" collapsed="false">
      <c r="A27" s="5" t="str">
        <f aca="false">IFERROR(INDEX(Catálogo!A$4:A$1000,MATCH($A$1&amp;"|"&amp;24,Índice!$A$4:$A$1000,0)),"")</f>
        <v/>
      </c>
      <c r="B27" s="6" t="str">
        <f aca="false">IFERROR(INDEX(Catálogo!B$4:B$1000,MATCH($A$1&amp;"|"&amp;24,Índice!$A$4:$A$1000,0)),"")</f>
        <v/>
      </c>
      <c r="C27" s="6" t="str">
        <f aca="false">IFERROR(INDEX(Catálogo!C$4:C$1000,MATCH($A$1&amp;"|"&amp;24,Índice!$A$4:$A$1000,0)),"")</f>
        <v/>
      </c>
      <c r="D27" s="6" t="str">
        <f aca="false">IFERROR(INDEX(Catálogo!D$4:D$1000,MATCH($A$1&amp;"|"&amp;24,Índice!$A$4:$A$1000,0)),"")</f>
        <v/>
      </c>
      <c r="E27" s="6" t="str">
        <f aca="false">IFERROR(INDEX(Catálogo!E$4:E$1000,MATCH($A$1&amp;"|"&amp;24,Índice!$A$4:$A$1000,0)),"")</f>
        <v/>
      </c>
      <c r="F27" s="5" t="str">
        <f aca="false">IFERROR(INDEX(Catálogo!F$4:F$1000,MATCH($A$1&amp;"|"&amp;24,Índice!$A$4:$A$1000,0)),"")</f>
        <v/>
      </c>
      <c r="G27" s="5" t="str">
        <f aca="false">IFERROR(INDEX(Catálogo!G$4:G$1000,MATCH($A$1&amp;"|"&amp;24,Índice!$A$4:$A$1000,0)),"")</f>
        <v/>
      </c>
      <c r="H27" s="5" t="str">
        <f aca="false">IFERROR(INDEX(Catálogo!H$4:H$1000,MATCH($A$1&amp;"|"&amp;24,Índice!$A$4:$A$1000,0)),"")</f>
        <v/>
      </c>
      <c r="I27" s="6" t="str">
        <f aca="false">IFERROR(INDEX(Catálogo!I$4:I$1000,MATCH($A$1&amp;"|"&amp;24,Índice!$A$4:$A$1000,0)),"")</f>
        <v/>
      </c>
      <c r="J27" s="6" t="str">
        <f aca="false">IFERROR(INDEX(Catálogo!J$4:J$1000,MATCH($A$1&amp;"|"&amp;24,Índice!$A$4:$A$1000,0)),"")</f>
        <v/>
      </c>
      <c r="K27" s="6" t="str">
        <f aca="false">IFERROR(INDEX(Catálogo!K$4:K$1000,MATCH($A$1&amp;"|"&amp;24,Índice!$A$4:$A$1000,0)),"")</f>
        <v/>
      </c>
      <c r="L27" s="6" t="str">
        <f aca="false">IFERROR(INDEX(Catálogo!L$4:L$1000,MATCH($A$1&amp;"|"&amp;24,Índice!$A$4:$A$1000,0)),"")</f>
        <v/>
      </c>
      <c r="M27" s="7" t="str">
        <f aca="false">IFERROR(INDEX(Catálogo!M$4:M$1000,MATCH($A$1&amp;"|"&amp;24,Índice!$A$4:$A$1000,0)),"")</f>
        <v/>
      </c>
    </row>
    <row r="28" customFormat="false" ht="42" hidden="false" customHeight="true" outlineLevel="0" collapsed="false">
      <c r="A28" s="5" t="str">
        <f aca="false">IFERROR(INDEX(Catálogo!A$4:A$1000,MATCH($A$1&amp;"|"&amp;25,Índice!$A$4:$A$1000,0)),"")</f>
        <v/>
      </c>
      <c r="B28" s="6" t="str">
        <f aca="false">IFERROR(INDEX(Catálogo!B$4:B$1000,MATCH($A$1&amp;"|"&amp;25,Índice!$A$4:$A$1000,0)),"")</f>
        <v/>
      </c>
      <c r="C28" s="6" t="str">
        <f aca="false">IFERROR(INDEX(Catálogo!C$4:C$1000,MATCH($A$1&amp;"|"&amp;25,Índice!$A$4:$A$1000,0)),"")</f>
        <v/>
      </c>
      <c r="D28" s="6" t="str">
        <f aca="false">IFERROR(INDEX(Catálogo!D$4:D$1000,MATCH($A$1&amp;"|"&amp;25,Índice!$A$4:$A$1000,0)),"")</f>
        <v/>
      </c>
      <c r="E28" s="6" t="str">
        <f aca="false">IFERROR(INDEX(Catálogo!E$4:E$1000,MATCH($A$1&amp;"|"&amp;25,Índice!$A$4:$A$1000,0)),"")</f>
        <v/>
      </c>
      <c r="F28" s="5" t="str">
        <f aca="false">IFERROR(INDEX(Catálogo!F$4:F$1000,MATCH($A$1&amp;"|"&amp;25,Índice!$A$4:$A$1000,0)),"")</f>
        <v/>
      </c>
      <c r="G28" s="5" t="str">
        <f aca="false">IFERROR(INDEX(Catálogo!G$4:G$1000,MATCH($A$1&amp;"|"&amp;25,Índice!$A$4:$A$1000,0)),"")</f>
        <v/>
      </c>
      <c r="H28" s="5" t="str">
        <f aca="false">IFERROR(INDEX(Catálogo!H$4:H$1000,MATCH($A$1&amp;"|"&amp;25,Índice!$A$4:$A$1000,0)),"")</f>
        <v/>
      </c>
      <c r="I28" s="6" t="str">
        <f aca="false">IFERROR(INDEX(Catálogo!I$4:I$1000,MATCH($A$1&amp;"|"&amp;25,Índice!$A$4:$A$1000,0)),"")</f>
        <v/>
      </c>
      <c r="J28" s="6" t="str">
        <f aca="false">IFERROR(INDEX(Catálogo!J$4:J$1000,MATCH($A$1&amp;"|"&amp;25,Índice!$A$4:$A$1000,0)),"")</f>
        <v/>
      </c>
      <c r="K28" s="6" t="str">
        <f aca="false">IFERROR(INDEX(Catálogo!K$4:K$1000,MATCH($A$1&amp;"|"&amp;25,Índice!$A$4:$A$1000,0)),"")</f>
        <v/>
      </c>
      <c r="L28" s="6" t="str">
        <f aca="false">IFERROR(INDEX(Catálogo!L$4:L$1000,MATCH($A$1&amp;"|"&amp;25,Índice!$A$4:$A$1000,0)),"")</f>
        <v/>
      </c>
      <c r="M28" s="7" t="str">
        <f aca="false">IFERROR(INDEX(Catálogo!M$4:M$1000,MATCH($A$1&amp;"|"&amp;25,Índice!$A$4:$A$1000,0)),"")</f>
        <v/>
      </c>
    </row>
    <row r="29" customFormat="false" ht="42" hidden="false" customHeight="true" outlineLevel="0" collapsed="false">
      <c r="A29" s="5" t="str">
        <f aca="false">IFERROR(INDEX(Catálogo!A$4:A$1000,MATCH($A$1&amp;"|"&amp;26,Índice!$A$4:$A$1000,0)),"")</f>
        <v/>
      </c>
      <c r="B29" s="6" t="str">
        <f aca="false">IFERROR(INDEX(Catálogo!B$4:B$1000,MATCH($A$1&amp;"|"&amp;26,Índice!$A$4:$A$1000,0)),"")</f>
        <v/>
      </c>
      <c r="C29" s="6" t="str">
        <f aca="false">IFERROR(INDEX(Catálogo!C$4:C$1000,MATCH($A$1&amp;"|"&amp;26,Índice!$A$4:$A$1000,0)),"")</f>
        <v/>
      </c>
      <c r="D29" s="6" t="str">
        <f aca="false">IFERROR(INDEX(Catálogo!D$4:D$1000,MATCH($A$1&amp;"|"&amp;26,Índice!$A$4:$A$1000,0)),"")</f>
        <v/>
      </c>
      <c r="E29" s="6" t="str">
        <f aca="false">IFERROR(INDEX(Catálogo!E$4:E$1000,MATCH($A$1&amp;"|"&amp;26,Índice!$A$4:$A$1000,0)),"")</f>
        <v/>
      </c>
      <c r="F29" s="5" t="str">
        <f aca="false">IFERROR(INDEX(Catálogo!F$4:F$1000,MATCH($A$1&amp;"|"&amp;26,Índice!$A$4:$A$1000,0)),"")</f>
        <v/>
      </c>
      <c r="G29" s="5" t="str">
        <f aca="false">IFERROR(INDEX(Catálogo!G$4:G$1000,MATCH($A$1&amp;"|"&amp;26,Índice!$A$4:$A$1000,0)),"")</f>
        <v/>
      </c>
      <c r="H29" s="5" t="str">
        <f aca="false">IFERROR(INDEX(Catálogo!H$4:H$1000,MATCH($A$1&amp;"|"&amp;26,Índice!$A$4:$A$1000,0)),"")</f>
        <v/>
      </c>
      <c r="I29" s="6" t="str">
        <f aca="false">IFERROR(INDEX(Catálogo!I$4:I$1000,MATCH($A$1&amp;"|"&amp;26,Índice!$A$4:$A$1000,0)),"")</f>
        <v/>
      </c>
      <c r="J29" s="6" t="str">
        <f aca="false">IFERROR(INDEX(Catálogo!J$4:J$1000,MATCH($A$1&amp;"|"&amp;26,Índice!$A$4:$A$1000,0)),"")</f>
        <v/>
      </c>
      <c r="K29" s="6" t="str">
        <f aca="false">IFERROR(INDEX(Catálogo!K$4:K$1000,MATCH($A$1&amp;"|"&amp;26,Índice!$A$4:$A$1000,0)),"")</f>
        <v/>
      </c>
      <c r="L29" s="6" t="str">
        <f aca="false">IFERROR(INDEX(Catálogo!L$4:L$1000,MATCH($A$1&amp;"|"&amp;26,Índice!$A$4:$A$1000,0)),"")</f>
        <v/>
      </c>
      <c r="M29" s="7" t="str">
        <f aca="false">IFERROR(INDEX(Catálogo!M$4:M$1000,MATCH($A$1&amp;"|"&amp;26,Índice!$A$4:$A$1000,0)),"")</f>
        <v/>
      </c>
    </row>
  </sheetData>
  <autoFilter ref="A3:M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217</v>
      </c>
      <c r="I1" s="17" t="str">
        <f aca="false">COUNTIF(Catálogo!$C$4:$C$1000,$A$1)&amp;IF(COUNTIF(Catálogo!$C$4:$C$1000,$A$1)=1," instrumento nesta área"," instrumentos nesta área")</f>
        <v>36 instrumentos nesta área</v>
      </c>
    </row>
    <row r="2" customFormat="false" ht="15" hidden="false" customHeight="true" outlineLevel="0" collapsed="false">
      <c r="A2" s="18" t="s">
        <v>1488</v>
      </c>
      <c r="I2" s="19" t="str">
        <f aca="false">IF(COUNTIF(Catálogo!$C$4:$C$1000,$A$1)&gt;39,"⚠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29</v>
      </c>
      <c r="B4" s="6" t="str">
        <f aca="false">IFERROR(INDEX(Catálogo!B$4:B$1000,MATCH($A$1&amp;"|"&amp;1,Índice!$A$4:$A$1000,0)),"")</f>
        <v>CDI-2:SR</v>
      </c>
      <c r="C4" s="6" t="str">
        <f aca="false">IFERROR(INDEX(Catálogo!C$4:C$1000,MATCH($A$1&amp;"|"&amp;1,Índice!$A$4:$A$1000,0)),"")</f>
        <v>Ansiedade, Depressão &amp; Internalização</v>
      </c>
      <c r="D4" s="6" t="str">
        <f aca="false">IFERROR(INDEX(Catálogo!D$4:D$1000,MATCH($A$1&amp;"|"&amp;1,Índice!$A$4:$A$1000,0)),"")</f>
        <v>Paciente</v>
      </c>
      <c r="E4" s="6" t="str">
        <f aca="false">IFERROR(INDEX(Catálogo!E$4:E$1000,MATCH($A$1&amp;"|"&amp;1,Índice!$A$4:$A$1000,0)),"")</f>
        <v>7–17 anos</v>
      </c>
      <c r="F4" s="5" t="n">
        <f aca="false">IFERROR(INDEX(Catálogo!F$4:F$1000,MATCH($A$1&amp;"|"&amp;1,Índice!$A$4:$A$1000,0)),"")</f>
        <v>7</v>
      </c>
      <c r="G4" s="5" t="n">
        <f aca="false">IFERROR(INDEX(Catálogo!G$4:G$1000,MATCH($A$1&amp;"|"&amp;1,Índice!$A$4:$A$1000,0)),"")</f>
        <v>17.9</v>
      </c>
      <c r="H4" s="5" t="n">
        <f aca="false">IFERROR(INDEX(Catálogo!H$4:H$1000,MATCH($A$1&amp;"|"&amp;1,Índice!$A$4:$A$1000,0)),"")</f>
        <v>7</v>
      </c>
      <c r="I4" s="6" t="str">
        <f aca="false">IFERROR(INDEX(Catálogo!I$4:I$1000,MATCH($A$1&amp;"|"&amp;1,Índice!$A$4:$A$1000,0)),"")</f>
        <v>Rastreio de sintomatologia depressiva (auto-relato) — Kovacs &amp; MHS Staff (2011)</v>
      </c>
      <c r="J4" s="6" t="str">
        <f aca="false">IFERROR(INDEX(Catálogo!J$4:J$1000,MATCH($A$1&amp;"|"&amp;1,Índice!$A$4:$A$1000,0)),"")</f>
        <v>Score Total (Total); Problemas Emocionais (EP); Problemas Funcionais (FP); Humor Negativo/Sintomas Físicos (HM/SF); Autoestima Negativa (AE-); Ineficácia (INE); Problemas Interpessoais (PI)</v>
      </c>
      <c r="K4" s="6" t="str">
        <f aca="false">IFERROR(INDEX(Catálogo!K$4:K$1000,MATCH($A$1&amp;"|"&amp;1,Índice!$A$4:$A$1000,0)),"")</f>
        <v>cdi2sr</v>
      </c>
      <c r="L4" s="6" t="str">
        <f aca="false">IFERROR(INDEX(Catálogo!L$4:L$1000,MATCH($A$1&amp;"|"&amp;1,Índice!$A$4:$A$1000,0)),"")</f>
        <v>q_cdi2sr</v>
      </c>
      <c r="M4" s="7" t="str">
        <f aca="false">IFERROR(INDEX(Catálogo!M$4:M$1000,MATCH($A$1&amp;"|"&amp;1,Índice!$A$4:$A$1000,0)),"")</f>
        <v>https://correiaricardina-ui.github.io/questionarios/CDI2_SR_v1.html</v>
      </c>
    </row>
    <row r="5" customFormat="false" ht="42" hidden="false" customHeight="true" outlineLevel="0" collapsed="false">
      <c r="A5" s="5" t="n">
        <f aca="false">IFERROR(INDEX(Catálogo!A$4:A$1000,MATCH($A$1&amp;"|"&amp;2,Índice!$A$4:$A$1000,0)),"")</f>
        <v>36</v>
      </c>
      <c r="B5" s="6" t="str">
        <f aca="false">IFERROR(INDEX(Catálogo!B$4:B$1000,MATCH($A$1&amp;"|"&amp;2,Índice!$A$4:$A$1000,0)),"")</f>
        <v>CMAS-R</v>
      </c>
      <c r="C5" s="6" t="str">
        <f aca="false">IFERROR(INDEX(Catálogo!C$4:C$1000,MATCH($A$1&amp;"|"&amp;2,Índice!$A$4:$A$1000,0)),"")</f>
        <v>Ansiedade, Depressão &amp; Internalização</v>
      </c>
      <c r="D5" s="6" t="str">
        <f aca="false">IFERROR(INDEX(Catálogo!D$4:D$1000,MATCH($A$1&amp;"|"&amp;2,Índice!$A$4:$A$1000,0)),"")</f>
        <v>Paciente</v>
      </c>
      <c r="E5" s="6" t="str">
        <f aca="false">IFERROR(INDEX(Catálogo!E$4:E$1000,MATCH($A$1&amp;"|"&amp;2,Índice!$A$4:$A$1000,0)),"")</f>
        <v>8–17 anos</v>
      </c>
      <c r="F5" s="5" t="n">
        <f aca="false">IFERROR(INDEX(Catálogo!F$4:F$1000,MATCH($A$1&amp;"|"&amp;2,Índice!$A$4:$A$1000,0)),"")</f>
        <v>8</v>
      </c>
      <c r="G5" s="5" t="n">
        <f aca="false">IFERROR(INDEX(Catálogo!G$4:G$1000,MATCH($A$1&amp;"|"&amp;2,Índice!$A$4:$A$1000,0)),"")</f>
        <v>17.9</v>
      </c>
      <c r="H5" s="5" t="n">
        <f aca="false">IFERROR(INDEX(Catálogo!H$4:H$1000,MATCH($A$1&amp;"|"&amp;2,Índice!$A$4:$A$1000,0)),"")</f>
        <v>2</v>
      </c>
      <c r="I5" s="6" t="str">
        <f aca="false">IFERROR(INDEX(Catálogo!I$4:I$1000,MATCH($A$1&amp;"|"&amp;2,Índice!$A$4:$A$1000,0)),"")</f>
        <v>Avaliação da ansiedade manifesta com escala de validade (Mentira) — Reynolds &amp; Richmond (1978)</v>
      </c>
      <c r="J5" s="6" t="str">
        <f aca="false">IFERROR(INDEX(Catálogo!J$4:J$1000,MATCH($A$1&amp;"|"&amp;2,Índice!$A$4:$A$1000,0)),"")</f>
        <v>Ansiedade Total; Mentira/Validade</v>
      </c>
      <c r="K5" s="6" t="str">
        <f aca="false">IFERROR(INDEX(Catálogo!K$4:K$1000,MATCH($A$1&amp;"|"&amp;2,Índice!$A$4:$A$1000,0)),"")</f>
        <v>cmasr</v>
      </c>
      <c r="L5" s="6" t="str">
        <f aca="false">IFERROR(INDEX(Catálogo!L$4:L$1000,MATCH($A$1&amp;"|"&amp;2,Índice!$A$4:$A$1000,0)),"")</f>
        <v>q_cmasr</v>
      </c>
      <c r="M5" s="7" t="str">
        <f aca="false">IFERROR(INDEX(Catálogo!M$4:M$1000,MATCH($A$1&amp;"|"&amp;2,Índice!$A$4:$A$1000,0)),"")</f>
        <v>https://correiaricardina-ui.github.io/questionarios/CMAS_R_v1.html</v>
      </c>
    </row>
    <row r="6" customFormat="false" ht="42" hidden="false" customHeight="true" outlineLevel="0" collapsed="false">
      <c r="A6" s="5" t="n">
        <f aca="false">IFERROR(INDEX(Catálogo!A$4:A$1000,MATCH($A$1&amp;"|"&amp;3,Índice!$A$4:$A$1000,0)),"")</f>
        <v>76</v>
      </c>
      <c r="B6" s="6" t="str">
        <f aca="false">IFERROR(INDEX(Catálogo!B$4:B$1000,MATCH($A$1&amp;"|"&amp;3,Índice!$A$4:$A$1000,0)),"")</f>
        <v>FSSC-R</v>
      </c>
      <c r="C6" s="6" t="str">
        <f aca="false">IFERROR(INDEX(Catálogo!C$4:C$1000,MATCH($A$1&amp;"|"&amp;3,Índice!$A$4:$A$1000,0)),"")</f>
        <v>Ansiedade, Depressão &amp; Internalização</v>
      </c>
      <c r="D6" s="6" t="str">
        <f aca="false">IFERROR(INDEX(Catálogo!D$4:D$1000,MATCH($A$1&amp;"|"&amp;3,Índice!$A$4:$A$1000,0)),"")</f>
        <v>Paciente</v>
      </c>
      <c r="E6" s="6" t="str">
        <f aca="false">IFERROR(INDEX(Catálogo!E$4:E$1000,MATCH($A$1&amp;"|"&amp;3,Índice!$A$4:$A$1000,0)),"")</f>
        <v>8–17 anos</v>
      </c>
      <c r="F6" s="5" t="n">
        <f aca="false">IFERROR(INDEX(Catálogo!F$4:F$1000,MATCH($A$1&amp;"|"&amp;3,Índice!$A$4:$A$1000,0)),"")</f>
        <v>8</v>
      </c>
      <c r="G6" s="5" t="n">
        <f aca="false">IFERROR(INDEX(Catálogo!G$4:G$1000,MATCH($A$1&amp;"|"&amp;3,Índice!$A$4:$A$1000,0)),"")</f>
        <v>17.9</v>
      </c>
      <c r="H6" s="5" t="n">
        <f aca="false">IFERROR(INDEX(Catálogo!H$4:H$1000,MATCH($A$1&amp;"|"&amp;3,Índice!$A$4:$A$1000,0)),"")</f>
        <v>7</v>
      </c>
      <c r="I6" s="6" t="str">
        <f aca="false">IFERROR(INDEX(Catálogo!I$4:I$1000,MATCH($A$1&amp;"|"&amp;3,Índice!$A$4:$A$1000,0)),"")</f>
        <v>Inventário de medos infantis com 5 fatores e 4 normas — Ollendick (1978/1983)</v>
      </c>
      <c r="J6" s="6" t="str">
        <f aca="false">IFERROR(INDEX(Catálogo!J$4:J$1000,MATCH($A$1&amp;"|"&amp;3,Índice!$A$4:$A$1000,0)),"")</f>
        <v>Total; F1 Falhanço; F2 Desconhecido; F3 Animais/Fer.; F4 Perigo/Morte; F5 Médico; "Muito"</v>
      </c>
      <c r="K6" s="6" t="str">
        <f aca="false">IFERROR(INDEX(Catálogo!K$4:K$1000,MATCH($A$1&amp;"|"&amp;3,Índice!$A$4:$A$1000,0)),"")</f>
        <v>fsscr</v>
      </c>
      <c r="L6" s="6" t="str">
        <f aca="false">IFERROR(INDEX(Catálogo!L$4:L$1000,MATCH($A$1&amp;"|"&amp;3,Índice!$A$4:$A$1000,0)),"")</f>
        <v>q_fsscr</v>
      </c>
      <c r="M6" s="7" t="str">
        <f aca="false">IFERROR(INDEX(Catálogo!M$4:M$1000,MATCH($A$1&amp;"|"&amp;3,Índice!$A$4:$A$1000,0)),"")</f>
        <v>https://correiaricardina-ui.github.io/questionarios/FSSC_R_v1.html</v>
      </c>
    </row>
    <row r="7" customFormat="false" ht="42" hidden="false" customHeight="true" outlineLevel="0" collapsed="false">
      <c r="A7" s="5" t="n">
        <f aca="false">IFERROR(INDEX(Catálogo!A$4:A$1000,MATCH($A$1&amp;"|"&amp;4,Índice!$A$4:$A$1000,0)),"")</f>
        <v>85</v>
      </c>
      <c r="B7" s="6" t="str">
        <f aca="false">IFERROR(INDEX(Catálogo!B$4:B$1000,MATCH($A$1&amp;"|"&amp;4,Índice!$A$4:$A$1000,0)),"")</f>
        <v>ISS-I / ESI — Inventário de Sintomas de Stress Infantil</v>
      </c>
      <c r="C7" s="6" t="str">
        <f aca="false">IFERROR(INDEX(Catálogo!C$4:C$1000,MATCH($A$1&amp;"|"&amp;4,Índice!$A$4:$A$1000,0)),"")</f>
        <v>Ansiedade, Depressão &amp; Internalização</v>
      </c>
      <c r="D7" s="6" t="str">
        <f aca="false">IFERROR(INDEX(Catálogo!D$4:D$1000,MATCH($A$1&amp;"|"&amp;4,Índice!$A$4:$A$1000,0)),"")</f>
        <v>Paciente</v>
      </c>
      <c r="E7" s="6" t="str">
        <f aca="false">IFERROR(INDEX(Catálogo!E$4:E$1000,MATCH($A$1&amp;"|"&amp;4,Índice!$A$4:$A$1000,0)),"")</f>
        <v>6–14 anos</v>
      </c>
      <c r="F7" s="5" t="n">
        <f aca="false">IFERROR(INDEX(Catálogo!F$4:F$1000,MATCH($A$1&amp;"|"&amp;4,Índice!$A$4:$A$1000,0)),"")</f>
        <v>6</v>
      </c>
      <c r="G7" s="5" t="n">
        <f aca="false">IFERROR(INDEX(Catálogo!G$4:G$1000,MATCH($A$1&amp;"|"&amp;4,Índice!$A$4:$A$1000,0)),"")</f>
        <v>14.9</v>
      </c>
      <c r="H7" s="5" t="n">
        <f aca="false">IFERROR(INDEX(Catálogo!H$4:H$1000,MATCH($A$1&amp;"|"&amp;4,Índice!$A$4:$A$1000,0)),"")</f>
        <v>5</v>
      </c>
      <c r="I7" s="6" t="str">
        <f aca="false">IFERROR(INDEX(Catálogo!I$4:I$1000,MATCH($A$1&amp;"|"&amp;4,Índice!$A$4:$A$1000,0)),"")</f>
        <v>Auto-relato infantil (33 itens · Likert 0-4 · ~10-15 min) da sintomatologia de stress em 4 domínios: F (Reações Físicas), P (Reações Psicológicas), D (Comp. Depressivo) e PF (Reações Psicofisiológicas). 4 itens sentinela (22, 23, 24, 25 — alerta clínico se ≥ 2). SEM normas portuguesas — leitura criterial (≤25/26-45/46-65/&gt;65 % do máximo) + leitura desenvolvimental por faixa etária (6-8 / 9-11 / 12-14 anos). Lucarelli &amp; Lipp (1998) · adaptação técnica PT-PT.</v>
      </c>
      <c r="J7" s="6" t="str">
        <f aca="false">IFERROR(INDEX(Catálogo!J$4:J$1000,MATCH($A$1&amp;"|"&amp;4,Índice!$A$4:$A$1000,0)),"")</f>
        <v>Reações Físicas (F); Reações Psicológicas (P); Reações Psic. Comp. Depressivo (D); Reações Psicofisiológicas (PF); Score Total (TOTAL)</v>
      </c>
      <c r="K7" s="6" t="str">
        <f aca="false">IFERROR(INDEX(Catálogo!K$4:K$1000,MATCH($A$1&amp;"|"&amp;4,Índice!$A$4:$A$1000,0)),"")</f>
        <v>iss_esi</v>
      </c>
      <c r="L7" s="6" t="str">
        <f aca="false">IFERROR(INDEX(Catálogo!L$4:L$1000,MATCH($A$1&amp;"|"&amp;4,Índice!$A$4:$A$1000,0)),"")</f>
        <v>q_iss_esi</v>
      </c>
      <c r="M7" s="7" t="str">
        <f aca="false">IFERROR(INDEX(Catálogo!M$4:M$1000,MATCH($A$1&amp;"|"&amp;4,Índice!$A$4:$A$1000,0)),"")</f>
        <v>https://correiaricardina-ui.github.io/questionarios/ISS_ESI_v1.html</v>
      </c>
    </row>
    <row r="8" customFormat="false" ht="42" hidden="false" customHeight="true" outlineLevel="0" collapsed="false">
      <c r="A8" s="5" t="n">
        <f aca="false">IFERROR(INDEX(Catálogo!A$4:A$1000,MATCH($A$1&amp;"|"&amp;5,Índice!$A$4:$A$1000,0)),"")</f>
        <v>102</v>
      </c>
      <c r="B8" s="6" t="str">
        <f aca="false">IFERROR(INDEX(Catálogo!B$4:B$1000,MATCH($A$1&amp;"|"&amp;5,Índice!$A$4:$A$1000,0)),"")</f>
        <v>OCI-CV-R — Sintomatologia Obsessivo-Compulsiva</v>
      </c>
      <c r="C8" s="6" t="str">
        <f aca="false">IFERROR(INDEX(Catálogo!C$4:C$1000,MATCH($A$1&amp;"|"&amp;5,Índice!$A$4:$A$1000,0)),"")</f>
        <v>Ansiedade, Depressão &amp; Internalização</v>
      </c>
      <c r="D8" s="6" t="str">
        <f aca="false">IFERROR(INDEX(Catálogo!D$4:D$1000,MATCH($A$1&amp;"|"&amp;5,Índice!$A$4:$A$1000,0)),"")</f>
        <v>Criança/Adolescente, Paciente</v>
      </c>
      <c r="E8" s="6" t="str">
        <f aca="false">IFERROR(INDEX(Catálogo!E$4:E$1000,MATCH($A$1&amp;"|"&amp;5,Índice!$A$4:$A$1000,0)),"")</f>
        <v>7–17 anos</v>
      </c>
      <c r="F8" s="5" t="n">
        <f aca="false">IFERROR(INDEX(Catálogo!F$4:F$1000,MATCH($A$1&amp;"|"&amp;5,Índice!$A$4:$A$1000,0)),"")</f>
        <v>7</v>
      </c>
      <c r="G8" s="5" t="n">
        <f aca="false">IFERROR(INDEX(Catálogo!G$4:G$1000,MATCH($A$1&amp;"|"&amp;5,Índice!$A$4:$A$1000,0)),"")</f>
        <v>17.9</v>
      </c>
      <c r="H8" s="5" t="n">
        <f aca="false">IFERROR(INDEX(Catálogo!H$4:H$1000,MATCH($A$1&amp;"|"&amp;5,Índice!$A$4:$A$1000,0)),"")</f>
        <v>6</v>
      </c>
      <c r="I8" s="6" t="str">
        <f aca="false">IFERROR(INDEX(Catálogo!I$4:I$1000,MATCH($A$1&amp;"|"&amp;5,Índice!$A$4:$A$1000,0)),"")</f>
        <v>Rastreio de sintomatologia obsessivo-compulsiva pediátrica em 5 dimensões (Abramovitch et al., 2022) — auto-relato com 18 itens; janela do último mês</v>
      </c>
      <c r="J8" s="6" t="str">
        <f aca="false">IFERROR(INDEX(Catálogo!J$4:J$1000,MATCH($A$1&amp;"|"&amp;5,Índice!$A$4:$A$1000,0)),"")</f>
        <v>VD — Verificação/Dúvida; OBS — Obsessões; LAV — Lavagem; ORD — Ordenação; NEUTR — Neutralização; Total</v>
      </c>
      <c r="K8" s="6" t="str">
        <f aca="false">IFERROR(INDEX(Catálogo!K$4:K$1000,MATCH($A$1&amp;"|"&amp;5,Índice!$A$4:$A$1000,0)),"")</f>
        <v>ocicvr</v>
      </c>
      <c r="L8" s="6" t="str">
        <f aca="false">IFERROR(INDEX(Catálogo!L$4:L$1000,MATCH($A$1&amp;"|"&amp;5,Índice!$A$4:$A$1000,0)),"")</f>
        <v>q_ocicvr</v>
      </c>
      <c r="M8" s="7" t="str">
        <f aca="false">IFERROR(INDEX(Catálogo!M$4:M$1000,MATCH($A$1&amp;"|"&amp;5,Índice!$A$4:$A$1000,0)),"")</f>
        <v>https://correiaricardina-ui.github.io/questionarios/OCI_CV_R_v1.html</v>
      </c>
    </row>
    <row r="9" customFormat="false" ht="42" hidden="false" customHeight="true" outlineLevel="0" collapsed="false">
      <c r="A9" s="5" t="n">
        <f aca="false">IFERROR(INDEX(Catálogo!A$4:A$1000,MATCH($A$1&amp;"|"&amp;6,Índice!$A$4:$A$1000,0)),"")</f>
        <v>103</v>
      </c>
      <c r="B9" s="6" t="str">
        <f aca="false">IFERROR(INDEX(Catálogo!B$4:B$1000,MATCH($A$1&amp;"|"&amp;6,Índice!$A$4:$A$1000,0)),"")</f>
        <v>OCI-R — Sintomatologia Obsessivo-Compulsiva (adultos)</v>
      </c>
      <c r="C9" s="6" t="str">
        <f aca="false">IFERROR(INDEX(Catálogo!C$4:C$1000,MATCH($A$1&amp;"|"&amp;6,Índice!$A$4:$A$1000,0)),"")</f>
        <v>Ansiedade, Depressão &amp; Internalização</v>
      </c>
      <c r="D9" s="6" t="str">
        <f aca="false">IFERROR(INDEX(Catálogo!D$4:D$1000,MATCH($A$1&amp;"|"&amp;6,Índice!$A$4:$A$1000,0)),"")</f>
        <v>Paciente</v>
      </c>
      <c r="E9" s="6" t="str">
        <f aca="false">IFERROR(INDEX(Catálogo!E$4:E$1000,MATCH($A$1&amp;"|"&amp;6,Índice!$A$4:$A$1000,0)),"")</f>
        <v>≥18 anos</v>
      </c>
      <c r="F9" s="5" t="n">
        <f aca="false">IFERROR(INDEX(Catálogo!F$4:F$1000,MATCH($A$1&amp;"|"&amp;6,Índice!$A$4:$A$1000,0)),"")</f>
        <v>18</v>
      </c>
      <c r="G9" s="5" t="n">
        <f aca="false">IFERROR(INDEX(Catálogo!G$4:G$1000,MATCH($A$1&amp;"|"&amp;6,Índice!$A$4:$A$1000,0)),"")</f>
        <v>99</v>
      </c>
      <c r="H9" s="5" t="n">
        <f aca="false">IFERROR(INDEX(Catálogo!H$4:H$1000,MATCH($A$1&amp;"|"&amp;6,Índice!$A$4:$A$1000,0)),"")</f>
        <v>7</v>
      </c>
      <c r="I9" s="6" t="str">
        <f aca="false">IFERROR(INDEX(Catálogo!I$4:I$1000,MATCH($A$1&amp;"|"&amp;6,Índice!$A$4:$A$1000,0)),"")</f>
        <v>Rastreio de sintomatologia obsessivo-compulsiva em adultos em 6 dimensões (Foa et al., 2002 · versão PT: Cardoso, 2015) — auto-relato com 18 itens, escala 0-4; janela do último mês; corte ≥21 sugere provável POC</v>
      </c>
      <c r="J9" s="6" t="str">
        <f aca="false">IFERROR(INDEX(Catálogo!J$4:J$1000,MATCH($A$1&amp;"|"&amp;6,Índice!$A$4:$A$1000,0)),"")</f>
        <v>Lavagem; Verificação; Ordem; Acumulação; Obsessões; Neutralização; Total</v>
      </c>
      <c r="K9" s="6" t="str">
        <f aca="false">IFERROR(INDEX(Catálogo!K$4:K$1000,MATCH($A$1&amp;"|"&amp;6,Índice!$A$4:$A$1000,0)),"")</f>
        <v>ocir</v>
      </c>
      <c r="L9" s="6" t="str">
        <f aca="false">IFERROR(INDEX(Catálogo!L$4:L$1000,MATCH($A$1&amp;"|"&amp;6,Índice!$A$4:$A$1000,0)),"")</f>
        <v>q_ocir</v>
      </c>
      <c r="M9" s="7" t="str">
        <f aca="false">IFERROR(INDEX(Catálogo!M$4:M$1000,MATCH($A$1&amp;"|"&amp;6,Índice!$A$4:$A$1000,0)),"")</f>
        <v>https://correiaricardina-ui.github.io/questionarios/OCI_R_v1.html</v>
      </c>
    </row>
    <row r="10" customFormat="false" ht="42" hidden="false" customHeight="true" outlineLevel="0" collapsed="false">
      <c r="A10" s="5" t="n">
        <f aca="false">IFERROR(INDEX(Catálogo!A$4:A$1000,MATCH($A$1&amp;"|"&amp;7,Índice!$A$4:$A$1000,0)),"")</f>
        <v>114</v>
      </c>
      <c r="B10" s="6" t="str">
        <f aca="false">IFERROR(INDEX(Catálogo!B$4:B$1000,MATCH($A$1&amp;"|"&amp;7,Índice!$A$4:$A$1000,0)),"")</f>
        <v>PPGR-J — Pressão Percebida em Guarda-Redes Jovens</v>
      </c>
      <c r="C10" s="6" t="str">
        <f aca="false">IFERROR(INDEX(Catálogo!C$4:C$1000,MATCH($A$1&amp;"|"&amp;7,Índice!$A$4:$A$1000,0)),"")</f>
        <v>Ansiedade, Depressão &amp; Internalização</v>
      </c>
      <c r="D10" s="6" t="str">
        <f aca="false">IFERROR(INDEX(Catálogo!D$4:D$1000,MATCH($A$1&amp;"|"&amp;7,Índice!$A$4:$A$1000,0)),"")</f>
        <v>Atleta, Jovem avaliado, Paciente</v>
      </c>
      <c r="E10" s="6" t="str">
        <f aca="false">IFERROR(INDEX(Catálogo!E$4:E$1000,MATCH($A$1&amp;"|"&amp;7,Índice!$A$4:$A$1000,0)),"")</f>
        <v>≥ 12 anos (guarda-redes)</v>
      </c>
      <c r="F10" s="5" t="n">
        <f aca="false">IFERROR(INDEX(Catálogo!F$4:F$1000,MATCH($A$1&amp;"|"&amp;7,Índice!$A$4:$A$1000,0)),"")</f>
        <v>12</v>
      </c>
      <c r="G10" s="5" t="n">
        <f aca="false">IFERROR(INDEX(Catálogo!G$4:G$1000,MATCH($A$1&amp;"|"&amp;7,Índice!$A$4:$A$1000,0)),"")</f>
        <v>99</v>
      </c>
      <c r="H10" s="5" t="n">
        <f aca="false">IFERROR(INDEX(Catálogo!H$4:H$1000,MATCH($A$1&amp;"|"&amp;7,Índice!$A$4:$A$1000,0)),"")</f>
        <v>8</v>
      </c>
      <c r="I10" s="6" t="str">
        <f aca="false">IFERROR(INDEX(Catálogo!I$4:I$1000,MATCH($A$1&amp;"|"&amp;7,Índice!$A$4:$A$1000,0)),"")</f>
        <v>Avalia a vivência multidimensional da pressão de desempenho em guarda-redes jovens (Correia, 2026 — clínico-exploratório, sem validação psicométrica formal)</v>
      </c>
      <c r="J10" s="6" t="str">
        <f aca="false">IFERROR(INDEX(Catálogo!J$4:J$1000,MATCH($A$1&amp;"|"&amp;7,Índice!$A$4:$A$1000,0)),"")</f>
        <v>AAC — Ativação Ansiogénica; MEF — Medo do Erro; PFE — Pressão Externa; APP — Autoexigência; EEIP — Exposição/Identidade; RPRM — Recuperação Pós-Erro; Score Total (TOTAL); Normalizado 0-100</v>
      </c>
      <c r="K10" s="6" t="str">
        <f aca="false">IFERROR(INDEX(Catálogo!K$4:K$1000,MATCH($A$1&amp;"|"&amp;7,Índice!$A$4:$A$1000,0)),"")</f>
        <v>ppgrj</v>
      </c>
      <c r="L10" s="6" t="str">
        <f aca="false">IFERROR(INDEX(Catálogo!L$4:L$1000,MATCH($A$1&amp;"|"&amp;7,Índice!$A$4:$A$1000,0)),"")</f>
        <v>q_ppgrj</v>
      </c>
      <c r="M10" s="7" t="str">
        <f aca="false">IFERROR(INDEX(Catálogo!M$4:M$1000,MATCH($A$1&amp;"|"&amp;7,Índice!$A$4:$A$1000,0)),"")</f>
        <v>https://correiaricardina-ui.github.io/questionarios/PPGRJ_v1.html</v>
      </c>
    </row>
    <row r="11" customFormat="false" ht="42" hidden="false" customHeight="true" outlineLevel="0" collapsed="false">
      <c r="A11" s="5" t="n">
        <f aca="false">IFERROR(INDEX(Catálogo!A$4:A$1000,MATCH($A$1&amp;"|"&amp;8,Índice!$A$4:$A$1000,0)),"")</f>
        <v>128</v>
      </c>
      <c r="B11" s="6" t="str">
        <f aca="false">IFERROR(INDEX(Catálogo!B$4:B$1000,MATCH($A$1&amp;"|"&amp;8,Índice!$A$4:$A$1000,0)),"")</f>
        <v>RCADS-25 — Pais/Cuidadores</v>
      </c>
      <c r="C11" s="6" t="str">
        <f aca="false">IFERROR(INDEX(Catálogo!C$4:C$1000,MATCH($A$1&amp;"|"&amp;8,Índice!$A$4:$A$1000,0)),"")</f>
        <v>Ansiedade, Depressão &amp; Internalização</v>
      </c>
      <c r="D11" s="6" t="str">
        <f aca="false">IFERROR(INDEX(Catálogo!D$4:D$1000,MATCH($A$1&amp;"|"&amp;8,Índice!$A$4:$A$1000,0)),"")</f>
        <v>Mãe, Pai, Enc. Educação, Cuidador</v>
      </c>
      <c r="E11" s="6" t="str">
        <f aca="false">IFERROR(INDEX(Catálogo!E$4:E$1000,MATCH($A$1&amp;"|"&amp;8,Índice!$A$4:$A$1000,0)),"")</f>
        <v>9–18 anos</v>
      </c>
      <c r="F11" s="5" t="n">
        <f aca="false">IFERROR(INDEX(Catálogo!F$4:F$1000,MATCH($A$1&amp;"|"&amp;8,Índice!$A$4:$A$1000,0)),"")</f>
        <v>9</v>
      </c>
      <c r="G11" s="5" t="n">
        <f aca="false">IFERROR(INDEX(Catálogo!G$4:G$1000,MATCH($A$1&amp;"|"&amp;8,Índice!$A$4:$A$1000,0)),"")</f>
        <v>18</v>
      </c>
      <c r="H11" s="5" t="n">
        <f aca="false">IFERROR(INDEX(Catálogo!H$4:H$1000,MATCH($A$1&amp;"|"&amp;8,Índice!$A$4:$A$1000,0)),"")</f>
        <v>8</v>
      </c>
      <c r="I11" s="6" t="str">
        <f aca="false">IFERROR(INDEX(Catálogo!I$4:I$1000,MATCH($A$1&amp;"|"&amp;8,Índice!$A$4:$A$1000,0)),"")</f>
        <v>Avalia ansiedade e depressão em crianças e adolescentes — versão para pais (25 itens)</v>
      </c>
      <c r="J11" s="6" t="str">
        <f aca="false">IFERROR(INDEX(Catálogo!J$4:J$1000,MATCH($A$1&amp;"|"&amp;8,Índice!$A$4:$A$1000,0)),"")</f>
        <v>Depressão Major (T) (MDD_T); Ansiedade Total (T) (ANX_T); Score Total (T) (Total_T); Fobia Social (SP); Ansiedade de Separação (SAD); Ansiedade Generalizada (GAD); Perturbação de Pânico (PD); Obsessivo-Compulsivo (OCD)</v>
      </c>
      <c r="K11" s="6" t="str">
        <f aca="false">IFERROR(INDEX(Catálogo!K$4:K$1000,MATCH($A$1&amp;"|"&amp;8,Índice!$A$4:$A$1000,0)),"")</f>
        <v>rcads_25cg</v>
      </c>
      <c r="L11" s="6" t="str">
        <f aca="false">IFERROR(INDEX(Catálogo!L$4:L$1000,MATCH($A$1&amp;"|"&amp;8,Índice!$A$4:$A$1000,0)),"")</f>
        <v>q_rcads_25cg</v>
      </c>
      <c r="M11" s="7" t="str">
        <f aca="false">IFERROR(INDEX(Catálogo!M$4:M$1000,MATCH($A$1&amp;"|"&amp;8,Índice!$A$4:$A$1000,0)),"")</f>
        <v>https://correiaricardina-ui.github.io/questionarios/RCADS25_Pais_v2.html</v>
      </c>
    </row>
    <row r="12" customFormat="false" ht="42" hidden="false" customHeight="true" outlineLevel="0" collapsed="false">
      <c r="A12" s="5" t="n">
        <f aca="false">IFERROR(INDEX(Catálogo!A$4:A$1000,MATCH($A$1&amp;"|"&amp;9,Índice!$A$4:$A$1000,0)),"")</f>
        <v>129</v>
      </c>
      <c r="B12" s="6" t="str">
        <f aca="false">IFERROR(INDEX(Catálogo!B$4:B$1000,MATCH($A$1&amp;"|"&amp;9,Índice!$A$4:$A$1000,0)),"")</f>
        <v>RCADS-25 — Youth (Self-Report)</v>
      </c>
      <c r="C12" s="6" t="str">
        <f aca="false">IFERROR(INDEX(Catálogo!C$4:C$1000,MATCH($A$1&amp;"|"&amp;9,Índice!$A$4:$A$1000,0)),"")</f>
        <v>Ansiedade, Depressão &amp; Internalização</v>
      </c>
      <c r="D12" s="6" t="str">
        <f aca="false">IFERROR(INDEX(Catálogo!D$4:D$1000,MATCH($A$1&amp;"|"&amp;9,Índice!$A$4:$A$1000,0)),"")</f>
        <v>Paciente</v>
      </c>
      <c r="E12" s="6" t="str">
        <f aca="false">IFERROR(INDEX(Catálogo!E$4:E$1000,MATCH($A$1&amp;"|"&amp;9,Índice!$A$4:$A$1000,0)),"")</f>
        <v>9–18 anos</v>
      </c>
      <c r="F12" s="5" t="n">
        <f aca="false">IFERROR(INDEX(Catálogo!F$4:F$1000,MATCH($A$1&amp;"|"&amp;9,Índice!$A$4:$A$1000,0)),"")</f>
        <v>9</v>
      </c>
      <c r="G12" s="5" t="n">
        <f aca="false">IFERROR(INDEX(Catálogo!G$4:G$1000,MATCH($A$1&amp;"|"&amp;9,Índice!$A$4:$A$1000,0)),"")</f>
        <v>18</v>
      </c>
      <c r="H12" s="5" t="n">
        <f aca="false">IFERROR(INDEX(Catálogo!H$4:H$1000,MATCH($A$1&amp;"|"&amp;9,Índice!$A$4:$A$1000,0)),"")</f>
        <v>8</v>
      </c>
      <c r="I12" s="6" t="str">
        <f aca="false">IFERROR(INDEX(Catálogo!I$4:I$1000,MATCH($A$1&amp;"|"&amp;9,Índice!$A$4:$A$1000,0)),"")</f>
        <v>Avalia ansiedade e depressão em crianças e adolescentes — versão de auto-avaliação (25 itens)</v>
      </c>
      <c r="J12" s="6" t="str">
        <f aca="false">IFERROR(INDEX(Catálogo!J$4:J$1000,MATCH($A$1&amp;"|"&amp;9,Índice!$A$4:$A$1000,0)),"")</f>
        <v>Depressão Major (T) (MDD_T); Ansiedade Total (T) (ANX_T); Score Total (T) (Total_T); Fobia Social (SP); Ansiedade de Separação (SAD); Ansiedade Generalizada (GAD); Perturbação de Pânico (PD); Obsessivo-Compulsivo (OCD)</v>
      </c>
      <c r="K12" s="6" t="str">
        <f aca="false">IFERROR(INDEX(Catálogo!K$4:K$1000,MATCH($A$1&amp;"|"&amp;9,Índice!$A$4:$A$1000,0)),"")</f>
        <v>rcads_25y</v>
      </c>
      <c r="L12" s="6" t="str">
        <f aca="false">IFERROR(INDEX(Catálogo!L$4:L$1000,MATCH($A$1&amp;"|"&amp;9,Índice!$A$4:$A$1000,0)),"")</f>
        <v>q_rcads_25y</v>
      </c>
      <c r="M12" s="7" t="str">
        <f aca="false">IFERROR(INDEX(Catálogo!M$4:M$1000,MATCH($A$1&amp;"|"&amp;9,Índice!$A$4:$A$1000,0)),"")</f>
        <v>https://correiaricardina-ui.github.io/questionarios/RCADS25_Youth_v2.html</v>
      </c>
    </row>
    <row r="13" customFormat="false" ht="42" hidden="false" customHeight="true" outlineLevel="0" collapsed="false">
      <c r="A13" s="5" t="n">
        <f aca="false">IFERROR(INDEX(Catálogo!A$4:A$1000,MATCH($A$1&amp;"|"&amp;10,Índice!$A$4:$A$1000,0)),"")</f>
        <v>130</v>
      </c>
      <c r="B13" s="6" t="str">
        <f aca="false">IFERROR(INDEX(Catálogo!B$4:B$1000,MATCH($A$1&amp;"|"&amp;10,Índice!$A$4:$A$1000,0)),"")</f>
        <v>RCADS-47 — Pais/Cuidadores</v>
      </c>
      <c r="C13" s="6" t="str">
        <f aca="false">IFERROR(INDEX(Catálogo!C$4:C$1000,MATCH($A$1&amp;"|"&amp;10,Índice!$A$4:$A$1000,0)),"")</f>
        <v>Ansiedade, Depressão &amp; Internalização</v>
      </c>
      <c r="D13" s="6" t="str">
        <f aca="false">IFERROR(INDEX(Catálogo!D$4:D$1000,MATCH($A$1&amp;"|"&amp;10,Índice!$A$4:$A$1000,0)),"")</f>
        <v>Mãe, Pai, Enc. Educação, Cuidador</v>
      </c>
      <c r="E13" s="6" t="str">
        <f aca="false">IFERROR(INDEX(Catálogo!E$4:E$1000,MATCH($A$1&amp;"|"&amp;10,Índice!$A$4:$A$1000,0)),"")</f>
        <v>9–18 anos</v>
      </c>
      <c r="F13" s="5" t="n">
        <f aca="false">IFERROR(INDEX(Catálogo!F$4:F$1000,MATCH($A$1&amp;"|"&amp;10,Índice!$A$4:$A$1000,0)),"")</f>
        <v>9</v>
      </c>
      <c r="G13" s="5" t="n">
        <f aca="false">IFERROR(INDEX(Catálogo!G$4:G$1000,MATCH($A$1&amp;"|"&amp;10,Índice!$A$4:$A$1000,0)),"")</f>
        <v>18</v>
      </c>
      <c r="H13" s="5" t="n">
        <f aca="false">IFERROR(INDEX(Catálogo!H$4:H$1000,MATCH($A$1&amp;"|"&amp;10,Índice!$A$4:$A$1000,0)),"")</f>
        <v>13</v>
      </c>
      <c r="I13" s="6" t="str">
        <f aca="false">IFERROR(INDEX(Catálogo!I$4:I$1000,MATCH($A$1&amp;"|"&amp;10,Índice!$A$4:$A$1000,0)),"")</f>
        <v>Avalia ansiedade e depressão em crianças e adolescentes — versão para pais (47 itens)</v>
      </c>
      <c r="J13" s="6" t="str">
        <f aca="false">IFERROR(INDEX(Catálogo!J$4:J$1000,MATCH($A$1&amp;"|"&amp;10,Índice!$A$4:$A$1000,0)),"")</f>
        <v>Depressão Major (T) (MDD_T); Ansiedade Total (T) (ANX_T); Score Total (T) (Total_T); Fobia Social (SP); Fobia Social (T) (SP_T); Ansiedade de Separação (SAD); Ansiedade de Separação (T) (SAD_T); Ansiedade Generalizada (GAD); Ansiedade Generalizada (T) (GAD_T); Perturbação de Pânico (PD); Perturbação de Pânico (T) (PD_T); Obsessivo-Compulsivo (OCD); Obsessivo-Compulsivo (T) (OCD_T)</v>
      </c>
      <c r="K13" s="6" t="str">
        <f aca="false">IFERROR(INDEX(Catálogo!K$4:K$1000,MATCH($A$1&amp;"|"&amp;10,Índice!$A$4:$A$1000,0)),"")</f>
        <v>rcads_47cg</v>
      </c>
      <c r="L13" s="6" t="str">
        <f aca="false">IFERROR(INDEX(Catálogo!L$4:L$1000,MATCH($A$1&amp;"|"&amp;10,Índice!$A$4:$A$1000,0)),"")</f>
        <v>q_rcads_47cg</v>
      </c>
      <c r="M13" s="7" t="str">
        <f aca="false">IFERROR(INDEX(Catálogo!M$4:M$1000,MATCH($A$1&amp;"|"&amp;10,Índice!$A$4:$A$1000,0)),"")</f>
        <v>https://correiaricardina-ui.github.io/questionarios/RCADS47_Pais_v2.html</v>
      </c>
    </row>
    <row r="14" customFormat="false" ht="42" hidden="false" customHeight="true" outlineLevel="0" collapsed="false">
      <c r="A14" s="5" t="n">
        <f aca="false">IFERROR(INDEX(Catálogo!A$4:A$1000,MATCH($A$1&amp;"|"&amp;11,Índice!$A$4:$A$1000,0)),"")</f>
        <v>131</v>
      </c>
      <c r="B14" s="6" t="str">
        <f aca="false">IFERROR(INDEX(Catálogo!B$4:B$1000,MATCH($A$1&amp;"|"&amp;11,Índice!$A$4:$A$1000,0)),"")</f>
        <v>RCADS-47 — Youth (Self-Report)</v>
      </c>
      <c r="C14" s="6" t="str">
        <f aca="false">IFERROR(INDEX(Catálogo!C$4:C$1000,MATCH($A$1&amp;"|"&amp;11,Índice!$A$4:$A$1000,0)),"")</f>
        <v>Ansiedade, Depressão &amp; Internalização</v>
      </c>
      <c r="D14" s="6" t="str">
        <f aca="false">IFERROR(INDEX(Catálogo!D$4:D$1000,MATCH($A$1&amp;"|"&amp;11,Índice!$A$4:$A$1000,0)),"")</f>
        <v>Paciente</v>
      </c>
      <c r="E14" s="6" t="str">
        <f aca="false">IFERROR(INDEX(Catálogo!E$4:E$1000,MATCH($A$1&amp;"|"&amp;11,Índice!$A$4:$A$1000,0)),"")</f>
        <v>9–18 anos</v>
      </c>
      <c r="F14" s="5" t="n">
        <f aca="false">IFERROR(INDEX(Catálogo!F$4:F$1000,MATCH($A$1&amp;"|"&amp;11,Índice!$A$4:$A$1000,0)),"")</f>
        <v>9</v>
      </c>
      <c r="G14" s="5" t="n">
        <f aca="false">IFERROR(INDEX(Catálogo!G$4:G$1000,MATCH($A$1&amp;"|"&amp;11,Índice!$A$4:$A$1000,0)),"")</f>
        <v>18</v>
      </c>
      <c r="H14" s="5" t="n">
        <f aca="false">IFERROR(INDEX(Catálogo!H$4:H$1000,MATCH($A$1&amp;"|"&amp;11,Índice!$A$4:$A$1000,0)),"")</f>
        <v>13</v>
      </c>
      <c r="I14" s="6" t="str">
        <f aca="false">IFERROR(INDEX(Catálogo!I$4:I$1000,MATCH($A$1&amp;"|"&amp;11,Índice!$A$4:$A$1000,0)),"")</f>
        <v>Avalia ansiedade e depressão em crianças e adolescentes — versão de auto-avaliação (47 itens)</v>
      </c>
      <c r="J14" s="6" t="str">
        <f aca="false">IFERROR(INDEX(Catálogo!J$4:J$1000,MATCH($A$1&amp;"|"&amp;11,Índice!$A$4:$A$1000,0)),"")</f>
        <v>Depressão Major (T) (MDD_T); Ansiedade Total (T) (ANX_T); Score Total (T) (Total_T); Fobia Social (SP); Fobia Social (T) (SP_T); Ansiedade de Separação (SAD); Ansiedade de Separação (T) (SAD_T); Ansiedade Generalizada (GAD); Ansiedade Generalizada (T) (GAD_T); Perturbação de Pânico (PD); Perturbação de Pânico (T) (PD_T); Obsessivo-Compulsivo (OCD); Obsessivo-Compulsivo (T) (OCD_T)</v>
      </c>
      <c r="K14" s="6" t="str">
        <f aca="false">IFERROR(INDEX(Catálogo!K$4:K$1000,MATCH($A$1&amp;"|"&amp;11,Índice!$A$4:$A$1000,0)),"")</f>
        <v>rcads_47y</v>
      </c>
      <c r="L14" s="6" t="str">
        <f aca="false">IFERROR(INDEX(Catálogo!L$4:L$1000,MATCH($A$1&amp;"|"&amp;11,Índice!$A$4:$A$1000,0)),"")</f>
        <v>q_rcads_47y</v>
      </c>
      <c r="M14" s="7" t="str">
        <f aca="false">IFERROR(INDEX(Catálogo!M$4:M$1000,MATCH($A$1&amp;"|"&amp;11,Índice!$A$4:$A$1000,0)),"")</f>
        <v>https://correiaricardina-ui.github.io/questionarios/RCADS47_Youth_v2.html</v>
      </c>
    </row>
    <row r="15" customFormat="false" ht="42" hidden="false" customHeight="true" outlineLevel="0" collapsed="false">
      <c r="A15" s="5" t="n">
        <f aca="false">IFERROR(INDEX(Catálogo!A$4:A$1000,MATCH($A$1&amp;"|"&amp;12,Índice!$A$4:$A$1000,0)),"")</f>
        <v>132</v>
      </c>
      <c r="B15" s="6" t="str">
        <f aca="false">IFERROR(INDEX(Catálogo!B$4:B$1000,MATCH($A$1&amp;"|"&amp;12,Índice!$A$4:$A$1000,0)),"")</f>
        <v>RSES — Auto-Estima de Rosenberg</v>
      </c>
      <c r="C15" s="6" t="str">
        <f aca="false">IFERROR(INDEX(Catálogo!C$4:C$1000,MATCH($A$1&amp;"|"&amp;12,Índice!$A$4:$A$1000,0)),"")</f>
        <v>Ansiedade, Depressão &amp; Internalização</v>
      </c>
      <c r="D15" s="6" t="str">
        <f aca="false">IFERROR(INDEX(Catálogo!D$4:D$1000,MATCH($A$1&amp;"|"&amp;12,Índice!$A$4:$A$1000,0)),"")</f>
        <v>Paciente</v>
      </c>
      <c r="E15" s="6" t="str">
        <f aca="false">IFERROR(INDEX(Catálogo!E$4:E$1000,MATCH($A$1&amp;"|"&amp;12,Índice!$A$4:$A$1000,0)),"")</f>
        <v>12–20 anos</v>
      </c>
      <c r="F15" s="5" t="n">
        <f aca="false">IFERROR(INDEX(Catálogo!F$4:F$1000,MATCH($A$1&amp;"|"&amp;12,Índice!$A$4:$A$1000,0)),"")</f>
        <v>12</v>
      </c>
      <c r="G15" s="5" t="n">
        <f aca="false">IFERROR(INDEX(Catálogo!G$4:G$1000,MATCH($A$1&amp;"|"&amp;12,Índice!$A$4:$A$1000,0)),"")</f>
        <v>20</v>
      </c>
      <c r="H15" s="5" t="n">
        <f aca="false">IFERROR(INDEX(Catálogo!H$4:H$1000,MATCH($A$1&amp;"|"&amp;12,Índice!$A$4:$A$1000,0)),"")</f>
        <v>1</v>
      </c>
      <c r="I15" s="6" t="str">
        <f aca="false">IFERROR(INDEX(Catálogo!I$4:I$1000,MATCH($A$1&amp;"|"&amp;12,Índice!$A$4:$A$1000,0)),"")</f>
        <v>Avalia a auto-estima global em adolescentes — autorrelato (10 itens, escala 0-3). Versão PT validada para contexto escolar e forense (Pechorro, Marôco, Poiares &amp; Vieira, 2011). Interpretação normativo-referenciada por z-score face ao grupo (Contexto × Sexo) — não existem pontos de corte clínicos portugueses.</v>
      </c>
      <c r="J15" s="6" t="str">
        <f aca="false">IFERROR(INDEX(Catálogo!J$4:J$1000,MATCH($A$1&amp;"|"&amp;12,Índice!$A$4:$A$1000,0)),"")</f>
        <v>Auto-estima global</v>
      </c>
      <c r="K15" s="6" t="str">
        <f aca="false">IFERROR(INDEX(Catálogo!K$4:K$1000,MATCH($A$1&amp;"|"&amp;12,Índice!$A$4:$A$1000,0)),"")</f>
        <v>rses</v>
      </c>
      <c r="L15" s="6" t="str">
        <f aca="false">IFERROR(INDEX(Catálogo!L$4:L$1000,MATCH($A$1&amp;"|"&amp;12,Índice!$A$4:$A$1000,0)),"")</f>
        <v>q_rses</v>
      </c>
      <c r="M15" s="7" t="str">
        <f aca="false">IFERROR(INDEX(Catálogo!M$4:M$1000,MATCH($A$1&amp;"|"&amp;12,Índice!$A$4:$A$1000,0)),"")</f>
        <v>https://correiaricardina-ui.github.io/questionarios/RSES_v1.html</v>
      </c>
    </row>
    <row r="16" customFormat="false" ht="42" hidden="false" customHeight="true" outlineLevel="0" collapsed="false">
      <c r="A16" s="5" t="n">
        <f aca="false">IFERROR(INDEX(Catálogo!A$4:A$1000,MATCH($A$1&amp;"|"&amp;13,Índice!$A$4:$A$1000,0)),"")</f>
        <v>133</v>
      </c>
      <c r="B16" s="6" t="str">
        <f aca="false">IFERROR(INDEX(Catálogo!B$4:B$1000,MATCH($A$1&amp;"|"&amp;13,Índice!$A$4:$A$1000,0)),"")</f>
        <v>SCARED-R — Criança</v>
      </c>
      <c r="C16" s="6" t="str">
        <f aca="false">IFERROR(INDEX(Catálogo!C$4:C$1000,MATCH($A$1&amp;"|"&amp;13,Índice!$A$4:$A$1000,0)),"")</f>
        <v>Ansiedade, Depressão &amp; Internalização</v>
      </c>
      <c r="D16" s="6" t="str">
        <f aca="false">IFERROR(INDEX(Catálogo!D$4:D$1000,MATCH($A$1&amp;"|"&amp;13,Índice!$A$4:$A$1000,0)),"")</f>
        <v>Paciente</v>
      </c>
      <c r="E16" s="6" t="str">
        <f aca="false">IFERROR(INDEX(Catálogo!E$4:E$1000,MATCH($A$1&amp;"|"&amp;13,Índice!$A$4:$A$1000,0)),"")</f>
        <v>8–18 anos</v>
      </c>
      <c r="F16" s="5" t="n">
        <f aca="false">IFERROR(INDEX(Catálogo!F$4:F$1000,MATCH($A$1&amp;"|"&amp;13,Índice!$A$4:$A$1000,0)),"")</f>
        <v>8</v>
      </c>
      <c r="G16" s="5" t="n">
        <f aca="false">IFERROR(INDEX(Catálogo!G$4:G$1000,MATCH($A$1&amp;"|"&amp;13,Índice!$A$4:$A$1000,0)),"")</f>
        <v>17.9</v>
      </c>
      <c r="H16" s="5" t="n">
        <f aca="false">IFERROR(INDEX(Catálogo!H$4:H$1000,MATCH($A$1&amp;"|"&amp;13,Índice!$A$4:$A$1000,0)),"")</f>
        <v>8</v>
      </c>
      <c r="I16" s="6" t="str">
        <f aca="false">IFERROR(INDEX(Catálogo!I$4:I$1000,MATCH($A$1&amp;"|"&amp;13,Índice!$A$4:$A$1000,0)),"")</f>
        <v>Avaliação de perturbações de ansiedade — versão autorrelato</v>
      </c>
      <c r="J16" s="6" t="str">
        <f aca="false">IFERROR(INDEX(Catálogo!J$4:J$1000,MATCH($A$1&amp;"|"&amp;13,Índice!$A$4:$A$1000,0)),"")</f>
        <v>Pânico; Ansiedade Generalizada; Separação; Fobia Social; Fobia Específica; Obsessivo-Compulsiva; Stress Pós-Traumático; Total</v>
      </c>
      <c r="K16" s="6" t="str">
        <f aca="false">IFERROR(INDEX(Catálogo!K$4:K$1000,MATCH($A$1&amp;"|"&amp;13,Índice!$A$4:$A$1000,0)),"")</f>
        <v>scared_r_crianca</v>
      </c>
      <c r="L16" s="6" t="str">
        <f aca="false">IFERROR(INDEX(Catálogo!L$4:L$1000,MATCH($A$1&amp;"|"&amp;13,Índice!$A$4:$A$1000,0)),"")</f>
        <v>q_scared_r_crianca</v>
      </c>
      <c r="M16" s="7" t="str">
        <f aca="false">IFERROR(INDEX(Catálogo!M$4:M$1000,MATCH($A$1&amp;"|"&amp;13,Índice!$A$4:$A$1000,0)),"")</f>
        <v>https://correiaricardina-ui.github.io/questionarios/SCARED_R_Crianca.html</v>
      </c>
    </row>
    <row r="17" customFormat="false" ht="42" hidden="false" customHeight="true" outlineLevel="0" collapsed="false">
      <c r="A17" s="5" t="n">
        <f aca="false">IFERROR(INDEX(Catálogo!A$4:A$1000,MATCH($A$1&amp;"|"&amp;14,Índice!$A$4:$A$1000,0)),"")</f>
        <v>134</v>
      </c>
      <c r="B17" s="6" t="str">
        <f aca="false">IFERROR(INDEX(Catálogo!B$4:B$1000,MATCH($A$1&amp;"|"&amp;14,Índice!$A$4:$A$1000,0)),"")</f>
        <v>SCARED-R — Pais/Cuid.</v>
      </c>
      <c r="C17" s="6" t="str">
        <f aca="false">IFERROR(INDEX(Catálogo!C$4:C$1000,MATCH($A$1&amp;"|"&amp;14,Índice!$A$4:$A$1000,0)),"")</f>
        <v>Ansiedade, Depressão &amp; Internalização</v>
      </c>
      <c r="D17" s="6" t="str">
        <f aca="false">IFERROR(INDEX(Catálogo!D$4:D$1000,MATCH($A$1&amp;"|"&amp;14,Índice!$A$4:$A$1000,0)),"")</f>
        <v>Mãe, Pai, Enc. Educação</v>
      </c>
      <c r="E17" s="6" t="str">
        <f aca="false">IFERROR(INDEX(Catálogo!E$4:E$1000,MATCH($A$1&amp;"|"&amp;14,Índice!$A$4:$A$1000,0)),"")</f>
        <v>8–18 anos</v>
      </c>
      <c r="F17" s="5" t="n">
        <f aca="false">IFERROR(INDEX(Catálogo!F$4:F$1000,MATCH($A$1&amp;"|"&amp;14,Índice!$A$4:$A$1000,0)),"")</f>
        <v>8</v>
      </c>
      <c r="G17" s="5" t="n">
        <f aca="false">IFERROR(INDEX(Catálogo!G$4:G$1000,MATCH($A$1&amp;"|"&amp;14,Índice!$A$4:$A$1000,0)),"")</f>
        <v>17.9</v>
      </c>
      <c r="H17" s="5" t="n">
        <f aca="false">IFERROR(INDEX(Catálogo!H$4:H$1000,MATCH($A$1&amp;"|"&amp;14,Índice!$A$4:$A$1000,0)),"")</f>
        <v>8</v>
      </c>
      <c r="I17" s="6" t="str">
        <f aca="false">IFERROR(INDEX(Catálogo!I$4:I$1000,MATCH($A$1&amp;"|"&amp;14,Índice!$A$4:$A$1000,0)),"")</f>
        <v>Avaliação de perturbações de ansiedade — versão pais/cuidadores</v>
      </c>
      <c r="J17" s="6" t="str">
        <f aca="false">IFERROR(INDEX(Catálogo!J$4:J$1000,MATCH($A$1&amp;"|"&amp;14,Índice!$A$4:$A$1000,0)),"")</f>
        <v>Pânico; Ansiedade Generalizada; Separação; Fobia Social; Fobia Específica; Obsessivo-Compulsiva; Stress Pós-Traumático; Total</v>
      </c>
      <c r="K17" s="6" t="str">
        <f aca="false">IFERROR(INDEX(Catálogo!K$4:K$1000,MATCH($A$1&amp;"|"&amp;14,Índice!$A$4:$A$1000,0)),"")</f>
        <v>scared_r_pais</v>
      </c>
      <c r="L17" s="6" t="str">
        <f aca="false">IFERROR(INDEX(Catálogo!L$4:L$1000,MATCH($A$1&amp;"|"&amp;14,Índice!$A$4:$A$1000,0)),"")</f>
        <v>q_scared_r_pais</v>
      </c>
      <c r="M17" s="7" t="str">
        <f aca="false">IFERROR(INDEX(Catálogo!M$4:M$1000,MATCH($A$1&amp;"|"&amp;14,Índice!$A$4:$A$1000,0)),"")</f>
        <v>https://correiaricardina-ui.github.io/questionarios/SCARED_R_Pais.html</v>
      </c>
    </row>
    <row r="18" customFormat="false" ht="42" hidden="false" customHeight="true" outlineLevel="0" collapsed="false">
      <c r="A18" s="5" t="n">
        <f aca="false">IFERROR(INDEX(Catálogo!A$4:A$1000,MATCH($A$1&amp;"|"&amp;15,Índice!$A$4:$A$1000,0)),"")</f>
        <v>139</v>
      </c>
      <c r="B18" s="6" t="str">
        <f aca="false">IFERROR(INDEX(Catálogo!B$4:B$1000,MATCH($A$1&amp;"|"&amp;15,Índice!$A$4:$A$1000,0)),"")</f>
        <v>SPAS — Pais</v>
      </c>
      <c r="C18" s="6" t="str">
        <f aca="false">IFERROR(INDEX(Catálogo!C$4:C$1000,MATCH($A$1&amp;"|"&amp;15,Índice!$A$4:$A$1000,0)),"")</f>
        <v>Ansiedade, Depressão &amp; Internalização</v>
      </c>
      <c r="D18" s="6" t="str">
        <f aca="false">IFERROR(INDEX(Catálogo!D$4:D$1000,MATCH($A$1&amp;"|"&amp;15,Índice!$A$4:$A$1000,0)),"")</f>
        <v>Mãe, Pai, Enc. Educação</v>
      </c>
      <c r="E18" s="6" t="str">
        <f aca="false">IFERROR(INDEX(Catálogo!E$4:E$1000,MATCH($A$1&amp;"|"&amp;15,Índice!$A$4:$A$1000,0)),"")</f>
        <v>3–13 anos</v>
      </c>
      <c r="F18" s="5" t="n">
        <f aca="false">IFERROR(INDEX(Catálogo!F$4:F$1000,MATCH($A$1&amp;"|"&amp;15,Índice!$A$4:$A$1000,0)),"")</f>
        <v>3</v>
      </c>
      <c r="G18" s="5" t="n">
        <f aca="false">IFERROR(INDEX(Catálogo!G$4:G$1000,MATCH($A$1&amp;"|"&amp;15,Índice!$A$4:$A$1000,0)),"")</f>
        <v>12.9</v>
      </c>
      <c r="H18" s="5" t="n">
        <f aca="false">IFERROR(INDEX(Catálogo!H$4:H$1000,MATCH($A$1&amp;"|"&amp;15,Índice!$A$4:$A$1000,0)),"")</f>
        <v>6</v>
      </c>
      <c r="I18" s="6" t="str">
        <f aca="false">IFERROR(INDEX(Catálogo!I$4:I$1000,MATCH($A$1&amp;"|"&amp;15,Índice!$A$4:$A$1000,0)),"")</f>
        <v>Avalia ansiedade social em crianças — versão pais</v>
      </c>
      <c r="J18" s="6" t="str">
        <f aca="false">IFERROR(INDEX(Catálogo!J$4:J$1000,MATCH($A$1&amp;"|"&amp;15,Índice!$A$4:$A$1000,0)),"")</f>
        <v>Ansiedade Generalizada (AG); Ansiedade Social (AS); Ansiedade de Separação (SEP); Medos de Dano Físico (MDF); Obsessivo-Compulsivo (POC); Score Total (Total)</v>
      </c>
      <c r="K18" s="6" t="str">
        <f aca="false">IFERROR(INDEX(Catálogo!K$4:K$1000,MATCH($A$1&amp;"|"&amp;15,Índice!$A$4:$A$1000,0)),"")</f>
        <v>spas_pais</v>
      </c>
      <c r="L18" s="6" t="str">
        <f aca="false">IFERROR(INDEX(Catálogo!L$4:L$1000,MATCH($A$1&amp;"|"&amp;15,Índice!$A$4:$A$1000,0)),"")</f>
        <v>q_spas_pais</v>
      </c>
      <c r="M18" s="7" t="str">
        <f aca="false">IFERROR(INDEX(Catálogo!M$4:M$1000,MATCH($A$1&amp;"|"&amp;15,Índice!$A$4:$A$1000,0)),"")</f>
        <v>https://correiaricardina-ui.github.io/questionarios/SPAS_Pais.html</v>
      </c>
    </row>
    <row r="19" customFormat="false" ht="42" hidden="false" customHeight="true" outlineLevel="0" collapsed="false">
      <c r="A19" s="5" t="n">
        <f aca="false">IFERROR(INDEX(Catálogo!A$4:A$1000,MATCH($A$1&amp;"|"&amp;16,Índice!$A$4:$A$1000,0)),"")</f>
        <v>140</v>
      </c>
      <c r="B19" s="6" t="str">
        <f aca="false">IFERROR(INDEX(Catálogo!B$4:B$1000,MATCH($A$1&amp;"|"&amp;16,Índice!$A$4:$A$1000,0)),"")</f>
        <v>SPAS — Professor</v>
      </c>
      <c r="C19" s="6" t="str">
        <f aca="false">IFERROR(INDEX(Catálogo!C$4:C$1000,MATCH($A$1&amp;"|"&amp;16,Índice!$A$4:$A$1000,0)),"")</f>
        <v>Ansiedade, Depressão &amp; Internalização</v>
      </c>
      <c r="D19" s="6" t="str">
        <f aca="false">IFERROR(INDEX(Catálogo!D$4:D$1000,MATCH($A$1&amp;"|"&amp;16,Índice!$A$4:$A$1000,0)),"")</f>
        <v>Professor(a), Educador(a)</v>
      </c>
      <c r="E19" s="6" t="str">
        <f aca="false">IFERROR(INDEX(Catálogo!E$4:E$1000,MATCH($A$1&amp;"|"&amp;16,Índice!$A$4:$A$1000,0)),"")</f>
        <v>3–13 anos</v>
      </c>
      <c r="F19" s="5" t="n">
        <f aca="false">IFERROR(INDEX(Catálogo!F$4:F$1000,MATCH($A$1&amp;"|"&amp;16,Índice!$A$4:$A$1000,0)),"")</f>
        <v>3</v>
      </c>
      <c r="G19" s="5" t="n">
        <f aca="false">IFERROR(INDEX(Catálogo!G$4:G$1000,MATCH($A$1&amp;"|"&amp;16,Índice!$A$4:$A$1000,0)),"")</f>
        <v>12.9</v>
      </c>
      <c r="H19" s="5" t="n">
        <f aca="false">IFERROR(INDEX(Catálogo!H$4:H$1000,MATCH($A$1&amp;"|"&amp;16,Índice!$A$4:$A$1000,0)),"")</f>
        <v>6</v>
      </c>
      <c r="I19" s="6" t="str">
        <f aca="false">IFERROR(INDEX(Catálogo!I$4:I$1000,MATCH($A$1&amp;"|"&amp;16,Índice!$A$4:$A$1000,0)),"")</f>
        <v>Avalia ansiedade social em crianças — versão professor/educador</v>
      </c>
      <c r="J19" s="6" t="str">
        <f aca="false">IFERROR(INDEX(Catálogo!J$4:J$1000,MATCH($A$1&amp;"|"&amp;16,Índice!$A$4:$A$1000,0)),"")</f>
        <v>Ansiedade Generalizada (AG); Ansiedade Social (AS); Ansiedade de Separação (SEP); Medos de Dano Físico (MDF); Obsessivo-Compulsivo (POC); Score Total (Total)</v>
      </c>
      <c r="K19" s="6" t="str">
        <f aca="false">IFERROR(INDEX(Catálogo!K$4:K$1000,MATCH($A$1&amp;"|"&amp;16,Índice!$A$4:$A$1000,0)),"")</f>
        <v>spas_prof</v>
      </c>
      <c r="L19" s="6" t="str">
        <f aca="false">IFERROR(INDEX(Catálogo!L$4:L$1000,MATCH($A$1&amp;"|"&amp;16,Índice!$A$4:$A$1000,0)),"")</f>
        <v>q_spas_prof</v>
      </c>
      <c r="M19" s="7" t="str">
        <f aca="false">IFERROR(INDEX(Catálogo!M$4:M$1000,MATCH($A$1&amp;"|"&amp;16,Índice!$A$4:$A$1000,0)),"")</f>
        <v>https://correiaricardina-ui.github.io/questionarios/SPAS_Educador.html</v>
      </c>
    </row>
    <row r="20" customFormat="false" ht="42" hidden="false" customHeight="true" outlineLevel="0" collapsed="false">
      <c r="A20" s="5" t="n">
        <f aca="false">IFERROR(INDEX(Catálogo!A$4:A$1000,MATCH($A$1&amp;"|"&amp;17,Índice!$A$4:$A$1000,0)),"")</f>
        <v>148</v>
      </c>
      <c r="B20" s="6" t="str">
        <f aca="false">IFERROR(INDEX(Catálogo!B$4:B$1000,MATCH($A$1&amp;"|"&amp;17,Índice!$A$4:$A$1000,0)),"")</f>
        <v>STAIC C-2 (A-Traço)</v>
      </c>
      <c r="C20" s="6" t="str">
        <f aca="false">IFERROR(INDEX(Catálogo!C$4:C$1000,MATCH($A$1&amp;"|"&amp;17,Índice!$A$4:$A$1000,0)),"")</f>
        <v>Ansiedade, Depressão &amp; Internalização</v>
      </c>
      <c r="D20" s="6" t="str">
        <f aca="false">IFERROR(INDEX(Catálogo!D$4:D$1000,MATCH($A$1&amp;"|"&amp;17,Índice!$A$4:$A$1000,0)),"")</f>
        <v>Paciente</v>
      </c>
      <c r="E20" s="6" t="str">
        <f aca="false">IFERROR(INDEX(Catálogo!E$4:E$1000,MATCH($A$1&amp;"|"&amp;17,Índice!$A$4:$A$1000,0)),"")</f>
        <v>8–17 anos</v>
      </c>
      <c r="F20" s="5" t="n">
        <f aca="false">IFERROR(INDEX(Catálogo!F$4:F$1000,MATCH($A$1&amp;"|"&amp;17,Índice!$A$4:$A$1000,0)),"")</f>
        <v>8</v>
      </c>
      <c r="G20" s="5" t="n">
        <f aca="false">IFERROR(INDEX(Catálogo!G$4:G$1000,MATCH($A$1&amp;"|"&amp;17,Índice!$A$4:$A$1000,0)),"")</f>
        <v>17.9</v>
      </c>
      <c r="H20" s="5" t="n">
        <f aca="false">IFERROR(INDEX(Catálogo!H$4:H$1000,MATCH($A$1&amp;"|"&amp;17,Índice!$A$4:$A$1000,0)),"")</f>
        <v>4</v>
      </c>
      <c r="I20" s="6" t="str">
        <f aca="false">IFERROR(INDEX(Catálogo!I$4:I$1000,MATCH($A$1&amp;"|"&amp;17,Índice!$A$4:$A$1000,0)),"")</f>
        <v>Rastreio de ansiedade-traço (auto-relato) — Spielberger et al. (1973) / Dias &amp; Gonçalves (1999)</v>
      </c>
      <c r="J20" s="6" t="str">
        <f aca="false">IFERROR(INDEX(Catálogo!J$4:J$1000,MATCH($A$1&amp;"|"&amp;17,Índice!$A$4:$A$1000,0)),"")</f>
        <v>Total; Z-Spielberger; Z-Biaggio; Z-D&amp;G PT</v>
      </c>
      <c r="K20" s="6" t="str">
        <f aca="false">IFERROR(INDEX(Catálogo!K$4:K$1000,MATCH($A$1&amp;"|"&amp;17,Índice!$A$4:$A$1000,0)),"")</f>
        <v>staicc2</v>
      </c>
      <c r="L20" s="6" t="str">
        <f aca="false">IFERROR(INDEX(Catálogo!L$4:L$1000,MATCH($A$1&amp;"|"&amp;17,Índice!$A$4:$A$1000,0)),"")</f>
        <v>q_staicc2</v>
      </c>
      <c r="M20" s="7" t="str">
        <f aca="false">IFERROR(INDEX(Catálogo!M$4:M$1000,MATCH($A$1&amp;"|"&amp;17,Índice!$A$4:$A$1000,0)),"")</f>
        <v>https://correiaricardina-ui.github.io/questionarios/STAIC_C2_v1.html</v>
      </c>
    </row>
    <row r="21" customFormat="false" ht="42" hidden="false" customHeight="true" outlineLevel="0" collapsed="false">
      <c r="A21" s="5" t="n">
        <f aca="false">IFERROR(INDEX(Catálogo!A$4:A$1000,MATCH($A$1&amp;"|"&amp;18,Índice!$A$4:$A$1000,0)),"")</f>
        <v>161</v>
      </c>
      <c r="B21" s="6" t="str">
        <f aca="false">IFERROR(INDEX(Catálogo!B$4:B$1000,MATCH($A$1&amp;"|"&amp;18,Índice!$A$4:$A$1000,0)),"")</f>
        <v>CSAS — Escala de Ansiedade de Separação para Crianças (Criança)</v>
      </c>
      <c r="C21" s="6" t="str">
        <f aca="false">IFERROR(INDEX(Catálogo!C$4:C$1000,MATCH($A$1&amp;"|"&amp;18,Índice!$A$4:$A$1000,0)),"")</f>
        <v>Ansiedade, Depressão &amp; Internalização</v>
      </c>
      <c r="D21" s="6" t="str">
        <f aca="false">IFERROR(INDEX(Catálogo!D$4:D$1000,MATCH($A$1&amp;"|"&amp;18,Índice!$A$4:$A$1000,0)),"")</f>
        <v>Paciente</v>
      </c>
      <c r="E21" s="6" t="str">
        <f aca="false">IFERROR(INDEX(Catálogo!E$4:E$1000,MATCH($A$1&amp;"|"&amp;18,Índice!$A$4:$A$1000,0)),"")</f>
        <v>8–11 anos</v>
      </c>
      <c r="F21" s="5" t="n">
        <f aca="false">IFERROR(INDEX(Catálogo!F$4:F$1000,MATCH($A$1&amp;"|"&amp;18,Índice!$A$4:$A$1000,0)),"")</f>
        <v>8</v>
      </c>
      <c r="G21" s="5" t="n">
        <f aca="false">IFERROR(INDEX(Catálogo!G$4:G$1000,MATCH($A$1&amp;"|"&amp;18,Índice!$A$4:$A$1000,0)),"")</f>
        <v>11</v>
      </c>
      <c r="H21" s="5" t="n">
        <f aca="false">IFERROR(INDEX(Catálogo!H$4:H$1000,MATCH($A$1&amp;"|"&amp;18,Índice!$A$4:$A$1000,0)),"")</f>
        <v>5</v>
      </c>
      <c r="I21" s="6" t="str">
        <f aca="false">IFERROR(INDEX(Catálogo!I$4:I$1000,MATCH($A$1&amp;"|"&amp;18,Índice!$A$4:$A$1000,0)),"")</f>
        <v>Autorrelato de sintomas de ansiedade de separação (20 itens, 4 fatores). Corte total ≥ 68 orientativo (norma espanhola, não portuguesa; Méndez et al., 2014).</v>
      </c>
      <c r="J21" s="6" t="str">
        <f aca="false">IFERROR(INDEX(Catálogo!J$4:J$1000,MATCH($A$1&amp;"|"&amp;18,Índice!$A$4:$A$1000,0)),"")</f>
        <v>Preocupação com a separação (cognitivo); Mal-estar da separação (psicofisiológico); Oposição à separação (comportamental); Calma na separação (fator positivo, invertido no cálculo — itens 3, 8, 12, 15, 19); Total (20–100)</v>
      </c>
      <c r="K21" s="6" t="str">
        <f aca="false">IFERROR(INDEX(Catálogo!K$4:K$1000,MATCH($A$1&amp;"|"&amp;18,Índice!$A$4:$A$1000,0)),"")</f>
        <v>csas</v>
      </c>
      <c r="L21" s="6" t="str">
        <f aca="false">IFERROR(INDEX(Catálogo!L$4:L$1000,MATCH($A$1&amp;"|"&amp;18,Índice!$A$4:$A$1000,0)),"")</f>
        <v>q_csas</v>
      </c>
      <c r="M21" s="7" t="str">
        <f aca="false">IFERROR(INDEX(Catálogo!M$4:M$1000,MATCH($A$1&amp;"|"&amp;18,Índice!$A$4:$A$1000,0)),"")</f>
        <v>https://correiaricardina-ui.github.io/questionarios/CSAS_v1.html</v>
      </c>
    </row>
    <row r="22" customFormat="false" ht="42" hidden="false" customHeight="true" outlineLevel="0" collapsed="false">
      <c r="A22" s="5" t="n">
        <f aca="false">IFERROR(INDEX(Catálogo!A$4:A$1000,MATCH($A$1&amp;"|"&amp;19,Índice!$A$4:$A$1000,0)),"")</f>
        <v>162</v>
      </c>
      <c r="B22" s="6" t="str">
        <f aca="false">IFERROR(INDEX(Catálogo!B$4:B$1000,MATCH($A$1&amp;"|"&amp;19,Índice!$A$4:$A$1000,0)),"")</f>
        <v>CSAS-P — Escala de Ansiedade de Separação para Crianças · Versão Pais</v>
      </c>
      <c r="C22" s="6" t="str">
        <f aca="false">IFERROR(INDEX(Catálogo!C$4:C$1000,MATCH($A$1&amp;"|"&amp;19,Índice!$A$4:$A$1000,0)),"")</f>
        <v>Ansiedade, Depressão &amp; Internalização</v>
      </c>
      <c r="D22" s="6" t="str">
        <f aca="false">IFERROR(INDEX(Catálogo!D$4:D$1000,MATCH($A$1&amp;"|"&amp;19,Índice!$A$4:$A$1000,0)),"")</f>
        <v>Mãe, Pai, Enc. Educação</v>
      </c>
      <c r="E22" s="6" t="str">
        <f aca="false">IFERROR(INDEX(Catálogo!E$4:E$1000,MATCH($A$1&amp;"|"&amp;19,Índice!$A$4:$A$1000,0)),"")</f>
        <v>8–11 anos</v>
      </c>
      <c r="F22" s="5" t="n">
        <f aca="false">IFERROR(INDEX(Catálogo!F$4:F$1000,MATCH($A$1&amp;"|"&amp;19,Índice!$A$4:$A$1000,0)),"")</f>
        <v>8</v>
      </c>
      <c r="G22" s="5" t="n">
        <f aca="false">IFERROR(INDEX(Catálogo!G$4:G$1000,MATCH($A$1&amp;"|"&amp;19,Índice!$A$4:$A$1000,0)),"")</f>
        <v>11</v>
      </c>
      <c r="H22" s="5" t="n">
        <f aca="false">IFERROR(INDEX(Catálogo!H$4:H$1000,MATCH($A$1&amp;"|"&amp;19,Índice!$A$4:$A$1000,0)),"")</f>
        <v>5</v>
      </c>
      <c r="I22" s="6" t="str">
        <f aca="false">IFERROR(INDEX(Catálogo!I$4:I$1000,MATCH($A$1&amp;"|"&amp;19,Índice!$A$4:$A$1000,0)),"")</f>
        <v>Heterorrelato parental de ansiedade de separação (20 itens, 4 fatores). Sem ponto de corte; leitura principal por fator (z vs norma parental espanhola, não portuguesa; Méndez et al., 2022).</v>
      </c>
      <c r="J22" s="6" t="str">
        <f aca="false">IFERROR(INDEX(Catálogo!J$4:J$1000,MATCH($A$1&amp;"|"&amp;19,Índice!$A$4:$A$1000,0)),"")</f>
        <v>Preocupação; Oposição; Calma (fator positivo/protetor — leitura inversa); Mal-estar (norma com efeito de chão — ler com cautela); Total orientativo = Preocupação + Oposição + Mal-estar + (30 − Calma)</v>
      </c>
      <c r="K22" s="6" t="str">
        <f aca="false">IFERROR(INDEX(Catálogo!K$4:K$1000,MATCH($A$1&amp;"|"&amp;19,Índice!$A$4:$A$1000,0)),"")</f>
        <v>csas_p</v>
      </c>
      <c r="L22" s="6" t="str">
        <f aca="false">IFERROR(INDEX(Catálogo!L$4:L$1000,MATCH($A$1&amp;"|"&amp;19,Índice!$A$4:$A$1000,0)),"")</f>
        <v>q_csas_p</v>
      </c>
      <c r="M22" s="7" t="str">
        <f aca="false">IFERROR(INDEX(Catálogo!M$4:M$1000,MATCH($A$1&amp;"|"&amp;19,Índice!$A$4:$A$1000,0)),"")</f>
        <v>https://correiaricardina-ui.github.io/questionarios/CSAS_P_v1.html</v>
      </c>
    </row>
    <row r="23" customFormat="false" ht="42" hidden="false" customHeight="true" outlineLevel="0" collapsed="false">
      <c r="A23" s="5" t="n">
        <f aca="false">IFERROR(INDEX(Catálogo!A$4:A$1000,MATCH($A$1&amp;"|"&amp;20,Índice!$A$4:$A$1000,0)),"")</f>
        <v>165</v>
      </c>
      <c r="B23" s="6" t="str">
        <f aca="false">IFERROR(INDEX(Catálogo!B$4:B$1000,MATCH($A$1&amp;"|"&amp;20,Índice!$A$4:$A$1000,0)),"")</f>
        <v>GAD-7 — Escala de Ansiedade Generalizada</v>
      </c>
      <c r="C23" s="6" t="str">
        <f aca="false">IFERROR(INDEX(Catálogo!C$4:C$1000,MATCH($A$1&amp;"|"&amp;20,Índice!$A$4:$A$1000,0)),"")</f>
        <v>Ansiedade, Depressão &amp; Internalização</v>
      </c>
      <c r="D23" s="6" t="str">
        <f aca="false">IFERROR(INDEX(Catálogo!D$4:D$1000,MATCH($A$1&amp;"|"&amp;20,Índice!$A$4:$A$1000,0)),"")</f>
        <v>Paciente</v>
      </c>
      <c r="E23" s="6" t="str">
        <f aca="false">IFERROR(INDEX(Catálogo!E$4:E$1000,MATCH($A$1&amp;"|"&amp;20,Índice!$A$4:$A$1000,0)),"")</f>
        <v>≥ 12 anos</v>
      </c>
      <c r="F23" s="5" t="n">
        <f aca="false">IFERROR(INDEX(Catálogo!F$4:F$1000,MATCH($A$1&amp;"|"&amp;20,Índice!$A$4:$A$1000,0)),"")</f>
        <v>12</v>
      </c>
      <c r="G23" s="5" t="n">
        <f aca="false">IFERROR(INDEX(Catálogo!G$4:G$1000,MATCH($A$1&amp;"|"&amp;20,Índice!$A$4:$A$1000,0)),"")</f>
        <v>99</v>
      </c>
      <c r="H23" s="5" t="n">
        <f aca="false">IFERROR(INDEX(Catálogo!H$4:H$1000,MATCH($A$1&amp;"|"&amp;20,Índice!$A$4:$A$1000,0)),"")</f>
        <v>4</v>
      </c>
      <c r="I23" s="6" t="str">
        <f aca="false">IFERROR(INDEX(Catálogo!I$4:I$1000,MATCH($A$1&amp;"|"&amp;20,Índice!$A$4:$A$1000,0)),"")</f>
        <v>Rastreio da gravidade sintomática de ansiedade generalizada e monitorização da evolução (Spitzer, Kroenke, Williams &amp; Löwe, 2006). Autorrelato, 7 itens, escala ordinal 0–3, período de referência: últimos 14 dias; aplicação individual ou coletiva em 2–3 minutos; heteroaplicação admissível em caso de limitação de literacia, registando-se essa condição. Instrumento UNIDIMENSIONAL: total = soma directa dos 7 itens (0–21), sem subescalas, sem itens invertidos e sem ponderações (ACP em Sousa et al., 2015; AFE em Leite &amp; Faro, 2022, 62,8% de variância explicada) — os agrupamentos de conteúdo são meramente descritivos e não têm estatuto psicométrico. Ponto de corte operacional ≥ 10 (Spitzer et al., 2006: sensibilidade 89%, especificidade 82%). Bandas de gravidade descritiva 0–4 · 5–9 · 10–14 · 15–21 da amostra original norte-americana, replicadas na literatura subsequente. NÃO EXISTEM NORMAS PORTUGUESAS (percentis ou pontuações padronizadas): os limiares 5/10/15 são bandas descritivas e não limiares diagnósticos — «Ansiedade grave» descreve intensidade sintomática, não é atribuição nosológica. A validação portuguesa de referência (Sousa et al., 2015; artigo em acesso aberto CC-BY) foi conduzida em amostra clínica psiquiátrica adulta (78,8% mulheres, idade média 52,2 anos) — a generalização a populações não clínicas, a outros escalões etários e a contexto pediátrico exige prudência; Gonçalves (2019, validação portuguesa 6–16 anos) reporta prevalência com base num valor superior a 11, não coincidente com o corte adulto de 10. Instrumento de RASTREIO: não constitui, por si, instrumento de diagnóstico e não substitui a entrevista clínica nem o exame do estado mental — um total elevado é inespecífico e sobrepõe-se a sintomatologia depressiva (r = 0,450 com a subescala de depressão da HADS) e um total baixo não exclui perturbação de ansiedade. Estatuto de acesso: VIA A — instrumento legalmente acessível, reproduzido com atribuição (família PHQ/GAD, autorização expressa de reprodução, tradução e distribuição).</v>
      </c>
      <c r="J23" s="6" t="str">
        <f aca="false">IFERROR(INDEX(Catálogo!J$4:J$1000,MATCH($A$1&amp;"|"&amp;20,Índice!$A$4:$A$1000,0)),"")</f>
        <v>Total GAD-7 (0–21) — soma directa dos 7 itens; instrumento unidimensional, NÃO calcula subescalas. Banda de gravidade descritiva — 0–4 Ansiedade mínima (sintomatologia ansiosa ausente ou residual no período de referência) · 5–9 Ansiedade leve (intensidade ligeira, abaixo do limiar de rastreio) · 10–14 Ansiedade moderada (intensidade moderada, acima do limiar de rastreio) · 15–21 Ansiedade grave (intensidade elevada, acima do limiar de rastreio) — limiares de Spitzer et al. (2006), NÃO são normas portuguesas. Rastreio (ponto de corte ≥ 10) — positivo/negativo face ao ponto de corte operacional, editável. Validade do protocolo — regra de dados em falta (decisão interna documentada; a escala original não a define): itens não respondidos são excluídos do denominador e NUNCA cotados como zero (0 é resposta substantiva, «Nunca»); com 6 itens respondidos o total é estimado por prorata — ARRED(soma ÷ n × 7; 0) — e sinalizado como estimativa; com menos de 6 o protocolo é inválido e não é gerada interpretação. Indicadores auxiliares descritivos, sem estatuto diagnóstico: % da pontuação máxima; nº de itens com pontuação ≥ 2 (sintoma referido em mais de metade dos dias); item de pontuação mais elevada (o primeiro, em caso de empate). Agrupamentos de conteúdo MERAMENTE DESCRITIVOS (sem estatuto de subescala; sem cotação própria): apreensão/tensão nervosa (item 1); cognitivo — incontrolabilidade da preocupação (item 2); cognitivo — preocupação excessiva e multifocal (item 3); somático — tensão/dificuldade de relaxamento (item 4); somático-motor — inquietação (item 5); irritabilidade (item 6); apreensão antecipatória (item 7). Nota: a versão em uso omite o item 8 canónico (dificuldade causada pelos problemas), que não é cotado mas informa a apreciação da incapacidade funcional.</v>
      </c>
      <c r="K23" s="6" t="str">
        <f aca="false">IFERROR(INDEX(Catálogo!K$4:K$1000,MATCH($A$1&amp;"|"&amp;20,Índice!$A$4:$A$1000,0)),"")</f>
        <v>gad7</v>
      </c>
      <c r="L23" s="6" t="str">
        <f aca="false">IFERROR(INDEX(Catálogo!L$4:L$1000,MATCH($A$1&amp;"|"&amp;20,Índice!$A$4:$A$1000,0)),"")</f>
        <v>q_gad7</v>
      </c>
      <c r="M23" s="7" t="str">
        <f aca="false">IFERROR(INDEX(Catálogo!M$4:M$1000,MATCH($A$1&amp;"|"&amp;20,Índice!$A$4:$A$1000,0)),"")</f>
        <v>https://correiaricardina-ui.github.io/questionarios/GAD7_v1.html</v>
      </c>
    </row>
    <row r="24" customFormat="false" ht="42" hidden="false" customHeight="true" outlineLevel="0" collapsed="false">
      <c r="A24" s="5" t="n">
        <f aca="false">IFERROR(INDEX(Catálogo!A$4:A$1000,MATCH($A$1&amp;"|"&amp;21,Índice!$A$4:$A$1000,0)),"")</f>
        <v>166</v>
      </c>
      <c r="B24" s="6" t="str">
        <f aca="false">IFERROR(INDEX(Catálogo!B$4:B$1000,MATCH($A$1&amp;"|"&amp;21,Índice!$A$4:$A$1000,0)),"")</f>
        <v>SMQ — Questionário de Mutismo Seletivo (Pais)</v>
      </c>
      <c r="C24" s="6" t="str">
        <f aca="false">IFERROR(INDEX(Catálogo!C$4:C$1000,MATCH($A$1&amp;"|"&amp;21,Índice!$A$4:$A$1000,0)),"")</f>
        <v>Ansiedade, Depressão &amp; Internalização</v>
      </c>
      <c r="D24" s="6" t="str">
        <f aca="false">IFERROR(INDEX(Catálogo!D$4:D$1000,MATCH($A$1&amp;"|"&amp;21,Índice!$A$4:$A$1000,0)),"")</f>
        <v>Mãe, Pai, Enc. Educação</v>
      </c>
      <c r="E24" s="6" t="str">
        <f aca="false">IFERROR(INDEX(Catálogo!E$4:E$1000,MATCH($A$1&amp;"|"&amp;21,Índice!$A$4:$A$1000,0)),"")</f>
        <v>3–17 anos</v>
      </c>
      <c r="F24" s="5" t="n">
        <f aca="false">IFERROR(INDEX(Catálogo!F$4:F$1000,MATCH($A$1&amp;"|"&amp;21,Índice!$A$4:$A$1000,0)),"")</f>
        <v>3</v>
      </c>
      <c r="G24" s="5" t="n">
        <f aca="false">IFERROR(INDEX(Catálogo!G$4:G$1000,MATCH($A$1&amp;"|"&amp;21,Índice!$A$4:$A$1000,0)),"")</f>
        <v>17</v>
      </c>
      <c r="H24" s="5" t="n">
        <f aca="false">IFERROR(INDEX(Catálogo!H$4:H$1000,MATCH($A$1&amp;"|"&amp;21,Índice!$A$4:$A$1000,0)),"")</f>
        <v>10</v>
      </c>
      <c r="I24" s="6" t="str">
        <f aca="false">IFERROR(INDEX(Catálogo!I$4:I$1000,MATCH($A$1&amp;"|"&amp;21,Índice!$A$4:$A$1000,0)),"")</f>
        <v>Quantificação da frequência de fala por contexto, da interferência funcional associada e monitorização da mudança em resposta a intervenção (Bergman, Keller, Piacentini &amp; Bergman, 2008). Relato parental, 23 itens. Itens 1–17: escala ordinal de frequência 0–3 (Nunca · Raramente · Frequentemente · Sempre), período de referência: últimas duas semanas; itens 18–23: escala de interferência/desconforto 0–3 (Nada · Um pouco · Moderadamente · Muito), que NÃO integra a pontuação de sintomas. ATENÇÃO — ESCALA INVERSA: pontuações mais BAIXAS indicam MENOR frequência de fala e, portanto, MAIOR gravidade sintomática. Métrica primária: média por escala (0–3); métrica secundária: soma prorrateada (média × nº nominal de itens). Os itens 12 e 17 admitem legitimamente «Não aplicável» (ausência de ama/cuidador; ausência de atividades extraescolares) e são excluídos de numerador e denominador. NÃO é instrumento de diagnóstico e não gera pontos de corte diagnósticos; não existem normas portuguesas — todos os limiares utilizados são exploratórios. Não discrimina de forma fiável o mutismo seletivo da perturbação de ansiedade social isolada.</v>
      </c>
      <c r="J24" s="6" t="str">
        <f aca="false">IFERROR(INDEX(Catálogo!J$4:J$1000,MATCH($A$1&amp;"|"&amp;21,Índice!$A$4:$A$1000,0)),"")</f>
        <v>Escola (itens 1–6; média 0–3; N mín. 5 de 6; referência DT ≥ 2,50) — frequência de fala com colegas, professores e perante a turma. · Casa/Família (itens 7–12; N mín. 4 de 6; referência DT ≥ 2,50) — fala com familiares coabitantes e não coabitantes, ao telefone e com cuidadores; é estruturalmente a subescala menos afetada, pelo que valores baixos exigem reformulação da hipótese. · Social (itens 13–17; N mín. 3 de 5; referência DT ≈ 2,00, estruturalmente MAIS BAIXA — comparar contra 2,50 produziria sobreidentificação sistemática) — fala com desconhecidos, profissionais de saúde, funcionários e em atividades extraescolares. · TOTAL SMQ (itens 1–17; N mín. 13 de 17; invalidado se qualquer subescala não for cotada). · Escala de sintomas em métrica de soma (0–51) — rastreio: ≤ 14 positivo com especificidade máxima · ≤ 38 positivo (sensibilidade 100%, especificidade 74,3%) · &gt; 38 negativo. ADVERTÊNCIA: o corte de 13 citado na literatura secundária refere-se à cotação INVERTIDA do estudo neerlandês e NÃO se aplica à cotação original — o equivalente correto é 38. · Interferência funcional na criança (itens 18–21; N mín. 3 de 4). · Desconforto da criança (item 22). · Desconforto do cuidador (item 23). · Índice global de interferência (itens 18–23; soma 0–18; escala autónoma, α = 0,81). · IDC — Índice de Discrepância Contextual (média Casa/Família − média Escola; construção própria; interpretável apenas com média Escola &lt; 2,00; a classificação «Restrição extensiva ao contexto familiar» com média Casa &lt; 1,50 tem precedência sobre a magnitude do IDC). · Discrepância Social − Escola. · Concordância inter-informante na subescala Escola (calculada automaticamente a partir da versão Professores do mesmo código: &lt; 0,50 elevada · 0,50–0,99 moderada · ≥ 1,00 discrepância relevante). Bandas descritivas da média (0–3): 0–0,49 Fala ausente ou quase ausente · 0,50–0,99 Fala muito reduzida · 1,00–1,49 Fala reduzida · 1,50–1,99 Fala inconsistente · 2,00–2,49 Fala frequente · 2,50–3,00 Fala consistente.</v>
      </c>
      <c r="K24" s="6" t="str">
        <f aca="false">IFERROR(INDEX(Catálogo!K$4:K$1000,MATCH($A$1&amp;"|"&amp;21,Índice!$A$4:$A$1000,0)),"")</f>
        <v>smq_pais</v>
      </c>
      <c r="L24" s="6" t="str">
        <f aca="false">IFERROR(INDEX(Catálogo!L$4:L$1000,MATCH($A$1&amp;"|"&amp;21,Índice!$A$4:$A$1000,0)),"")</f>
        <v>q_smq_pais</v>
      </c>
      <c r="M24" s="7" t="str">
        <f aca="false">IFERROR(INDEX(Catálogo!M$4:M$1000,MATCH($A$1&amp;"|"&amp;21,Índice!$A$4:$A$1000,0)),"")</f>
        <v>https://correiaricardina-ui.github.io/questionarios/SMQ_Pais_v1.html</v>
      </c>
    </row>
    <row r="25" customFormat="false" ht="42" hidden="false" customHeight="true" outlineLevel="0" collapsed="false">
      <c r="A25" s="5" t="n">
        <f aca="false">IFERROR(INDEX(Catálogo!A$4:A$1000,MATCH($A$1&amp;"|"&amp;22,Índice!$A$4:$A$1000,0)),"")</f>
        <v>167</v>
      </c>
      <c r="B25" s="6" t="str">
        <f aca="false">IFERROR(INDEX(Catálogo!B$4:B$1000,MATCH($A$1&amp;"|"&amp;22,Índice!$A$4:$A$1000,0)),"")</f>
        <v>SMQ — Questionário de Mutismo Seletivo (Professores)</v>
      </c>
      <c r="C25" s="6" t="str">
        <f aca="false">IFERROR(INDEX(Catálogo!C$4:C$1000,MATCH($A$1&amp;"|"&amp;22,Índice!$A$4:$A$1000,0)),"")</f>
        <v>Ansiedade, Depressão &amp; Internalização</v>
      </c>
      <c r="D25" s="6" t="str">
        <f aca="false">IFERROR(INDEX(Catálogo!D$4:D$1000,MATCH($A$1&amp;"|"&amp;22,Índice!$A$4:$A$1000,0)),"")</f>
        <v>Professor(a), Educador(a)</v>
      </c>
      <c r="E25" s="6" t="str">
        <f aca="false">IFERROR(INDEX(Catálogo!E$4:E$1000,MATCH($A$1&amp;"|"&amp;22,Índice!$A$4:$A$1000,0)),"")</f>
        <v>3–17 anos</v>
      </c>
      <c r="F25" s="5" t="n">
        <f aca="false">IFERROR(INDEX(Catálogo!F$4:F$1000,MATCH($A$1&amp;"|"&amp;22,Índice!$A$4:$A$1000,0)),"")</f>
        <v>3</v>
      </c>
      <c r="G25" s="5" t="n">
        <f aca="false">IFERROR(INDEX(Catálogo!G$4:G$1000,MATCH($A$1&amp;"|"&amp;22,Índice!$A$4:$A$1000,0)),"")</f>
        <v>17</v>
      </c>
      <c r="H25" s="5" t="n">
        <f aca="false">IFERROR(INDEX(Catálogo!H$4:H$1000,MATCH($A$1&amp;"|"&amp;22,Índice!$A$4:$A$1000,0)),"")</f>
        <v>5</v>
      </c>
      <c r="I25" s="6" t="str">
        <f aca="false">IFERROR(INDEX(Catálogo!I$4:I$1000,MATCH($A$1&amp;"|"&amp;22,Índice!$A$4:$A$1000,0)),"")</f>
        <v>Quantificação da frequência de fala do aluno em contexto escolar e da interferência percebida pelo professor, com utilização preferencial na monitorização da mudança (Bergman, Keller, Piacentini &amp; Bergman, 2008). Relato do professor/educador, 11 itens. Itens 1–6: escala ordinal de frequência 0–3 (Nunca · Raramente · Frequentemente · Sempre), período de referência: últimas duas semanas — conteúdos item a item idênticos aos itens 1–6 da versão parental, o que torna a comparação inter-informante metodologicamente limpa; itens a–e: escala de interferência/desconforto 0–3. ATENÇÃO — ESCALA INVERSA: pontuações mais BAIXAS indicam MENOR frequência de fala e MAIOR gravidade. LIMITE DE ALCANCE: esta versão contém 6 itens de frequência e 5 de interferência, diferindo do School Speech Questionnaire publicado — os resultados das duas versões NÃO são permutáveis, e o rastreio por métrica de soma (≤ 38/51) aplica-se exclusivamente à versão parental de 17 itens. Sozinha não estabelece o padrão situacional que define o mutismo seletivo (Critério A do DSM-5-TR), por observar um único contexto: exige a versão parental ao lado.</v>
      </c>
      <c r="J25" s="6" t="str">
        <f aca="false">IFERROR(INDEX(Catálogo!J$4:J$1000,MATCH($A$1&amp;"|"&amp;22,Índice!$A$4:$A$1000,0)),"")</f>
        <v>Escola — professor (itens 1–6; média 0–3; soma prorrateada 0–18; N mín. 5 de 6; referência DT ≥ 2,50, aplicada por analogia à cotação escolar por professor) — fala com colegas próximos e com a maioria dos colegas, resposta a questões do professor, iniciativa de questionar, fala com professores e funcionários, e fala em grupo ou perante a turma. Âncoras clínicos: nas amostras clínicas de mutismo seletivo os valores de base situam-se consistentemente abaixo de 1,00 e, após intervenção, tipicamente entre 1 e 2; Bergman et al. (2008) reportaram valores ≥ 2,50 num pequeno grupo referenciado por outras perturbações de ansiedade (n = 18), o que sustenta a especificidade desta subescala. · Interferência funcional percebida (itens a–c; N mín. 2 de 3) — interferência na escola, nas situações sociais e na vida do aluno em geral. · Desconforto do aluno (item d). · Desconforto do próprio professor (item e) — reportado separadamente por não constituir o mesmo constructo. · Concordância inter-informante na subescala Escola (calculada automaticamente a partir da versão Pais do mesmo código; o professor observa o contexto diretamente, o relato parental sobre a escola é indireto: &lt; 0,50 concordância elevada · 0,50–0,99 moderada · ≥ 1,00 discrepância relevante). NOTA: os itens de interferência NÃO são sobreponíveis entre versões (a parental tem 4 itens funcionais, incluindo relações familiares; esta tem 3), pelo que apenas a subescala Escola é comparada entre informantes. Bandas descritivas da média (0–3): 0–0,49 Fala ausente ou quase ausente · 0,50–0,99 Fala muito reduzida · 1,00–1,49 Fala reduzida · 1,50–1,99 Fala inconsistente · 2,00–2,49 Fala frequente · 2,50–3,00 Fala consistente.</v>
      </c>
      <c r="K25" s="6" t="str">
        <f aca="false">IFERROR(INDEX(Catálogo!K$4:K$1000,MATCH($A$1&amp;"|"&amp;22,Índice!$A$4:$A$1000,0)),"")</f>
        <v>smq_prof</v>
      </c>
      <c r="L25" s="6" t="str">
        <f aca="false">IFERROR(INDEX(Catálogo!L$4:L$1000,MATCH($A$1&amp;"|"&amp;22,Índice!$A$4:$A$1000,0)),"")</f>
        <v>q_smq_prof</v>
      </c>
      <c r="M25" s="7" t="str">
        <f aca="false">IFERROR(INDEX(Catálogo!M$4:M$1000,MATCH($A$1&amp;"|"&amp;22,Índice!$A$4:$A$1000,0)),"")</f>
        <v>https://correiaricardina-ui.github.io/questionarios/SMQ_Professores_v1.html</v>
      </c>
    </row>
    <row r="26" customFormat="false" ht="42" hidden="false" customHeight="true" outlineLevel="0" collapsed="false">
      <c r="A26" s="5" t="n">
        <f aca="false">IFERROR(INDEX(Catálogo!A$4:A$1000,MATCH($A$1&amp;"|"&amp;23,Índice!$A$4:$A$1000,0)),"")</f>
        <v>168</v>
      </c>
      <c r="B26" s="6" t="str">
        <f aca="false">IFERROR(INDEX(Catálogo!B$4:B$1000,MATCH($A$1&amp;"|"&amp;23,Índice!$A$4:$A$1000,0)),"")</f>
        <v>QCVE-P — Comportamento Verbal em Contexto Escolar (Professor)</v>
      </c>
      <c r="C26" s="6" t="str">
        <f aca="false">IFERROR(INDEX(Catálogo!C$4:C$1000,MATCH($A$1&amp;"|"&amp;23,Índice!$A$4:$A$1000,0)),"")</f>
        <v>Ansiedade, Depressão &amp; Internalização</v>
      </c>
      <c r="D26" s="6" t="str">
        <f aca="false">IFERROR(INDEX(Catálogo!D$4:D$1000,MATCH($A$1&amp;"|"&amp;23,Índice!$A$4:$A$1000,0)),"")</f>
        <v>Professor(a), Educador(a), Diretor(a) de Turma</v>
      </c>
      <c r="E26" s="6" t="str">
        <f aca="false">IFERROR(INDEX(Catálogo!E$4:E$1000,MATCH($A$1&amp;"|"&amp;23,Índice!$A$4:$A$1000,0)),"")</f>
        <v>3–18 anos</v>
      </c>
      <c r="F26" s="5" t="n">
        <f aca="false">IFERROR(INDEX(Catálogo!F$4:F$1000,MATCH($A$1&amp;"|"&amp;23,Índice!$A$4:$A$1000,0)),"")</f>
        <v>3</v>
      </c>
      <c r="G26" s="5" t="n">
        <f aca="false">IFERROR(INDEX(Catálogo!G$4:G$1000,MATCH($A$1&amp;"|"&amp;23,Índice!$A$4:$A$1000,0)),"")</f>
        <v>18</v>
      </c>
      <c r="H26" s="5" t="n">
        <f aca="false">IFERROR(INDEX(Catálogo!H$4:H$1000,MATCH($A$1&amp;"|"&amp;23,Índice!$A$4:$A$1000,0)),"")</f>
        <v>7</v>
      </c>
      <c r="I26" s="6" t="str">
        <f aca="false">IFERROR(INDEX(Catálogo!I$4:I$1000,MATCH($A$1&amp;"|"&amp;23,Índice!$A$4:$A$1000,0)),"")</f>
        <v>Mede a frequência do comportamento verbal do/a aluno/a em contexto escolar, desagregada por interlocutor e por grau de exposição comunicativa, na avaliação e no seguimento do mutismo seletivo. Instrumento ORIGINAL de Ricardina Correia (2026), Via B, inspirado no modelo estrutural do School Speech Questionnaire (Bergman, Piacentini &amp; McCracken, 2002) — não é tradução nem adaptação autorizada, e não é permutável com o SMQ. Informante: docente com contacto regular. Janela: último mês. 8 a 12 minutos. ATENÇÃO: sem normas portuguesas — bandas exploratórias, de ancoragem analógica; instrumento de gravidade e de mudança, NÃO de diagnóstico.</v>
      </c>
      <c r="J26" s="6" t="str">
        <f aca="false">IFERROR(INDEX(Catálogo!J$4:J$1000,MATCH($A$1&amp;"|"&amp;23,Índice!$A$4:$A$1000,0)),"")</f>
        <v>E1 — Comunicação verbal com pares (itens 1–4; média 0–3). E2 — Comunicação verbal com adultos da escola (itens 5–8; média 0–3). E3 — Comunicação verbal em situações de exposição (itens 9–12; média 0–3). Total ECV — média das três médias de subescala (0–3); ESCALA INVERSA: mais baixo = menos fala = maior gravidade; bandas 0,00–0,50 ausente ou vestigial · 0,51–1,00 muito restrito · 1,01–1,75 restrito · 1,76–2,49 parcialmente estabelecido · 2,50–3,00 ajustado ao contexto. IRV — Índice de Restrição Verbal (3 − Total ECV), orientado à gravidade. ICNV — Índice de Comunicação Não Verbal (itens 13–16; média 0–3), índice AUTÓNOMO, nunca somado à ECV. IIF — Índice de Interferência Funcional (itens 17–20; média 0–3), escala de direção INVERTIDA e índice AUTÓNOMO, nunca somado à ECV. Bloco contextual (Parte IV) não cotado, mas condicionante da validade da leitura. «SO» excluído do numerador e do denominador; subescala válida com ≥3 de 4 itens; com exactamente 3 marca estimativa exploratória; com ≤2 é INVÁLIDA e nunca cotada a zero.</v>
      </c>
      <c r="K26" s="6" t="str">
        <f aca="false">IFERROR(INDEX(Catálogo!K$4:K$1000,MATCH($A$1&amp;"|"&amp;23,Índice!$A$4:$A$1000,0)),"")</f>
        <v>qcvep_prof</v>
      </c>
      <c r="L26" s="6" t="str">
        <f aca="false">IFERROR(INDEX(Catálogo!L$4:L$1000,MATCH($A$1&amp;"|"&amp;23,Índice!$A$4:$A$1000,0)),"")</f>
        <v>q_qcvep_prof</v>
      </c>
      <c r="M26" s="7" t="str">
        <f aca="false">IFERROR(INDEX(Catálogo!M$4:M$1000,MATCH($A$1&amp;"|"&amp;23,Índice!$A$4:$A$1000,0)),"")</f>
        <v>https://correiaricardina-ui.github.io/questionarios/QCVEP_Prof_v1.html</v>
      </c>
    </row>
    <row r="27" customFormat="false" ht="42" hidden="false" customHeight="true" outlineLevel="0" collapsed="false">
      <c r="A27" s="5" t="n">
        <f aca="false">IFERROR(INDEX(Catálogo!A$4:A$1000,MATCH($A$1&amp;"|"&amp;24,Índice!$A$4:$A$1000,0)),"")</f>
        <v>178</v>
      </c>
      <c r="B27" s="6" t="str">
        <f aca="false">IFERROR(INDEX(Catálogo!B$4:B$1000,MATCH($A$1&amp;"|"&amp;24,Índice!$A$4:$A$1000,0)),"")</f>
        <v>SIAS · SPS — Escalas de Ansiedade Social</v>
      </c>
      <c r="C27" s="6" t="str">
        <f aca="false">IFERROR(INDEX(Catálogo!C$4:C$1000,MATCH($A$1&amp;"|"&amp;24,Índice!$A$4:$A$1000,0)),"")</f>
        <v>Ansiedade, Depressão &amp; Internalização</v>
      </c>
      <c r="D27" s="6" t="str">
        <f aca="false">IFERROR(INDEX(Catálogo!D$4:D$1000,MATCH($A$1&amp;"|"&amp;24,Índice!$A$4:$A$1000,0)),"")</f>
        <v>Próprio</v>
      </c>
      <c r="E27" s="6" t="str">
        <f aca="false">IFERROR(INDEX(Catálogo!E$4:E$1000,MATCH($A$1&amp;"|"&amp;24,Índice!$A$4:$A$1000,0)),"")</f>
        <v>14–99 anos</v>
      </c>
      <c r="F27" s="5" t="n">
        <f aca="false">IFERROR(INDEX(Catálogo!F$4:F$1000,MATCH($A$1&amp;"|"&amp;24,Índice!$A$4:$A$1000,0)),"")</f>
        <v>14</v>
      </c>
      <c r="G27" s="5" t="n">
        <f aca="false">IFERROR(INDEX(Catálogo!G$4:G$1000,MATCH($A$1&amp;"|"&amp;24,Índice!$A$4:$A$1000,0)),"")</f>
        <v>99</v>
      </c>
      <c r="H27" s="5" t="n">
        <f aca="false">IFERROR(INDEX(Catálogo!H$4:H$1000,MATCH($A$1&amp;"|"&amp;24,Índice!$A$4:$A$1000,0)),"")</f>
        <v>6</v>
      </c>
      <c r="I27" s="6" t="str">
        <f aca="false">IFERROR(INDEX(Catálogo!I$4:I$1000,MATCH($A$1&amp;"|"&amp;24,Índice!$A$4:$A$1000,0)),"")</f>
        <v>Distingue a ansiedade de INTERAÇÃO social (SIAS, 19 itens, amplitude 0–76; itens 8 e 10 invertidos, valor cotado = 4 menos valor bruto) da ansiedade de ESCRUTÍNIO ou desempenho (SPS, 20 itens, amplitude 0–80; nenhum item invertido), em autorrelato numa escala 0–4 (0 = não é nada característico da minha maneira de ser; 4 = extremamente característico). As duas escalas são sempre aplicadas em conjunto e partilham a mesma aba do Sheet. O RESULTADO PRINCIPAL é a média por item de cada escala e o CONTRASTE entre ambas (SPS menos SIAS, amplitude −4 a +4), que documenta a dissociação intraindividual entre os dois eixos; os totais são secundários. A leitura privilegia a média por item por ser independente do número de itens: a SIAS circula em versões de 19 e de 20 itens, com amplitudes diferentes (0–76 e 0–80), pelo que os totais publicados não são directamente comparáveis entre si. SEM normas portuguesas e SEM pontos de corte nacionais. Os marcadores internacionais são indicativos, apresentam dispersão considerável entre estudos (SIAS 34 a 43; SPS 24 a 27), derivam integralmente de amostras ADULTAS e NÃO são interpretáveis em respondentes com menos de 18 anos; abaixo dos 14 anos estas escalas não são o instrumento indicado. Limite de 2 omissos por escala (convenção operacional, cerca de 10 por cento dos itens, sem base empírica publicada): acima do limite a média e o contraste são devolvidos como não interpretáveis, nunca como zero. A atribuição de um padrão de leitura ao contraste é CLÍNICA e não está automatizada. Todo o apuramento é descritivo; a interpretação clínica é da exclusiva responsabilidade do psicólogo responsável pela avaliação.</v>
      </c>
      <c r="J27" s="6" t="str">
        <f aca="false">IFERROR(INDEX(Catálogo!J$4:J$1000,MATCH($A$1&amp;"|"&amp;24,Índice!$A$4:$A$1000,0)),"")</f>
        <v>Ansiedade em situações de interação social, SIAS (média por item 0–4; total 0–76) — falar com figuras de autoridade, manter contacto visual, falar de si próprio, conversar com pessoas pouco conhecidas, discordar, interagir em grupo; Ansiedade de escrutínio ou fobia social, SPS (média por item 0–4; total 0–80) — ser observado a escrever, a comer, a beber, a andar na rua, receio de corar, de tremer, de perder o controlo, de atrair as atenções, falar à frente de outros; Contraste entre as médias por item (SPS menos SIAS, −4 a +4) — saída primária do instrumento, documenta a dissociação entre os dois eixos; Estado do protocolo por escala (completo; omissos dentro do limite de 2; omissos acima do limite, não interpretável); Posição descritiva face aos marcadores internacionais — SIAS 34 (Brown et al., 1997) e 43 (uso corrente na literatura); SPS 24 (Heimberg et al., 1992) e 27 (Peters, 2000); Grelha de leitura do contraste — escrutínio circunscrito; ansiedade social generalizada; ansiedade não organizada no eixo social; padrão atípico a reavaliar — leitura clínica, NÃO automatizada</v>
      </c>
      <c r="K27" s="6" t="str">
        <f aca="false">IFERROR(INDEX(Catálogo!K$4:K$1000,MATCH($A$1&amp;"|"&amp;24,Índice!$A$4:$A$1000,0)),"")</f>
        <v>sias_sps</v>
      </c>
      <c r="L27" s="6" t="str">
        <f aca="false">IFERROR(INDEX(Catálogo!L$4:L$1000,MATCH($A$1&amp;"|"&amp;24,Índice!$A$4:$A$1000,0)),"")</f>
        <v>q_sias_sps</v>
      </c>
      <c r="M27" s="7" t="str">
        <f aca="false">IFERROR(INDEX(Catálogo!M$4:M$1000,MATCH($A$1&amp;"|"&amp;24,Índice!$A$4:$A$1000,0)),"")</f>
        <v>https://correiaricardina-ui.github.io/questionarios/SIAS_SPS_v1.html</v>
      </c>
    </row>
    <row r="28" customFormat="false" ht="42" hidden="false" customHeight="true" outlineLevel="0" collapsed="false">
      <c r="A28" s="5" t="n">
        <f aca="false">IFERROR(INDEX(Catálogo!A$4:A$1000,MATCH($A$1&amp;"|"&amp;25,Índice!$A$4:$A$1000,0)),"")</f>
        <v>179</v>
      </c>
      <c r="B28" s="6" t="str">
        <f aca="false">IFERROR(INDEX(Catálogo!B$4:B$1000,MATCH($A$1&amp;"|"&amp;25,Índice!$A$4:$A$1000,0)),"")</f>
        <v>BAI — Inventário de Ansiedade de Beck</v>
      </c>
      <c r="C28" s="6" t="str">
        <f aca="false">IFERROR(INDEX(Catálogo!C$4:C$1000,MATCH($A$1&amp;"|"&amp;25,Índice!$A$4:$A$1000,0)),"")</f>
        <v>Ansiedade, Depressão &amp; Internalização</v>
      </c>
      <c r="D28" s="6" t="str">
        <f aca="false">IFERROR(INDEX(Catálogo!D$4:D$1000,MATCH($A$1&amp;"|"&amp;25,Índice!$A$4:$A$1000,0)),"")</f>
        <v>Próprio, Mãe, Pai</v>
      </c>
      <c r="E28" s="6" t="str">
        <f aca="false">IFERROR(INDEX(Catálogo!E$4:E$1000,MATCH($A$1&amp;"|"&amp;25,Índice!$A$4:$A$1000,0)),"")</f>
        <v>13–99 anos</v>
      </c>
      <c r="F28" s="5" t="n">
        <f aca="false">IFERROR(INDEX(Catálogo!F$4:F$1000,MATCH($A$1&amp;"|"&amp;25,Índice!$A$4:$A$1000,0)),"")</f>
        <v>13</v>
      </c>
      <c r="G28" s="5" t="n">
        <f aca="false">IFERROR(INDEX(Catálogo!G$4:G$1000,MATCH($A$1&amp;"|"&amp;25,Índice!$A$4:$A$1000,0)),"")</f>
        <v>99</v>
      </c>
      <c r="H28" s="5" t="n">
        <f aca="false">IFERROR(INDEX(Catálogo!H$4:H$1000,MATCH($A$1&amp;"|"&amp;25,Índice!$A$4:$A$1000,0)),"")</f>
        <v>6</v>
      </c>
      <c r="I28" s="6" t="str">
        <f aca="false">IFERROR(INDEX(Catálogo!I$4:I$1000,MATCH($A$1&amp;"|"&amp;25,Índice!$A$4:$A$1000,0)),"")</f>
        <v>Mede a intensidade dos sintomas de ansiedade sentidos durante a última semana, incluindo o dia de hoje, em autorrelato de 21 itens numa escala 0–3 (0 = absolutamente não; 1 = levemente, não me incomodou muito; 2 = moderadamente, foi muito desagradável mas pude suportar; 3 = gravemente, dificilmente pude suportar). Total 0–63, com limiares de Beck e Steer (1990/1993): 0–7 mínima, 8–15 ligeira, 16–25 moderada, 26–63 grave. A validação portuguesa (Quintão, Delgado e Prieto, 2013) confirma estrutura UNIDIMENSIONAL, pelo que apenas o total tem cotação normativa; os quatro agrupamentos de sintomas são exploratórios, as alocações de itens divergem entre estudos e são apresentados em escala descritiva azul, sem juízo de gravidade. O instrumento sobrerrepresenta deliberadamente a componente SOMÁTICA da ansiedade, o que o torna útil para discriminar ansiedade de depressão mas insuficiente como medida isolada de ansiedade cognitiva ou de preocupação. É de autopreenchimento e mede a ansiedade de QUEM PREENCHE: aplicado a um progenitor, o resultado descreve o progenitor e não a criança; o código do paciente identifica o processo, não o sujeito da medida. Entre aplicações, apenas diferenças iguais ou superiores a 7 pontos constituem mudança fiável (índice de mudança fiável, Seggar et al., 2002); variações menores situam-se dentro do erro de medida. Instrumento proprietário (© Beck / Psychological Corporation), tradução portuguesa autorizada. Resultado isolado não é diagnóstico.</v>
      </c>
      <c r="J28" s="6" t="str">
        <f aca="false">IFERROR(INDEX(Catálogo!J$4:J$1000,MATCH($A$1&amp;"|"&amp;25,Índice!$A$4:$A$1000,0)),"")</f>
        <v>Total BAI (0–63) — única saída com cotação normativa; limiares 0–7 mínima, 8–15 ligeira, 16–25 moderada, 26–63 grave; Agrupamento subjetivo, 7 itens (0–21) — incapaz de relaxar, medo que aconteça o pior, aterrorizado, nervoso, medo de perder o controlo, medo de morrer, assustado; Agrupamento neurofisiológico, 6 itens (0–18) — tremores nas pernas e nas mãos, trémulo, sem equilíbrio, sensação de sufocação, dificuldade de respirar; Agrupamento autonómico, 4 itens (0–12) — palpitação ou aceleração do coração, sensação de calor, indigestão ou desconforto abdominal, rosto afogueado; Agrupamento de pânico, 4 itens (0–12) — dormência ou formigamento, atordoado ou tonto, sensação de desmaio, suor não devido ao calor; Comparação longitudinal pelo índice de mudança fiável (diferença igual ou superior a 7 pontos entre aplicações)</v>
      </c>
      <c r="K28" s="6" t="str">
        <f aca="false">IFERROR(INDEX(Catálogo!K$4:K$1000,MATCH($A$1&amp;"|"&amp;25,Índice!$A$4:$A$1000,0)),"")</f>
        <v>bai</v>
      </c>
      <c r="L28" s="6" t="str">
        <f aca="false">IFERROR(INDEX(Catálogo!L$4:L$1000,MATCH($A$1&amp;"|"&amp;25,Índice!$A$4:$A$1000,0)),"")</f>
        <v>q_bai</v>
      </c>
      <c r="M28" s="7" t="str">
        <f aca="false">IFERROR(INDEX(Catálogo!M$4:M$1000,MATCH($A$1&amp;"|"&amp;25,Índice!$A$4:$A$1000,0)),"")</f>
        <v>https://correiaricardina-ui.github.io/questionarios/BAI_v1.html</v>
      </c>
    </row>
    <row r="29" customFormat="false" ht="42" hidden="false" customHeight="true" outlineLevel="0" collapsed="false">
      <c r="A29" s="5" t="n">
        <f aca="false">IFERROR(INDEX(Catálogo!A$4:A$1000,MATCH($A$1&amp;"|"&amp;26,Índice!$A$4:$A$1000,0)),"")</f>
        <v>180</v>
      </c>
      <c r="B29" s="6" t="str">
        <f aca="false">IFERROR(INDEX(Catálogo!B$4:B$1000,MATCH($A$1&amp;"|"&amp;26,Índice!$A$4:$A$1000,0)),"")</f>
        <v>BDI-II — Inventário de Depressão de Beck II</v>
      </c>
      <c r="C29" s="6" t="str">
        <f aca="false">IFERROR(INDEX(Catálogo!C$4:C$1000,MATCH($A$1&amp;"|"&amp;26,Índice!$A$4:$A$1000,0)),"")</f>
        <v>Ansiedade, Depressão &amp; Internalização</v>
      </c>
      <c r="D29" s="6" t="str">
        <f aca="false">IFERROR(INDEX(Catálogo!D$4:D$1000,MATCH($A$1&amp;"|"&amp;26,Índice!$A$4:$A$1000,0)),"")</f>
        <v>Próprio, Mãe, Pai</v>
      </c>
      <c r="E29" s="6" t="str">
        <f aca="false">IFERROR(INDEX(Catálogo!E$4:E$1000,MATCH($A$1&amp;"|"&amp;26,Índice!$A$4:$A$1000,0)),"")</f>
        <v>13–99 anos</v>
      </c>
      <c r="F29" s="5" t="n">
        <f aca="false">IFERROR(INDEX(Catálogo!F$4:F$1000,MATCH($A$1&amp;"|"&amp;26,Índice!$A$4:$A$1000,0)),"")</f>
        <v>13</v>
      </c>
      <c r="G29" s="5" t="n">
        <f aca="false">IFERROR(INDEX(Catálogo!G$4:G$1000,MATCH($A$1&amp;"|"&amp;26,Índice!$A$4:$A$1000,0)),"")</f>
        <v>99</v>
      </c>
      <c r="H29" s="5" t="n">
        <f aca="false">IFERROR(INDEX(Catálogo!H$4:H$1000,MATCH($A$1&amp;"|"&amp;26,Índice!$A$4:$A$1000,0)),"")</f>
        <v>6</v>
      </c>
      <c r="I29" s="6" t="str">
        <f aca="false">IFERROR(INDEX(Catálogo!I$4:I$1000,MATCH($A$1&amp;"|"&amp;26,Índice!$A$4:$A$1000,0)),"")</f>
        <v>Mede a gravidade dos sintomas depressivos sentidos durante as duas últimas semanas, incluindo o dia de hoje, em autorrelato de 21 grupos de afirmações cotados 0–3. Total 0–63, com limiares de Beck, Steer e Brown (1996): 0–13 mínima, 14–19 ligeira, 20–28 moderada, 29–63 grave. Versão portuguesa de Quelhas Martins e Coelho (Faculdade de Medicina do Porto, 2000). Numa amostra comunitária portuguesa a média foi 11,01 (desvio-padrão 9,15; N = 2401; Oliveira-Brochado, Simões e Paúl, 2014): referência DESCRITIVA de enquadramento, nunca convertida em percentil nem em score padronizado. O ITEM 9 (pensamentos ou desejos suicidas) constitui sinalizador clínico próprio: qualquer cotação igual ou superior a 1 exige avaliação directa de ideação e risco, independentemente do total, e é registada em coluna separada no Sheet para permitir filtragem. Os grupos 16 (sono) e 18 (apetite) têm 7 opções cotadas 0-1-1-2-2-3-3, em que aumento e diminuição pontuam igual mas são clinicamente opostos: o sistema guarda a opção assinalada e não apenas a pontuação. As duas dimensões bifatoriais não têm cotação normativa própria e existem modelos factoriais alternativos, pelo que são apresentadas em escala descritiva azul. Assume o formulário BDI-II, cujos itens e ordem diferem do BDI original. É de autopreenchimento e mede a depressão de QUEM PREENCHE: aplicado a um progenitor, o resultado descreve o progenitor e não a criança. Instrumento proprietário (© Beck / Psychological Corporation). Resultado isolado não é diagnóstico.</v>
      </c>
      <c r="J29" s="6" t="str">
        <f aca="false">IFERROR(INDEX(Catálogo!J$4:J$1000,MATCH($A$1&amp;"|"&amp;26,Índice!$A$4:$A$1000,0)),"")</f>
        <v>Total BDI-II (0–63) — única saída com cotação normativa; limiares 0–13 mínima, 14–19 ligeira, 20–28 moderada, 29–63 grave; Dimensão cognitivo-afetiva, itens 1 a 13 (0–39) — tristeza, pessimismo, fracassos passados, perda de prazer, sentimentos de culpa, sentimentos de punição, autodepreciação, autocriticismo, pensamentos ou desejos suicidas, choro, agitação, perda de interesse, indecisão; Dimensão somática, itens 14 a 21 (0–24) — sentimentos de inutilidade, perda de energia, alterações no padrão de sono, irritabilidade, alterações no apetite, dificuldades de concentração, cansaço ou fadiga, perda de interesse sexual; Predomínio relativo entre as duas dimensões (cognitivo-afetivo, somático ou equilibrado) — descritor de configuração, sem cotação normativa própria; Sinalizador clínico — item 9, pensamentos ou desejos suicidas: qualquer cotação igual ou superior a 1 exige avaliação directa de ideação e risco, independentemente do total; Referência comunitária portuguesa para enquadramento descritivo: média 11,01, desvio-padrão 9,15 (Oliveira-Brochado, Simões e Paúl, 2014)</v>
      </c>
      <c r="K29" s="6" t="str">
        <f aca="false">IFERROR(INDEX(Catálogo!K$4:K$1000,MATCH($A$1&amp;"|"&amp;26,Índice!$A$4:$A$1000,0)),"")</f>
        <v>bdi2</v>
      </c>
      <c r="L29" s="6" t="str">
        <f aca="false">IFERROR(INDEX(Catálogo!L$4:L$1000,MATCH($A$1&amp;"|"&amp;26,Índice!$A$4:$A$1000,0)),"")</f>
        <v>q_bdi2</v>
      </c>
      <c r="M29" s="7" t="str">
        <f aca="false">IFERROR(INDEX(Catálogo!M$4:M$1000,MATCH($A$1&amp;"|"&amp;26,Índice!$A$4:$A$1000,0)),"")</f>
        <v>https://correiaricardina-ui.github.io/questionarios/BDI2_v1.html</v>
      </c>
    </row>
    <row r="30" customFormat="false" ht="42" hidden="false" customHeight="true" outlineLevel="0" collapsed="false">
      <c r="A30" s="5" t="n">
        <f aca="false">IFERROR(INDEX(Catálogo!A$4:A$1000,MATCH($A$1&amp;"|"&amp;27,Índice!$A$4:$A$1000,0)),"")</f>
        <v>181</v>
      </c>
      <c r="B30" s="6" t="str">
        <f aca="false">IFERROR(INDEX(Catálogo!B$4:B$1000,MATCH($A$1&amp;"|"&amp;27,Índice!$A$4:$A$1000,0)),"")</f>
        <v>PSWQ — Questionário de Preocupação do Estado da Pensilvânia</v>
      </c>
      <c r="C30" s="6" t="str">
        <f aca="false">IFERROR(INDEX(Catálogo!C$4:C$1000,MATCH($A$1&amp;"|"&amp;27,Índice!$A$4:$A$1000,0)),"")</f>
        <v>Ansiedade, Depressão &amp; Internalização</v>
      </c>
      <c r="D30" s="6" t="str">
        <f aca="false">IFERROR(INDEX(Catálogo!D$4:D$1000,MATCH($A$1&amp;"|"&amp;27,Índice!$A$4:$A$1000,0)),"")</f>
        <v>Próprio, Mãe, Pai</v>
      </c>
      <c r="E30" s="6" t="str">
        <f aca="false">IFERROR(INDEX(Catálogo!E$4:E$1000,MATCH($A$1&amp;"|"&amp;27,Índice!$A$4:$A$1000,0)),"")</f>
        <v>18–99 anos</v>
      </c>
      <c r="F30" s="5" t="n">
        <f aca="false">IFERROR(INDEX(Catálogo!F$4:F$1000,MATCH($A$1&amp;"|"&amp;27,Índice!$A$4:$A$1000,0)),"")</f>
        <v>18</v>
      </c>
      <c r="G30" s="5" t="n">
        <f aca="false">IFERROR(INDEX(Catálogo!G$4:G$1000,MATCH($A$1&amp;"|"&amp;27,Índice!$A$4:$A$1000,0)),"")</f>
        <v>99</v>
      </c>
      <c r="H30" s="5" t="n">
        <f aca="false">IFERROR(INDEX(Catálogo!H$4:H$1000,MATCH($A$1&amp;"|"&amp;27,Índice!$A$4:$A$1000,0)),"")</f>
        <v>11</v>
      </c>
      <c r="I30" s="6" t="str">
        <f aca="false">IFERROR(INDEX(Catálogo!I$4:I$1000,MATCH($A$1&amp;"|"&amp;27,Índice!$A$4:$A$1000,0)),"")</f>
        <v>Mede a preocupação enquanto TRAÇO — intensidade, generalização e incontrolabilidade — em autorrelato de 16 itens numa escala 1–5; não avalia o conteúdo temático da preocupação. Itens 1, 3, 8, 10 e 11 invertidos, pelo que o mínimo empírico do total é 36 e o máximo 60. Âncora normativa primária: comunidade portuguesa de Oliveira et al. (2021). Critério c de significância clínica 57,40 → 58; mudança fiável a partir de 8 pontos (RCI 95% = 7,93). Os cortes internacionais 45/62/65 são apenas marcadores comparativos, nunca critério de classificação. Mede a preocupação de QUEM PREENCHE; validado para adultos (≥ 18 anos) — em idade pediátrica usar o PSWQ-C.</v>
      </c>
      <c r="J30" s="6" t="str">
        <f aca="false">IFERROR(INDEX(Catálogo!J$4:J$1000,MATCH($A$1&amp;"|"&amp;27,Índice!$A$4:$A$1000,0)),"")</f>
        <v>Total PSWQ (16–80; mínimo empírico 36, máximo empírico 60) — z e percentil face à comunidade portuguesa de Oliveira et al. (2021), n = 256, M = 50,91, DP = 9,86; Banda descritiva de posicionamento normativo (marcadamente abaixo, abaixo, dentro do intervalo médio comunitário, acima, marcadamente acima da média comunitária); Escala Positiva PSWQ-11, 11 itens diretos (11–55) — norma de Freitas (2017), n = 90, M = 34,79, DP = 8,74; Bloco de itens invertidos em métrica bruta, F2b, 5 itens (5–25) — norma de Freitas (2017), M = 12,06, DP = 4,11; valores mais BAIXOS indicam maior preocupação; Bloco de itens invertidos em métrica cotada, F2c (5–25) — 30 − F2b, apenas para conferência da soma; Média por item (1,00–5,00); Posicionamento comparativo noutras distribuições de referência (clínica portuguesa, comunidade portuguesa secundária, não clínica dos EUA, Perturbação de Ansiedade Generalizada agregada); Sinalizador clínico — critério c de Jacobson &amp; Truax (57,40 → 58); Sinalizador de aplicabilidade — alerta etário automático abaixo dos 18 anos; Indicador exploratório de coerência entre blocos, |z(F1) + z(F2b)|, limiar 2,00; Monitorização longitudinal pelo índice de mudança fiável (Δ ≥ 8 pontos; RCI 95% = 7,93)</v>
      </c>
      <c r="K30" s="6" t="str">
        <f aca="false">IFERROR(INDEX(Catálogo!K$4:K$1000,MATCH($A$1&amp;"|"&amp;27,Índice!$A$4:$A$1000,0)),"")</f>
        <v>pswq</v>
      </c>
      <c r="L30" s="6" t="str">
        <f aca="false">IFERROR(INDEX(Catálogo!L$4:L$1000,MATCH($A$1&amp;"|"&amp;27,Índice!$A$4:$A$1000,0)),"")</f>
        <v>q_pswq</v>
      </c>
      <c r="M30" s="7" t="str">
        <f aca="false">IFERROR(INDEX(Catálogo!M$4:M$1000,MATCH($A$1&amp;"|"&amp;27,Índice!$A$4:$A$1000,0)),"")</f>
        <v>https://correiaricardina-ui.github.io/questionarios/PSWQ_v1.html</v>
      </c>
    </row>
    <row r="31" customFormat="false" ht="42" hidden="false" customHeight="true" outlineLevel="0" collapsed="false">
      <c r="A31" s="5" t="n">
        <f aca="false">IFERROR(INDEX(Catálogo!A$4:A$1000,MATCH($A$1&amp;"|"&amp;28,Índice!$A$4:$A$1000,0)),"")</f>
        <v>186</v>
      </c>
      <c r="B31" s="6" t="str">
        <f aca="false">IFERROR(INDEX(Catálogo!B$4:B$1000,MATCH($A$1&amp;"|"&amp;28,Índice!$A$4:$A$1000,0)),"")</f>
        <v>EII-27 · Forma A — Escala de Intolerância à Incerteza (versão longa, adultos)</v>
      </c>
      <c r="C31" s="6" t="str">
        <f aca="false">IFERROR(INDEX(Catálogo!C$4:C$1000,MATCH($A$1&amp;"|"&amp;28,Índice!$A$4:$A$1000,0)),"")</f>
        <v>Ansiedade, Depressão &amp; Internalização</v>
      </c>
      <c r="D31" s="6" t="str">
        <f aca="false">IFERROR(INDEX(Catálogo!D$4:D$1000,MATCH($A$1&amp;"|"&amp;28,Índice!$A$4:$A$1000,0)),"")</f>
        <v>Próprio, Mãe, Pai</v>
      </c>
      <c r="E31" s="6" t="str">
        <f aca="false">IFERROR(INDEX(Catálogo!E$4:E$1000,MATCH($A$1&amp;"|"&amp;28,Índice!$A$4:$A$1000,0)),"")</f>
        <v>18–99 anos</v>
      </c>
      <c r="F31" s="5" t="n">
        <f aca="false">IFERROR(INDEX(Catálogo!F$4:F$1000,MATCH($A$1&amp;"|"&amp;28,Índice!$A$4:$A$1000,0)),"")</f>
        <v>18</v>
      </c>
      <c r="G31" s="5" t="n">
        <f aca="false">IFERROR(INDEX(Catálogo!G$4:G$1000,MATCH($A$1&amp;"|"&amp;28,Índice!$A$4:$A$1000,0)),"")</f>
        <v>99</v>
      </c>
      <c r="H31" s="5" t="n">
        <f aca="false">IFERROR(INDEX(Catálogo!H$4:H$1000,MATCH($A$1&amp;"|"&amp;28,Índice!$A$4:$A$1000,0)),"")</f>
        <v>12</v>
      </c>
      <c r="I31" s="6" t="str">
        <f aca="false">IFERROR(INDEX(Catálogo!I$4:I$1000,MATCH($A$1&amp;"|"&amp;28,Índice!$A$4:$A$1000,0)),"")</f>
        <v>Mede a INTOLERÂNCIA À INCERTEZA — o conjunto de crenças negativas segundo as quais a ambiguidade é inaceitável, ameaçadora e geradora de sofrimento, independentemente da probabilidade objetiva de um desfecho negativo. Autorrelato de 27 itens numa escala 1–5 (1 = nada característico de mim → 5 = totalmente característico de mim), TODOS no sentido directo: não existe um único item invertido. Total 27–135, com estrutura bifatorial de Sexton &amp; Dugas (2009) — F1 «a incerteza tem implicações negativas comportamentais e auto-referentes» (15 itens, 15–75) e F2 «a incerteza é injusta e estraga tudo» (12 itens, 12–60). Sendo a versão de 12 itens um subconjunto ESTRITO desta (itens 7, 8, 9, 10, 11, 12, 15, 18, 19, 20, 21 e 25), uma só administração devolve também as três escalas curtas derivadas — EII-12 Total, Ansiedade Prospetiva e Ansiedade Inibitória. Construto TRANSDIAGNÓSTICO, central no modelo cognitivo da ansiedade generalizada de Dugas e Ladouceur e associado à perturbação obsessivo-compulsiva, à ansiedade social, ao pânico, à ansiedade de doença, às perturbações do comportamento alimentar e à sintomatologia depressiva; não constitui, em si, critério de diagnóstico de qualquer entidade do DSM-5-TR ou da CID-11. ⚠ Tradução técnica de trabalho para português europeu (Via A), SEM retroversão independente, SEM painel de peritos, SEM pré-teste cognitivo e SEM estudo psicométrico em amostra nacional: fidelidade, validade e estrutura fatorial não estão verificadas nesta versão. ⚠ NÃO existem normas portuguesas e NÃO são aplicados pontos de corte — toda a leitura é feita em POMP, percentagem da amplitude teórica, com bandas descritivas por quintis que situam a pontuação no intervalo possível do instrumento e NÃO medem gravidade clínica. ⚠ Instrumento desenvolvido e normalizado em população ADULTA: a Forma J é adaptação de registo linguístico para os 12–17 anos, sem estudo de equivalência de medida, pelo que as pontuações das duas formas não são comparáveis entre si e a forma deve manter-se constante ao longo do acompanhamento do mesmo caso</v>
      </c>
      <c r="J31" s="6" t="str">
        <f aca="false">IFERROR(INDEX(Catálogo!J$4:J$1000,MATCH($A$1&amp;"|"&amp;28,Índice!$A$4:$A$1000,0)),"")</f>
        <v>Total EII-27 (27–135) — pontuação global de intolerância à incerteza; reportada em POMP e banda descritiva, sem norma e sem ponto de corte; Fator 1 — a incerteza tem implicações negativas comportamentais e auto-referentes (15 itens, 15–75; itens 1, 2, 3, 9, 12, 13, 14, 15, 16, 17, 20, 22, 23, 24, 25); inclui o eixo auto-referente (competência pessoal, comparação social, confiança em si) que NÃO está representado na versão curta; Fator 2 — a incerteza é injusta e estraga tudo (12 itens, 12–60; itens 4, 5, 6, 7, 8, 10, 11, 18, 19, 21, 26, 27); EII-12 Total derivada (12–60) — calculada automaticamente a partir dos itens 7, 8, 9, 10, 11, 12, 15, 18, 19, 20, 21 e 25 da versão longa; Ansiedade Prospetiva derivada (7 itens, 7–35) — orientação apreensiva para o futuro: necessidade de antecipação, de previsibilidade e de informação completa; Ansiedade Inibitória derivada (5 itens, 5–25) — paralisação da ação, adiamento e evitamento perante a ambiguidade; POMP por escala (0–100) — (pontuação − mínimo) ÷ (máximo − mínimo) × 100; métrica comum que permite comparar escalas de amplitudes diferentes, transformação linear e integralmente reversível, sem qualquer pressuposto normativo; Banda descritiva por quintis da amplitude teórica — Muito baixa (0–20) · Baixa (20–40) · Moderada (40–60) · Elevada (60–80) · Muito elevada (80–100); descreve POSIÇÃO no intervalo possível, nunca gravidade clínica; Diferenciação intra-individual Δ POMP entre Ansiedade Prospetiva e Inibitória — Perfil equilibrado (0–10) · Diferenciação ligeira (10–20) · Diferenciação marcada (≥ 20), com identificação do polo relativamente mais elevado; convenção descritiva sem suporte empírico publicado, exclusivamente intra-individual e NUNCA comparativa entre sujeitos; Tratamento de omissões por prorrateamento — máximo de 2 omissões no total da EII-27, 1 em F1, F2, EII-12 Total e Ansiedade Prospetiva, e 0 na Ansiedade Inibitória (escala demasiado curta para imputação); dentro do limite a pontuação é prorrateada pela média dos itens respondidos da própria escala, acima do limite a escala é declarada NÃO COTÁVEL sem qualquer estimativa, escala a escala; Controlo de qualidade do protocolo — desvio-padrão dos itens cotados, com sinalizador de padrão de resposta invariante (desvio-padrão nulo) que exige ponderar a validade do protocolo antes de qualquer leitura; Tabela de normas parametrizável — a partir do momento em que sejam introduzidas médias e desvios-padrão de referência aplicáveis, o sistema passa a calcular scores z e percentis estimados; até lá essas saídas permanecem vazias por construção, em vez de apresentarem valores sem fundamento</v>
      </c>
      <c r="K31" s="6" t="str">
        <f aca="false">IFERROR(INDEX(Catálogo!K$4:K$1000,MATCH($A$1&amp;"|"&amp;28,Índice!$A$4:$A$1000,0)),"")</f>
        <v>eii27_a</v>
      </c>
      <c r="L31" s="6" t="str">
        <f aca="false">IFERROR(INDEX(Catálogo!L$4:L$1000,MATCH($A$1&amp;"|"&amp;28,Índice!$A$4:$A$1000,0)),"")</f>
        <v>q_eii27_a</v>
      </c>
      <c r="M31" s="7" t="str">
        <f aca="false">IFERROR(INDEX(Catálogo!M$4:M$1000,MATCH($A$1&amp;"|"&amp;28,Índice!$A$4:$A$1000,0)),"")</f>
        <v>https://correiaricardina-ui.github.io/questionarios/EII27_A_v1.html</v>
      </c>
    </row>
    <row r="32" customFormat="false" ht="42" hidden="false" customHeight="true" outlineLevel="0" collapsed="false">
      <c r="A32" s="5" t="n">
        <f aca="false">IFERROR(INDEX(Catálogo!A$4:A$1000,MATCH($A$1&amp;"|"&amp;29,Índice!$A$4:$A$1000,0)),"")</f>
        <v>187</v>
      </c>
      <c r="B32" s="6" t="str">
        <f aca="false">IFERROR(INDEX(Catálogo!B$4:B$1000,MATCH($A$1&amp;"|"&amp;29,Índice!$A$4:$A$1000,0)),"")</f>
        <v>EII-27 · Forma J — Escala de Intolerância à Incerteza (versão longa, adolescentes)</v>
      </c>
      <c r="C32" s="6" t="str">
        <f aca="false">IFERROR(INDEX(Catálogo!C$4:C$1000,MATCH($A$1&amp;"|"&amp;29,Índice!$A$4:$A$1000,0)),"")</f>
        <v>Ansiedade, Depressão &amp; Internalização</v>
      </c>
      <c r="D32" s="6" t="str">
        <f aca="false">IFERROR(INDEX(Catálogo!D$4:D$1000,MATCH($A$1&amp;"|"&amp;29,Índice!$A$4:$A$1000,0)),"")</f>
        <v>Próprio</v>
      </c>
      <c r="E32" s="6" t="str">
        <f aca="false">IFERROR(INDEX(Catálogo!E$4:E$1000,MATCH($A$1&amp;"|"&amp;29,Índice!$A$4:$A$1000,0)),"")</f>
        <v>12–17 anos</v>
      </c>
      <c r="F32" s="5" t="n">
        <f aca="false">IFERROR(INDEX(Catálogo!F$4:F$1000,MATCH($A$1&amp;"|"&amp;29,Índice!$A$4:$A$1000,0)),"")</f>
        <v>12</v>
      </c>
      <c r="G32" s="5" t="n">
        <f aca="false">IFERROR(INDEX(Catálogo!G$4:G$1000,MATCH($A$1&amp;"|"&amp;29,Índice!$A$4:$A$1000,0)),"")</f>
        <v>17</v>
      </c>
      <c r="H32" s="5" t="n">
        <f aca="false">IFERROR(INDEX(Catálogo!H$4:H$1000,MATCH($A$1&amp;"|"&amp;29,Índice!$A$4:$A$1000,0)),"")</f>
        <v>12</v>
      </c>
      <c r="I32" s="6" t="str">
        <f aca="false">IFERROR(INDEX(Catálogo!I$4:I$1000,MATCH($A$1&amp;"|"&amp;29,Índice!$A$4:$A$1000,0)),"")</f>
        <v>Mede a INTOLERÂNCIA À INCERTEZA — o conjunto de crenças negativas segundo as quais a ambiguidade é inaceitável, ameaçadora e geradora de sofrimento, independentemente da probabilidade objetiva de um desfecho negativo. Autorrelato de 27 itens numa escala 1–5 (1 = nada característico de mim → 5 = totalmente característico de mim), TODOS no sentido directo: não existe um único item invertido. Total 27–135, com estrutura bifatorial de Sexton &amp; Dugas (2009) — F1 «a incerteza tem implicações negativas comportamentais e auto-referentes» (15 itens, 15–75) e F2 «a incerteza é injusta e estraga tudo» (12 itens, 12–60). Sendo a versão de 12 itens um subconjunto ESTRITO desta (itens 7, 8, 9, 10, 11, 12, 15, 18, 19, 20, 21 e 25), uma só administração devolve também as três escalas curtas derivadas — EII-12 Total, Ansiedade Prospetiva e Ansiedade Inibitória. Construto TRANSDIAGNÓSTICO, central no modelo cognitivo da ansiedade generalizada de Dugas e Ladouceur e associado à perturbação obsessivo-compulsiva, à ansiedade social, ao pânico, à ansiedade de doença, às perturbações do comportamento alimentar e à sintomatologia depressiva; não constitui, em si, critério de diagnóstico de qualquer entidade do DSM-5-TR ou da CID-11. ⚠ Tradução técnica de trabalho para português europeu (Via A), SEM retroversão independente, SEM painel de peritos, SEM pré-teste cognitivo e SEM estudo psicométrico em amostra nacional: fidelidade, validade e estrutura fatorial não estão verificadas nesta versão. ⚠ NÃO existem normas portuguesas e NÃO são aplicados pontos de corte — toda a leitura é feita em POMP, percentagem da amplitude teórica, com bandas descritivas por quintis que situam a pontuação no intervalo possível do instrumento e NÃO medem gravidade clínica. ⚠ Instrumento desenvolvido e normalizado em população ADULTA: a Forma J é adaptação de registo linguístico para os 12–17 anos, sem estudo de equivalência de medida, pelo que as pontuações das duas formas não são comparáveis entre si e a forma deve manter-se constante ao longo do acompanhamento do mesmo caso</v>
      </c>
      <c r="J32" s="6" t="str">
        <f aca="false">IFERROR(INDEX(Catálogo!J$4:J$1000,MATCH($A$1&amp;"|"&amp;29,Índice!$A$4:$A$1000,0)),"")</f>
        <v>Total EII-27 (27–135) — pontuação global de intolerância à incerteza; reportada em POMP e banda descritiva, sem norma e sem ponto de corte; Fator 1 — a incerteza tem implicações negativas comportamentais e auto-referentes (15 itens, 15–75; itens 1, 2, 3, 9, 12, 13, 14, 15, 16, 17, 20, 22, 23, 24, 25); inclui o eixo auto-referente (competência pessoal, comparação social, confiança em si) que NÃO está representado na versão curta; Fator 2 — a incerteza é injusta e estraga tudo (12 itens, 12–60; itens 4, 5, 6, 7, 8, 10, 11, 18, 19, 21, 26, 27); EII-12 Total derivada (12–60) — calculada automaticamente a partir dos itens 7, 8, 9, 10, 11, 12, 15, 18, 19, 20, 21 e 25 da versão longa; Ansiedade Prospetiva derivada (7 itens, 7–35) — orientação apreensiva para o futuro: necessidade de antecipação, de previsibilidade e de informação completa; Ansiedade Inibitória derivada (5 itens, 5–25) — paralisação da ação, adiamento e evitamento perante a ambiguidade; POMP por escala (0–100) — (pontuação − mínimo) ÷ (máximo − mínimo) × 100; métrica comum que permite comparar escalas de amplitudes diferentes, transformação linear e integralmente reversível, sem qualquer pressuposto normativo; Banda descritiva por quintis da amplitude teórica — Muito baixa (0–20) · Baixa (20–40) · Moderada (40–60) · Elevada (60–80) · Muito elevada (80–100); descreve POSIÇÃO no intervalo possível, nunca gravidade clínica; Diferenciação intra-individual Δ POMP entre Ansiedade Prospetiva e Inibitória — Perfil equilibrado (0–10) · Diferenciação ligeira (10–20) · Diferenciação marcada (≥ 20), com identificação do polo relativamente mais elevado; convenção descritiva sem suporte empírico publicado, exclusivamente intra-individual e NUNCA comparativa entre sujeitos; Tratamento de omissões por prorrateamento — máximo de 2 omissões no total da EII-27, 1 em F1, F2, EII-12 Total e Ansiedade Prospetiva, e 0 na Ansiedade Inibitória (escala demasiado curta para imputação); dentro do limite a pontuação é prorrateada pela média dos itens respondidos da própria escala, acima do limite a escala é declarada NÃO COTÁVEL sem qualquer estimativa, escala a escala; Controlo de qualidade do protocolo — desvio-padrão dos itens cotados, com sinalizador de padrão de resposta invariante (desvio-padrão nulo) que exige ponderar a validade do protocolo antes de qualquer leitura; Tabela de normas parametrizável — a partir do momento em que sejam introduzidas médias e desvios-padrão de referência aplicáveis, o sistema passa a calcular scores z e percentis estimados; até lá essas saídas permanecem vazias por construção, em vez de apresentarem valores sem fundamento</v>
      </c>
      <c r="K32" s="6" t="str">
        <f aca="false">IFERROR(INDEX(Catálogo!K$4:K$1000,MATCH($A$1&amp;"|"&amp;29,Índice!$A$4:$A$1000,0)),"")</f>
        <v>eii27_j</v>
      </c>
      <c r="L32" s="6" t="str">
        <f aca="false">IFERROR(INDEX(Catálogo!L$4:L$1000,MATCH($A$1&amp;"|"&amp;29,Índice!$A$4:$A$1000,0)),"")</f>
        <v>q_eii27_j</v>
      </c>
      <c r="M32" s="7" t="str">
        <f aca="false">IFERROR(INDEX(Catálogo!M$4:M$1000,MATCH($A$1&amp;"|"&amp;29,Índice!$A$4:$A$1000,0)),"")</f>
        <v>https://correiaricardina-ui.github.io/questionarios/EII27_J_v1.html</v>
      </c>
    </row>
    <row r="33" customFormat="false" ht="42" hidden="false" customHeight="true" outlineLevel="0" collapsed="false">
      <c r="A33" s="5" t="n">
        <f aca="false">IFERROR(INDEX(Catálogo!A$4:A$1000,MATCH($A$1&amp;"|"&amp;30,Índice!$A$4:$A$1000,0)),"")</f>
        <v>188</v>
      </c>
      <c r="B33" s="6" t="str">
        <f aca="false">IFERROR(INDEX(Catálogo!B$4:B$1000,MATCH($A$1&amp;"|"&amp;30,Índice!$A$4:$A$1000,0)),"")</f>
        <v>EII-12 · Forma A — Escala de Intolerância à Incerteza (versão curta, adultos)</v>
      </c>
      <c r="C33" s="6" t="str">
        <f aca="false">IFERROR(INDEX(Catálogo!C$4:C$1000,MATCH($A$1&amp;"|"&amp;30,Índice!$A$4:$A$1000,0)),"")</f>
        <v>Ansiedade, Depressão &amp; Internalização</v>
      </c>
      <c r="D33" s="6" t="str">
        <f aca="false">IFERROR(INDEX(Catálogo!D$4:D$1000,MATCH($A$1&amp;"|"&amp;30,Índice!$A$4:$A$1000,0)),"")</f>
        <v>Próprio, Mãe, Pai</v>
      </c>
      <c r="E33" s="6" t="str">
        <f aca="false">IFERROR(INDEX(Catálogo!E$4:E$1000,MATCH($A$1&amp;"|"&amp;30,Índice!$A$4:$A$1000,0)),"")</f>
        <v>18–99 anos</v>
      </c>
      <c r="F33" s="5" t="n">
        <f aca="false">IFERROR(INDEX(Catálogo!F$4:F$1000,MATCH($A$1&amp;"|"&amp;30,Índice!$A$4:$A$1000,0)),"")</f>
        <v>18</v>
      </c>
      <c r="G33" s="5" t="n">
        <f aca="false">IFERROR(INDEX(Catálogo!G$4:G$1000,MATCH($A$1&amp;"|"&amp;30,Índice!$A$4:$A$1000,0)),"")</f>
        <v>99</v>
      </c>
      <c r="H33" s="5" t="n">
        <f aca="false">IFERROR(INDEX(Catálogo!H$4:H$1000,MATCH($A$1&amp;"|"&amp;30,Índice!$A$4:$A$1000,0)),"")</f>
        <v>8</v>
      </c>
      <c r="I33" s="6" t="str">
        <f aca="false">IFERROR(INDEX(Catálogo!I$4:I$1000,MATCH($A$1&amp;"|"&amp;30,Índice!$A$4:$A$1000,0)),"")</f>
        <v>Versão curta da Escala de Intolerância à Incerteza (Carleton, Norton &amp; Asmundson, 2007), destinada a rastreio, a monitorização repetida ao longo do acompanhamento e a protocolos extensos ou com adolescentes, em que a carga de resposta é uma preocupação. Autorrelato de 12 itens numa escala 1–5, TODOS no sentido directo — não existe um único item invertido. Total 12–60, com duas subescalas: Ansiedade Prospetiva (7 itens, 7–35), que descreve a orientação apreensiva para o futuro e a necessidade de antecipação, de previsibilidade e de informação completa, e Ansiedade Inibitória (5 itens, 5–25), que descreve a paralisação da ação, o adiamento e o evitamento perante a ambiguidade. Parte da literatura recomenda a leitura PREFERENCIAL do total, sustentando a existência de um fator geral robusto, pelo que a leitura por subescalas deve ser tomada como complementar e intra-individual. Tempo de aplicação de 3 a 5 minutos. ⚠ Tradução técnica de trabalho para português europeu (Via A), SEM retroversão independente e SEM estudo psicométrico em amostra nacional. ⚠ NÃO existem normas portuguesas e NÃO são aplicados pontos de corte — toda a leitura é feita em POMP e bandas descritivas por quintis da amplitude teórica, que situam a pontuação no intervalo possível do instrumento e NÃO medem gravidade clínica. ⚠ Desenvolvida e normalizada em população ADULTA: a Forma J é adaptação de registo linguístico para os 12–17 anos, sem estudo de equivalência de medida, e as pontuações das duas formas não são comparáveis entre si. ⚠ Administrada isoladamente, esta versão pode apresentar propriedades distintas das obtidas quando derivada da EII-27, por efeito de contexto de resposta: em monitorização longitudinal, manter sempre a mesma via de obtenção e não alternar entre a versão curta e a longa a meio do acompanhamento</v>
      </c>
      <c r="J33" s="6" t="str">
        <f aca="false">IFERROR(INDEX(Catálogo!J$4:J$1000,MATCH($A$1&amp;"|"&amp;30,Índice!$A$4:$A$1000,0)),"")</f>
        <v>Total EII-12 (12–60) — saída principal, com leitura preferencial sobre as subescalas; reportado em POMP e banda descritiva, sem norma e sem ponto de corte; Ansiedade Prospetiva (7 itens, 7–35) — orientação apreensiva para o futuro: necessidade de antecipação, de previsibilidade e de informação completa; procura de informação, planeamento e verificação; Ansiedade Inibitória (5 itens, 5–25) — paralisação da ação, adiamento e evitamento perante a ambiguidade; POMP por escala (0–100) — (pontuação − mínimo) ÷ (máximo − mínimo) × 100; métrica comum que permite comparar escalas de amplitudes diferentes, sem qualquer pressuposto normativo; Banda descritiva por quintis da amplitude teórica — Muito baixa (0–20) · Baixa (20–40) · Moderada (40–60) · Elevada (60–80) · Muito elevada (80–100); descreve POSIÇÃO no intervalo possível, nunca gravidade clínica; Diferenciação intra-individual Δ POMP entre Ansiedade Prospetiva e Inibitória — Perfil equilibrado (0–10) · Diferenciação ligeira (10–20) · Diferenciação marcada (≥ 20), com identificação do polo relativamente mais elevado; convenção descritiva sem suporte empírico publicado, exclusivamente intra-individual; Tratamento de omissões por prorrateamento — máximo de 1 omissão no total e na Ansiedade Prospetiva e 0 na Ansiedade Inibitória; acima do limite a escala é declarada NÃO COTÁVEL, sem qualquer estimativa; Controlo de qualidade do protocolo — desvio-padrão dos itens cotados, com sinalizador de padrão de resposta invariante</v>
      </c>
      <c r="K33" s="6" t="str">
        <f aca="false">IFERROR(INDEX(Catálogo!K$4:K$1000,MATCH($A$1&amp;"|"&amp;30,Índice!$A$4:$A$1000,0)),"")</f>
        <v>eii12_a</v>
      </c>
      <c r="L33" s="6" t="str">
        <f aca="false">IFERROR(INDEX(Catálogo!L$4:L$1000,MATCH($A$1&amp;"|"&amp;30,Índice!$A$4:$A$1000,0)),"")</f>
        <v>q_eii12_a</v>
      </c>
      <c r="M33" s="7" t="str">
        <f aca="false">IFERROR(INDEX(Catálogo!M$4:M$1000,MATCH($A$1&amp;"|"&amp;30,Índice!$A$4:$A$1000,0)),"")</f>
        <v>https://correiaricardina-ui.github.io/questionarios/EII12_A_v1.html</v>
      </c>
    </row>
    <row r="34" customFormat="false" ht="42" hidden="false" customHeight="true" outlineLevel="0" collapsed="false">
      <c r="A34" s="5" t="n">
        <f aca="false">IFERROR(INDEX(Catálogo!A$4:A$1000,MATCH($A$1&amp;"|"&amp;31,Índice!$A$4:$A$1000,0)),"")</f>
        <v>189</v>
      </c>
      <c r="B34" s="6" t="str">
        <f aca="false">IFERROR(INDEX(Catálogo!B$4:B$1000,MATCH($A$1&amp;"|"&amp;31,Índice!$A$4:$A$1000,0)),"")</f>
        <v>EII-12 · Forma J — Escala de Intolerância à Incerteza (versão curta, adolescentes)</v>
      </c>
      <c r="C34" s="6" t="str">
        <f aca="false">IFERROR(INDEX(Catálogo!C$4:C$1000,MATCH($A$1&amp;"|"&amp;31,Índice!$A$4:$A$1000,0)),"")</f>
        <v>Ansiedade, Depressão &amp; Internalização</v>
      </c>
      <c r="D34" s="6" t="str">
        <f aca="false">IFERROR(INDEX(Catálogo!D$4:D$1000,MATCH($A$1&amp;"|"&amp;31,Índice!$A$4:$A$1000,0)),"")</f>
        <v>Próprio</v>
      </c>
      <c r="E34" s="6" t="str">
        <f aca="false">IFERROR(INDEX(Catálogo!E$4:E$1000,MATCH($A$1&amp;"|"&amp;31,Índice!$A$4:$A$1000,0)),"")</f>
        <v>12–17 anos</v>
      </c>
      <c r="F34" s="5" t="n">
        <f aca="false">IFERROR(INDEX(Catálogo!F$4:F$1000,MATCH($A$1&amp;"|"&amp;31,Índice!$A$4:$A$1000,0)),"")</f>
        <v>12</v>
      </c>
      <c r="G34" s="5" t="n">
        <f aca="false">IFERROR(INDEX(Catálogo!G$4:G$1000,MATCH($A$1&amp;"|"&amp;31,Índice!$A$4:$A$1000,0)),"")</f>
        <v>17</v>
      </c>
      <c r="H34" s="5" t="n">
        <f aca="false">IFERROR(INDEX(Catálogo!H$4:H$1000,MATCH($A$1&amp;"|"&amp;31,Índice!$A$4:$A$1000,0)),"")</f>
        <v>8</v>
      </c>
      <c r="I34" s="6" t="str">
        <f aca="false">IFERROR(INDEX(Catálogo!I$4:I$1000,MATCH($A$1&amp;"|"&amp;31,Índice!$A$4:$A$1000,0)),"")</f>
        <v>Versão curta da Escala de Intolerância à Incerteza (Carleton, Norton &amp; Asmundson, 2007), destinada a rastreio, a monitorização repetida ao longo do acompanhamento e a protocolos extensos ou com adolescentes, em que a carga de resposta é uma preocupação. Autorrelato de 12 itens numa escala 1–5, TODOS no sentido directo — não existe um único item invertido. Total 12–60, com duas subescalas: Ansiedade Prospetiva (7 itens, 7–35), que descreve a orientação apreensiva para o futuro e a necessidade de antecipação, de previsibilidade e de informação completa, e Ansiedade Inibitória (5 itens, 5–25), que descreve a paralisação da ação, o adiamento e o evitamento perante a ambiguidade. Parte da literatura recomenda a leitura PREFERENCIAL do total, sustentando a existência de um fator geral robusto, pelo que a leitura por subescalas deve ser tomada como complementar e intra-individual. Tempo de aplicação de 3 a 5 minutos. ⚠ Tradução técnica de trabalho para português europeu (Via A), SEM retroversão independente e SEM estudo psicométrico em amostra nacional. ⚠ NÃO existem normas portuguesas e NÃO são aplicados pontos de corte — toda a leitura é feita em POMP e bandas descritivas por quintis da amplitude teórica, que situam a pontuação no intervalo possível do instrumento e NÃO medem gravidade clínica. ⚠ Desenvolvida e normalizada em população ADULTA: a Forma J é adaptação de registo linguístico para os 12–17 anos, sem estudo de equivalência de medida, e as pontuações das duas formas não são comparáveis entre si. ⚠ Administrada isoladamente, esta versão pode apresentar propriedades distintas das obtidas quando derivada da EII-27, por efeito de contexto de resposta: em monitorização longitudinal, manter sempre a mesma via de obtenção e não alternar entre a versão curta e a longa a meio do acompanhamento</v>
      </c>
      <c r="J34" s="6" t="str">
        <f aca="false">IFERROR(INDEX(Catálogo!J$4:J$1000,MATCH($A$1&amp;"|"&amp;31,Índice!$A$4:$A$1000,0)),"")</f>
        <v>Total EII-12 (12–60) — saída principal, com leitura preferencial sobre as subescalas; reportado em POMP e banda descritiva, sem norma e sem ponto de corte; Ansiedade Prospetiva (7 itens, 7–35) — orientação apreensiva para o futuro: necessidade de antecipação, de previsibilidade e de informação completa; procura de informação, planeamento e verificação; Ansiedade Inibitória (5 itens, 5–25) — paralisação da ação, adiamento e evitamento perante a ambiguidade; POMP por escala (0–100) — (pontuação − mínimo) ÷ (máximo − mínimo) × 100; métrica comum que permite comparar escalas de amplitudes diferentes, sem qualquer pressuposto normativo; Banda descritiva por quintis da amplitude teórica — Muito baixa (0–20) · Baixa (20–40) · Moderada (40–60) · Elevada (60–80) · Muito elevada (80–100); descreve POSIÇÃO no intervalo possível, nunca gravidade clínica; Diferenciação intra-individual Δ POMP entre Ansiedade Prospetiva e Inibitória — Perfil equilibrado (0–10) · Diferenciação ligeira (10–20) · Diferenciação marcada (≥ 20), com identificação do polo relativamente mais elevado; convenção descritiva sem suporte empírico publicado, exclusivamente intra-individual; Tratamento de omissões por prorrateamento — máximo de 1 omissão no total e na Ansiedade Prospetiva e 0 na Ansiedade Inibitória; acima do limite a escala é declarada NÃO COTÁVEL, sem qualquer estimativa; Controlo de qualidade do protocolo — desvio-padrão dos itens cotados, com sinalizador de padrão de resposta invariante</v>
      </c>
      <c r="K34" s="6" t="str">
        <f aca="false">IFERROR(INDEX(Catálogo!K$4:K$1000,MATCH($A$1&amp;"|"&amp;31,Índice!$A$4:$A$1000,0)),"")</f>
        <v>eii12_j</v>
      </c>
      <c r="L34" s="6" t="str">
        <f aca="false">IFERROR(INDEX(Catálogo!L$4:L$1000,MATCH($A$1&amp;"|"&amp;31,Índice!$A$4:$A$1000,0)),"")</f>
        <v>q_eii12_j</v>
      </c>
      <c r="M34" s="7" t="str">
        <f aca="false">IFERROR(INDEX(Catálogo!M$4:M$1000,MATCH($A$1&amp;"|"&amp;31,Índice!$A$4:$A$1000,0)),"")</f>
        <v>https://correiaricardina-ui.github.io/questionarios/EII12_J_v1.html</v>
      </c>
    </row>
    <row r="35" customFormat="false" ht="42" hidden="false" customHeight="true" outlineLevel="0" collapsed="false">
      <c r="A35" s="5" t="n">
        <f aca="false">IFERROR(INDEX(Catálogo!A$4:A$1000,MATCH($A$1&amp;"|"&amp;32,Índice!$A$4:$A$1000,0)),"")</f>
        <v>198</v>
      </c>
      <c r="B35" s="6" t="str">
        <f aca="false">IFERROR(INDEX(Catálogo!B$4:B$1000,MATCH($A$1&amp;"|"&amp;32,Índice!$A$4:$A$1000,0)),"")</f>
        <v>USP-SPS — Escala de Avaliação de Fenómenos Sensoriais (USP)</v>
      </c>
      <c r="C35" s="6" t="str">
        <f aca="false">IFERROR(INDEX(Catálogo!C$4:C$1000,MATCH($A$1&amp;"|"&amp;32,Índice!$A$4:$A$1000,0)),"")</f>
        <v>Ansiedade, Depressão &amp; Internalização</v>
      </c>
      <c r="D35" s="6" t="str">
        <f aca="false">IFERROR(INDEX(Catálogo!D$4:D$1000,MATCH($A$1&amp;"|"&amp;32,Índice!$A$4:$A$1000,0)),"")</f>
        <v>Próprio (aplicação mediada por clínico)</v>
      </c>
      <c r="E35" s="6" t="str">
        <f aca="false">IFERROR(INDEX(Catálogo!E$4:E$1000,MATCH($A$1&amp;"|"&amp;32,Índice!$A$4:$A$1000,0)),"")</f>
        <v>6–99 anos</v>
      </c>
      <c r="F35" s="5" t="n">
        <f aca="false">IFERROR(INDEX(Catálogo!F$4:F$1000,MATCH($A$1&amp;"|"&amp;32,Índice!$A$4:$A$1000,0)),"")</f>
        <v>6</v>
      </c>
      <c r="G35" s="5" t="n">
        <f aca="false">IFERROR(INDEX(Catálogo!G$4:G$1000,MATCH($A$1&amp;"|"&amp;32,Índice!$A$4:$A$1000,0)),"")</f>
        <v>99</v>
      </c>
      <c r="H35" s="5" t="n">
        <f aca="false">IFERROR(INDEX(Catálogo!H$4:H$1000,MATCH($A$1&amp;"|"&amp;32,Índice!$A$4:$A$1000,0)),"")</f>
        <v>19</v>
      </c>
      <c r="I35" s="6" t="str">
        <f aca="false">IFERROR(INDEX(Catálogo!I$4:I$1000,MATCH($A$1&amp;"|"&amp;32,Índice!$A$4:$A$1000,0)),"")</f>
        <v>Documenta os FENÓMENOS SENSORIAIS — sensações físicas ou mentais desconfortáveis, sem conteúdo cognitivo elaborado — que precedem ou acompanham comportamentos repetitivos (compulsões, rituais, «manias», atos mentais ou tiques), distinguindo-os das OBSESSÕES, que são pensamentos, medos, ideias ou imagens. Adaptação linguística (PT-BR → PT-EU) e procedimental da USP-SPS (Rosário, Prado, Miguel e cols., 2009; validação preliminar Prado, 2007), NÃO validada para a população portuguesa. ⚠ APLICAÇÃO OBRIGATORIAMENTE MEDIADA pelo clínico, item a item: no estudo original a concordância entre autopreenchimento e aplicação clínica foi insuficiente na maioria dos subtipos e os autores abandonaram a via de autoaplicação; com crianças e adolescentes aplica-se com apoio parental para datação e corroboração comportamental, mantendo-se a resposta sobre a experiência subjetiva sempre a cargo do próprio. A sequência é fixa: Parte 0 (inventário-âncora de comportamentos repetitivos concretos, acrescento procedimental desta versão) ANTES de qualquer pergunta sobre sensações — sem esta ancoragem os itens tornam-se abstratos e a resposta perde validade; depois a Parte I (22 itens em sete categorias, cada um cotado como Nunca / Passado / Atual, com idade de início e comportamento-âncora), a Parte II (única parte pontuada), e os módulos condicionais III (incompletude) e IV (sonda de automatismo). ⚠ A Parte I NÃO É PONTUADA no sistema original: gera indicadores DESCRITIVOS derivados (número e natureza dos tipos presentes, idade de início mais precoce), assinalados como tal. Só a Parte II pontua — frequência, incómodo e interferência no ÚLTIMO MÊS, 0–5 cada, escore total 0–15 —, e cota-se EXCLUINDO o que é atribuível a obsessões. O item 4 (comparação com as obsessões) é qualitativo e não pontua. ⚠ NÃO EXISTEM PONTOS DE CORTE PUBLICADOS: as faixas de gravidade (0 Ausente · 1–3 Mínima · 4–6 Ligeira · 7–9 Moderada · 10–12 Grave · 13–15 Extrema) são derivadas racionalmente das ancoragens dos itens, têm valor DESCRITIVO e não diagnóstico, e por isso são apresentadas em paleta AZUL; o VERMELHO fica reservado aos sinalizadores binários — critério operacional de relevância clínica (escore ≥ 7 e/ou interferência ≥ 3) e sinalizações automáticas. ⚠ REGRA DE NÃO PONTUAÇÃO (convenção dos autores): perante execução automática, se a sonda «o que sentiria se não pudesse realizar o comportamento?» revelar conteúdo obsessivo, esse sintoma NÃO pontua na USP-SPS e é reatribuído ao eixo obsessivo (Y-BOCS / DY-BOCS). ⚠ O instrumento NÃO estabelece nem exclui diagnóstico: documenta a dimensão fenomenológica sensorial dos comportamentos repetitivos, com valor acrescido na formulação funcional e na SELEÇÃO DO PROTOCOLO — predomínio sensorial ou ausência de obsessões orienta para tolerância à sensação premonitória (exposição interoceptiva, inversão de hábito, aceitação) e não para reestruturação de conteúdo obsessivo. ⚠ Consistência interna modesta no estudo original (α de Cronbach = 0,59; n = 47 adultos com POC)</v>
      </c>
      <c r="J35" s="6" t="str">
        <f aca="false">IFERROR(INDEX(Catálogo!J$4:J$1000,MATCH($A$1&amp;"|"&amp;32,Índice!$A$4:$A$1000,0)),"")</f>
        <v>Parte II — Escore de gravidade USP-SPS (soma dos itens 1 a 3, amplitude 0–15): única pontuação do sistema original | Parte II — Item 1, Frequência com que os comportamentos repetitivos são precedidos ou acompanhados por fenómenos sensoriais (0–5), excluindo o tempo ocupado por obsessões | Parte II — Item 2, Incómodo causado pelos fenómenos sensoriais (0–5), excluindo o incómodo atribuível a obsessões | Parte II — Item 3, Interferência na vida familiar, social, escolar/profissional e afetiva (0–5), excluindo a interferência atribuível a obsessões | Parte II — Item 4, Comparação com as obsessões (A a E ou não cotável): qualitativo, NÃO pontua; determina o eixo predominante e a orientação do protocolo | A.1 — Sensação física tátil (Parte I, descritivo): sensações desconfortáveis na pele que motivam a repetição até obter alívio | A.2 — Sensação física músculo-esquelética ou visceral (Parte I, descritivo): sensações nos músculos, ossos ou vísceras que motivam a repetição | B.1 — «Como deve ser» (just right) visual (Parte I, descritivo): necessidade de que os objetos pareçam visualmente como deve ser | B.2 — «Como deve ser» (just right) auditivo (Parte I, descritivo): necessidade de que objetos, sons ou pessoas soem de determinada maneira | B.3 — «Como deve ser» (just right) tátil (Parte I, descritivo): necessidade de tocar até obter a sensação tátil de como deve ser | C — Incompletude (Parte I, descritivo): sensação interna de que algo não está em ordem, que desencadeia ou acompanha a repetição; se positivo, torna obrigatório o módulo da Parte III | D — Energia interna (Parte I, descritivo): tensão generalizada que cresce e precisa de ser descarregada através do comportamento repetitivo | E — Apenas «tenho de fazer» (Parte I, marcador): NÃO é um tipo de fenómeno sensorial — assinala a sua ausência com execução imperativa; se positivo, obriga à sonda de automatismo da Parte IV | Indicadores derivados — presença de fenómenos sensoriais (atual ou passado), número de tipos atuais (0–7), número de tipos alguma vez presentes (0–7), tipos físicos (0–2) e mentais (0–5), amplitude fenomenológica (% dos sete tipos) e idade de início mais precoce | Predomínio físico vs. mental e leitura da amplitude (expressão restrita, intermédia ou alargada); o contraste entre tipos alguma vez presentes e tipos atuais identifica fenómenos EPISÓDICOS que o escore, medida de estado, subestima | Parte III — Módulo da incompletude: alívio após o comportamento e sensação de completude; alívio SEM completude configura reforço negativo incompleto, fator de manutenção e preditor de pior resposta a exposição sem prevenção de resposta sustentada | Parte IV — Sonda de automatismo e regra de não pontuação: natureza da resposta (conteúdo obsessivo · sensação física ou mental · ausência de conteúdo identificável) e decisão de cotação daí decorrente | Parte 0 — Inventário-âncora de comportamentos repetitivos (acrescento procedimental, não pontua): fixa os referentes concretos a que todos os itens da Parte I são ancorados | Sinalizações automáticas — fenómeno apenas no passado · execução automática sem fenómeno sensorial · regra de não pontuação acionada · reclassificação pendente · incompletude sem resolução · discrepância entre gravidade e amplitude · incoerência entre a Parte I e a Parte II · validade do modo de aplicação</v>
      </c>
      <c r="K35" s="6" t="str">
        <f aca="false">IFERROR(INDEX(Catálogo!K$4:K$1000,MATCH($A$1&amp;"|"&amp;32,Índice!$A$4:$A$1000,0)),"")</f>
        <v>usp_sps</v>
      </c>
      <c r="L35" s="6" t="str">
        <f aca="false">IFERROR(INDEX(Catálogo!L$4:L$1000,MATCH($A$1&amp;"|"&amp;32,Índice!$A$4:$A$1000,0)),"")</f>
        <v>q_usp_sps</v>
      </c>
      <c r="M35" s="7" t="str">
        <f aca="false">IFERROR(INDEX(Catálogo!M$4:M$1000,MATCH($A$1&amp;"|"&amp;32,Índice!$A$4:$A$1000,0)),"")</f>
        <v>https://correiaricardina-ui.github.io/questionarios/USP_SPS_v1.html</v>
      </c>
    </row>
    <row r="36" customFormat="false" ht="42" hidden="false" customHeight="true" outlineLevel="0" collapsed="false">
      <c r="A36" s="5" t="n">
        <f aca="false">IFERROR(INDEX(Catálogo!A$4:A$1000,MATCH($A$1&amp;"|"&amp;33,Índice!$A$4:$A$1000,0)),"")</f>
        <v>204</v>
      </c>
      <c r="B36" s="6" t="str">
        <f aca="false">IFERROR(INDEX(Catálogo!B$4:B$1000,MATCH($A$1&amp;"|"&amp;33,Índice!$A$4:$A$1000,0)),"")</f>
        <v>CY-BOCS — Escala de Obsessões e Compulsões de Yale-Brown para Crianças e Adolescentes</v>
      </c>
      <c r="C36" s="6" t="str">
        <f aca="false">IFERROR(INDEX(Catálogo!C$4:C$1000,MATCH($A$1&amp;"|"&amp;33,Índice!$A$4:$A$1000,0)),"")</f>
        <v>Ansiedade, Depressão &amp; Internalização</v>
      </c>
      <c r="D36" s="6" t="str">
        <f aca="false">IFERROR(INDEX(Catálogo!D$4:D$1000,MATCH($A$1&amp;"|"&amp;33,Índice!$A$4:$A$1000,0)),"")</f>
        <v>Psicóloga (entrevista à criança e ao cuidador)</v>
      </c>
      <c r="E36" s="6" t="str">
        <f aca="false">IFERROR(INDEX(Catálogo!E$4:E$1000,MATCH($A$1&amp;"|"&amp;33,Índice!$A$4:$A$1000,0)),"")</f>
        <v>6–17 anos</v>
      </c>
      <c r="F36" s="5" t="n">
        <f aca="false">IFERROR(INDEX(Catálogo!F$4:F$1000,MATCH($A$1&amp;"|"&amp;33,Índice!$A$4:$A$1000,0)),"")</f>
        <v>6</v>
      </c>
      <c r="G36" s="5" t="n">
        <f aca="false">IFERROR(INDEX(Catálogo!G$4:G$1000,MATCH($A$1&amp;"|"&amp;33,Índice!$A$4:$A$1000,0)),"")</f>
        <v>17</v>
      </c>
      <c r="H36" s="5" t="n">
        <f aca="false">IFERROR(INDEX(Catálogo!H$4:H$1000,MATCH($A$1&amp;"|"&amp;33,Índice!$A$4:$A$1000,0)),"")</f>
        <v>7</v>
      </c>
      <c r="I36" s="6" t="str">
        <f aca="false">IFERROR(INDEX(Catálogo!I$4:I$1000,MATCH($A$1&amp;"|"&amp;33,Índice!$A$4:$A$1000,0)),"")</f>
        <v>Quantifica a GRAVIDADE DA SINTOMATOLOGIA OBSESSIVO-COMPULSIVA em idade pediátrica. Entrevista semiestruturada ADMINISTRADA PELO CLÍNICO, conjunta à criança e ao cuidador: a pontuação é atribuída pelo clínico integrando ambos os relatos e a observação, não sendo média aritmética. Independência entre gravidade e conteúdo — a pontuação reflete tempo, interferência, sofrimento, resistência e controlo, não o tipo de sintoma. Lista de verificação de 18 categorias com marcação Atual/Passado; itens 1–10 de gravidade (0–4); itens 11–16 de investigação, não somados. Janela: últimos 7 dias. Reaplicação com intervalo mínimo de uma semana; campo «Momento da avaliação» para monitorização serial. ⚠ Nos itens de resistência e controlo, MENOR resistência e MENOR controlo cotam MAIS ALTO. ⚠ Dados omissos: um item em falta numa subescala → reponderação (soma × 5/4), a registar no processo; dois ou mais → subescala e total não cotados. ⚠ Adaptação linguística PT-PT sem normas portuguesas; pontos de corte da literatura internacional; não constitui, por si só, critério diagnóstico. POC — DSM-5-TR 300.3 (F42.2); CID-11 6B20; item 11 informa o especificador de insight.</v>
      </c>
      <c r="J36" s="6" t="str">
        <f aca="false">IFERROR(INDEX(Catálogo!J$4:J$1000,MATCH($A$1&amp;"|"&amp;33,Índice!$A$4:$A$1000,0)),"")</f>
        <v>Lista de verificação (9 categorias de obsessões + 9 de compulsões, Atual/Passado, com sintomas-alvo); Subescala Obsessões (itens 1–5, 0–20); Subescala Compulsões (itens 6–10, 0–20); Pontuação Total CY-BOCS (0–40: 0–7 subclínico · 8–15 ligeiro · 16–23 moderado · 24–31 grave · 32–40 extremo); Perfil de predomínio (diferença ≥ 5 entre subescalas); Critérios de resposta terapêutica (redução ≥ 35%; parcial 25–34%; remissão ≤ 12); Itens de investigação 11–16 (crítica/insight, evitamento, indecisão, responsabilidade sobrevalorizada, lentificação, dúvida patológica), sinalização a partir de 3</v>
      </c>
      <c r="K36" s="6" t="str">
        <f aca="false">IFERROR(INDEX(Catálogo!K$4:K$1000,MATCH($A$1&amp;"|"&amp;33,Índice!$A$4:$A$1000,0)),"")</f>
        <v>cybocs</v>
      </c>
      <c r="L36" s="6" t="str">
        <f aca="false">IFERROR(INDEX(Catálogo!L$4:L$1000,MATCH($A$1&amp;"|"&amp;33,Índice!$A$4:$A$1000,0)),"")</f>
        <v>q_cybocs</v>
      </c>
      <c r="M36" s="7" t="str">
        <f aca="false">IFERROR(INDEX(Catálogo!M$4:M$1000,MATCH($A$1&amp;"|"&amp;33,Índice!$A$4:$A$1000,0)),"")</f>
        <v>https://correiaricardina-ui.github.io/questionarios/CYBOCS_v1.html</v>
      </c>
    </row>
    <row r="37" customFormat="false" ht="42" hidden="false" customHeight="true" outlineLevel="0" collapsed="false">
      <c r="A37" s="5" t="n">
        <f aca="false">IFERROR(INDEX(Catálogo!A$4:A$1000,MATCH($A$1&amp;"|"&amp;34,Índice!$A$4:$A$1000,0)),"")</f>
        <v>208</v>
      </c>
      <c r="B37" s="6" t="str">
        <f aca="false">IFERROR(INDEX(Catálogo!B$4:B$1000,MATCH($A$1&amp;"|"&amp;34,Índice!$A$4:$A$1000,0)),"")</f>
        <v>COIS-RC — Impacto da POC na Criança (Revista), versão criança</v>
      </c>
      <c r="C37" s="6" t="str">
        <f aca="false">IFERROR(INDEX(Catálogo!C$4:C$1000,MATCH($A$1&amp;"|"&amp;34,Índice!$A$4:$A$1000,0)),"")</f>
        <v>Ansiedade, Depressão &amp; Internalização</v>
      </c>
      <c r="D37" s="6" t="str">
        <f aca="false">IFERROR(INDEX(Catálogo!D$4:D$1000,MATCH($A$1&amp;"|"&amp;34,Índice!$A$4:$A$1000,0)),"")</f>
        <v>Próprio</v>
      </c>
      <c r="E37" s="6" t="str">
        <f aca="false">IFERROR(INDEX(Catálogo!E$4:E$1000,MATCH($A$1&amp;"|"&amp;34,Índice!$A$4:$A$1000,0)),"")</f>
        <v>7–17 anos</v>
      </c>
      <c r="F37" s="5" t="n">
        <f aca="false">IFERROR(INDEX(Catálogo!F$4:F$1000,MATCH($A$1&amp;"|"&amp;34,Índice!$A$4:$A$1000,0)),"")</f>
        <v>7</v>
      </c>
      <c r="G37" s="5" t="n">
        <f aca="false">IFERROR(INDEX(Catálogo!G$4:G$1000,MATCH($A$1&amp;"|"&amp;34,Índice!$A$4:$A$1000,0)),"")</f>
        <v>17</v>
      </c>
      <c r="H37" s="5" t="n">
        <f aca="false">IFERROR(INDEX(Catálogo!H$4:H$1000,MATCH($A$1&amp;"|"&amp;34,Índice!$A$4:$A$1000,0)),"")</f>
        <v>8</v>
      </c>
      <c r="I37" s="6" t="str">
        <f aca="false">IFERROR(INDEX(Catálogo!I$4:I$1000,MATCH($A$1&amp;"|"&amp;34,Índice!$A$4:$A$1000,0)),"")</f>
        <v>Quantifica o COMPROMISSO FUNCIONAL atribuível aos sintomas obsessivo-compulsivos no último mês, na perspetiva da própria criança ou jovem — construto distinto da gravidade sintomática, que a CY-BOCS não mede. Piacentini, Peris, Bergman, Chang &amp; Jaffer (2007); Copyright © 2007, John Piacentini, utilização clínica sem encargo com citação obrigatória da fonte. Adaptação linguística PT-EU, sem alteração de itens, ordem, escala de resposta nem estrutura fatorial. 33 itens, escala 0–3, 10 a 15 minutos. Indicador principal: MÉDIA POR ITEM (0–3), única métrica comparável entre subescalas de dimensão desigual e entre as duas versões. Sem normas portuguesas e sem pontos de corte publicados pelos autores: limiares CRITERIAIS, em paleta azul. Complementa e não substitui a CY-BOCS; recomenda-se a administração simultânea das versões criança e pais, porque a discrepância entre informadores é informação clínica.</v>
      </c>
      <c r="J37" s="6" t="str">
        <f aca="false">IFERROR(INDEX(Catálogo!J$4:J$1000,MATCH($A$1&amp;"|"&amp;34,Índice!$A$4:$A$1000,0)),"")</f>
        <v>Escola (10 itens, 0–30): testes, escrita e conclusão de tarefas na sala de aula, pontualidade, concentração, trabalhos de casa, material e rendimento; Social (6 itens, 0–18): estar com desconhecidos, fazer e manter amizades, almoçar com colegas, relações amorosas; Atividades (17 itens, 0–51): quotidiano familiar, doméstico e de lazer — refeições, higiene, casa de banho, visitas, compras, restaurantes, cinema, férias, leitura, telefone; Pontuação total (33 itens, 0–99) e média por item (0–3) por subescala e no total; Classificação criterial por média por item (mínimo &lt;0,50; ligeiro 0,50–0,99; moderado 1,00–1,49; elevado 1,50–1,99; muito elevado ≥2,00); Domínio mais afetado e configuração do perfil (dissociado quando a diferença entre subescalas é ≥0,75 na média por item); Comparação entre informadores nas subescalas homólogas e na média total (diferença ≥0,50 clinicamente significativa); Monitorização em paralelo com a CY-BOCS: dissociação entre redução sintomática e manutenção do compromisso funcional</v>
      </c>
      <c r="K37" s="6" t="str">
        <f aca="false">IFERROR(INDEX(Catálogo!K$4:K$1000,MATCH($A$1&amp;"|"&amp;34,Índice!$A$4:$A$1000,0)),"")</f>
        <v>cois_rc</v>
      </c>
      <c r="L37" s="6" t="str">
        <f aca="false">IFERROR(INDEX(Catálogo!L$4:L$1000,MATCH($A$1&amp;"|"&amp;34,Índice!$A$4:$A$1000,0)),"")</f>
        <v>q_cois_rc</v>
      </c>
      <c r="M37" s="7" t="str">
        <f aca="false">IFERROR(INDEX(Catálogo!M$4:M$1000,MATCH($A$1&amp;"|"&amp;34,Índice!$A$4:$A$1000,0)),"")</f>
        <v>https://correiaricardina-ui.github.io/questionarios/COIS_RC_v1.html</v>
      </c>
    </row>
    <row r="38" customFormat="false" ht="42" hidden="false" customHeight="true" outlineLevel="0" collapsed="false">
      <c r="A38" s="5" t="n">
        <f aca="false">IFERROR(INDEX(Catálogo!A$4:A$1000,MATCH($A$1&amp;"|"&amp;35,Índice!$A$4:$A$1000,0)),"")</f>
        <v>209</v>
      </c>
      <c r="B38" s="6" t="str">
        <f aca="false">IFERROR(INDEX(Catálogo!B$4:B$1000,MATCH($A$1&amp;"|"&amp;35,Índice!$A$4:$A$1000,0)),"")</f>
        <v>COIS-RP — Impacto da POC na Criança (Revista), versão pais</v>
      </c>
      <c r="C38" s="6" t="str">
        <f aca="false">IFERROR(INDEX(Catálogo!C$4:C$1000,MATCH($A$1&amp;"|"&amp;35,Índice!$A$4:$A$1000,0)),"")</f>
        <v>Ansiedade, Depressão &amp; Internalização</v>
      </c>
      <c r="D38" s="6" t="str">
        <f aca="false">IFERROR(INDEX(Catálogo!D$4:D$1000,MATCH($A$1&amp;"|"&amp;35,Índice!$A$4:$A$1000,0)),"")</f>
        <v>Mãe, Pai, Enc. Educação</v>
      </c>
      <c r="E38" s="6" t="str">
        <f aca="false">IFERROR(INDEX(Catálogo!E$4:E$1000,MATCH($A$1&amp;"|"&amp;35,Índice!$A$4:$A$1000,0)),"")</f>
        <v>7–17 anos</v>
      </c>
      <c r="F38" s="5" t="n">
        <f aca="false">IFERROR(INDEX(Catálogo!F$4:F$1000,MATCH($A$1&amp;"|"&amp;35,Índice!$A$4:$A$1000,0)),"")</f>
        <v>7</v>
      </c>
      <c r="G38" s="5" t="n">
        <f aca="false">IFERROR(INDEX(Catálogo!G$4:G$1000,MATCH($A$1&amp;"|"&amp;35,Índice!$A$4:$A$1000,0)),"")</f>
        <v>17</v>
      </c>
      <c r="H38" s="5" t="n">
        <f aca="false">IFERROR(INDEX(Catálogo!H$4:H$1000,MATCH($A$1&amp;"|"&amp;35,Índice!$A$4:$A$1000,0)),"")</f>
        <v>9</v>
      </c>
      <c r="I38" s="6" t="str">
        <f aca="false">IFERROR(INDEX(Catálogo!I$4:I$1000,MATCH($A$1&amp;"|"&amp;35,Índice!$A$4:$A$1000,0)),"")</f>
        <v>Quantifica o COMPROMISSO FUNCIONAL atribuível aos sintomas obsessivo-compulsivos no último mês, na perspetiva do progenitor ou cuidador principal — construto distinto da gravidade sintomática, que a CY-BOCS não mede. Piacentini, Peris, Bergman, Chang &amp; Jaffer (2007); Copyright © 2007, John Piacentini, utilização clínica sem encargo com citação obrigatória da fonte. Adaptação linguística PT-EU, sem alteração de itens, ordem, escala de resposta nem estrutura fatorial. 33 itens, escala 0–3, 10 a 15 minutos. Estrutura fatorial DISTINTA e NÃO intermutável com a da versão criança: quatro fatores, com autonomização das Competências de Vida Diária. Indicador principal: MÉDIA POR ITEM (0–3). Sem normas portuguesas e sem pontos de corte publicados pelos autores: limiares CRITERIAIS, em paleta azul. Só as subescalas homólogas (Escola e Social) e a média total são comparáveis entre informadores.</v>
      </c>
      <c r="J38" s="6" t="str">
        <f aca="false">IFERROR(INDEX(Catálogo!J$4:J$1000,MATCH($A$1&amp;"|"&amp;35,Índice!$A$4:$A$1000,0)),"")</f>
        <v>Escola (6 itens, 0–18): testes, escrita e conclusão de tarefas na sala de aula, concentração, material e trabalhos de casa; Social (13 itens, 0–39): sair de casa, estar com desconhecidos e conhecidos, fazer e manter amizades, casa de amigos e dormir fora, lazer no recreio, passeios escolares, almoçar com colegas, relações amorosas; Família/Atividades (9 itens, 0–27): relação com pais e irmãos, visitar e receber familiares, férias, compras, comer em público, restaurantes, cerimónias religiosas; Competências de Vida Diária (5 itens, 0–15): pontualidade escolar, preparar-se para dormir, tarefas domésticas, higiene pessoal, vestir-se — fator específico da perspetiva parental; Pontuação total (33 itens, 0–99) e média por item (0–3) por subescala e no total; Classificação criterial por média por item (mínimo &lt;0,50; ligeiro 0,50–0,99; moderado 1,00–1,49; elevado 1,50–1,99; muito elevado ≥2,00); Domínio mais afetado e configuração do perfil (dissociado quando a diferença entre subescalas é ≥0,75 na média por item); Comparação entre informadores nas subescalas homólogas e na média total (diferença ≥0,50 clinicamente significativa); Monitorização em paralelo com a CY-BOCS: dissociação entre redução sintomática e manutenção do compromisso funcional</v>
      </c>
      <c r="K38" s="6" t="str">
        <f aca="false">IFERROR(INDEX(Catálogo!K$4:K$1000,MATCH($A$1&amp;"|"&amp;35,Índice!$A$4:$A$1000,0)),"")</f>
        <v>cois_rp</v>
      </c>
      <c r="L38" s="6" t="str">
        <f aca="false">IFERROR(INDEX(Catálogo!L$4:L$1000,MATCH($A$1&amp;"|"&amp;35,Índice!$A$4:$A$1000,0)),"")</f>
        <v>q_cois_rp</v>
      </c>
      <c r="M38" s="7" t="str">
        <f aca="false">IFERROR(INDEX(Catálogo!M$4:M$1000,MATCH($A$1&amp;"|"&amp;35,Índice!$A$4:$A$1000,0)),"")</f>
        <v>https://correiaricardina-ui.github.io/questionarios/COIS_RP_v1.html</v>
      </c>
    </row>
    <row r="39" customFormat="false" ht="42" hidden="false" customHeight="true" outlineLevel="0" collapsed="false">
      <c r="A39" s="5" t="n">
        <f aca="false">IFERROR(INDEX(Catálogo!A$4:A$1000,MATCH($A$1&amp;"|"&amp;36,Índice!$A$4:$A$1000,0)),"")</f>
        <v>210</v>
      </c>
      <c r="B39" s="6" t="str">
        <f aca="false">IFERROR(INDEX(Catálogo!B$4:B$1000,MATCH($A$1&amp;"|"&amp;36,Índice!$A$4:$A$1000,0)),"")</f>
        <v>LOI-CV — Inventário Obsessivo de Leyton, versão para crianças (rastreio)</v>
      </c>
      <c r="C39" s="6" t="str">
        <f aca="false">IFERROR(INDEX(Catálogo!C$4:C$1000,MATCH($A$1&amp;"|"&amp;36,Índice!$A$4:$A$1000,0)),"")</f>
        <v>Ansiedade, Depressão &amp; Internalização</v>
      </c>
      <c r="D39" s="6" t="str">
        <f aca="false">IFERROR(INDEX(Catálogo!D$4:D$1000,MATCH($A$1&amp;"|"&amp;36,Índice!$A$4:$A$1000,0)),"")</f>
        <v>Próprio</v>
      </c>
      <c r="E39" s="6" t="str">
        <f aca="false">IFERROR(INDEX(Catálogo!E$4:E$1000,MATCH($A$1&amp;"|"&amp;36,Índice!$A$4:$A$1000,0)),"")</f>
        <v>8–12 anos</v>
      </c>
      <c r="F39" s="5" t="n">
        <f aca="false">IFERROR(INDEX(Catálogo!F$4:F$1000,MATCH($A$1&amp;"|"&amp;36,Índice!$A$4:$A$1000,0)),"")</f>
        <v>8</v>
      </c>
      <c r="G39" s="5" t="n">
        <f aca="false">IFERROR(INDEX(Catálogo!G$4:G$1000,MATCH($A$1&amp;"|"&amp;36,Índice!$A$4:$A$1000,0)),"")</f>
        <v>12</v>
      </c>
      <c r="H39" s="5" t="n">
        <f aca="false">IFERROR(INDEX(Catálogo!H$4:H$1000,MATCH($A$1&amp;"|"&amp;36,Índice!$A$4:$A$1000,0)),"")</f>
        <v>11</v>
      </c>
      <c r="I39" s="6" t="str">
        <f aca="false">IFERROR(INDEX(Catálogo!I$4:I$1000,MATCH($A$1&amp;"|"&amp;36,Índice!$A$4:$A$1000,0)),"")</f>
        <v>Rastreia sintomatologia OBSESSIVO-COMPULSIVA em idade escolar por autorrelato, com codificação SEPARADA da presença do sintoma e do seu custo funcional — a dupla codificação é a característica psicométrica central do instrumento e reproduz a autonomia do critério de interferência no diagnóstico (DSM-5-TR 300.3 / F42.2; CID-11 6B20). Berg et al. (1988); estrutura fatorial e pontos de corte de Canals et al. (2012). ⚠ RASTREIO e NÃO diagnóstico: VPP 18,2% e VPN 99,1% — serve para EXCLUIR, não para confirmar; um positivo obriga a avaliação clínica estruturada e nunca é comunicado à família ou à escola como diagnóstico. ⚠ Sem normas portuguesas: pontos de corte de amostra escolar espanhola (n = 1514 / 562), 8 aos 12 anos; para adolescentes a literatura propõe limiares mais conservadores. ⚠ Não cobre acumulação nem conteúdos agressivos, religiosos ou somáticos, e não integra relato parental.</v>
      </c>
      <c r="J39" s="6" t="str">
        <f aca="false">IFERROR(INDEX(Catálogo!J$4:J$1000,MATCH($A$1&amp;"|"&amp;36,Índice!$A$4:$A$1000,0)),"")</f>
        <v>Pontuação «Sim» (0–20): número de itens assinalados como presentes; leitura da extensão do repertório sintomático, sem ponto de corte próprio; Pontuação de interferência (0–60): soma das interferências de TODOS os itens cotados, independentemente da resposta «Sim» — regra dos estudos de validação; ponto de corte ≥ 10 (sens. 82,4%; espec. 83,8%; AUC 0,912); Pontuação total (0–80): «Sim» + interferência; indicador principal e de melhor fidelidade (α = 0,90); ponto de corte ≥ 21 (sens. 82,4%; espec. 84,1%; AUC 0,909); Ordem/verificação/contaminação (itens 3, 4, 7, 8, 9, 11, 12; total 0–28; α = 0,82): fator que explica maior variância (30,2%) e mais discrimina entre grupos; Preocupação obsessiva (itens 2, 6, 10, 14, 16, 17, 18; total 0–28; α = 0,81): ruminação, indecisão, escrúpulo moral, perfecionismo retrospetivo, lentificação por repetição; Superstição/compulsão mental (itens 1, 5, 13, 15, 19, 20; total 0–24; α = 0,77): rituais mentais, contagem, números e palavras protetoras — NÃO discrimina clínico de subclínico, pelo que a elevação isolada não indica gravidade, mas capta fenómenos encobertos não observáveis pelos cuidadores; Faixas do total: 0–13 variação normativa (M = 13,03 sem diagnóstico); 14–20 zona intermédia, reavaliar em 3 a 6 meses; 21–30 rastreio positivo (M = 22,21 subclínico); ≥ 31 fortemente positivo (M = 31,18 clínico); Faixas da interferência: 0–4 normativa; 5–9 intermédia; 10–17 positivo; ≥ 18 fortemente positivo; Decisão de rastreio (positiva quando qualquer indicador atinge o corte) e configuração entre indicadores: presença elevada com interferência baixa indica monitorização; presença moderada com interferência elevada justifica intervenção precoce; Perfil por fator por proximidade às médias dos grupos de referência e domínio predominante — leitura orientadora e não decisória, em paleta azul; Monitorização serial pelo campo «Momento da avaliação», com comparação do total e da interferência ao longo da intervenção</v>
      </c>
      <c r="K39" s="6" t="str">
        <f aca="false">IFERROR(INDEX(Catálogo!K$4:K$1000,MATCH($A$1&amp;"|"&amp;36,Índice!$A$4:$A$1000,0)),"")</f>
        <v>loi_cv</v>
      </c>
      <c r="L39" s="6" t="str">
        <f aca="false">IFERROR(INDEX(Catálogo!L$4:L$1000,MATCH($A$1&amp;"|"&amp;36,Índice!$A$4:$A$1000,0)),"")</f>
        <v>q_loi_cv</v>
      </c>
      <c r="M39" s="7" t="str">
        <f aca="false">IFERROR(INDEX(Catálogo!M$4:M$1000,MATCH($A$1&amp;"|"&amp;36,Índice!$A$4:$A$1000,0)),"")</f>
        <v>https://correiaricardina-ui.github.io/questionarios/LOI_CV_v1.html</v>
      </c>
    </row>
    <row r="40" customFormat="false" ht="42" hidden="false" customHeight="true" outlineLevel="0" collapsed="false">
      <c r="A40" s="5" t="str">
        <f aca="false">IFERROR(INDEX(Catálogo!A$4:A$1000,MATCH($A$1&amp;"|"&amp;37,Índice!$A$4:$A$1000,0)),"")</f>
        <v/>
      </c>
      <c r="B40" s="6" t="str">
        <f aca="false">IFERROR(INDEX(Catálogo!B$4:B$1000,MATCH($A$1&amp;"|"&amp;37,Índice!$A$4:$A$1000,0)),"")</f>
        <v/>
      </c>
      <c r="C40" s="6" t="str">
        <f aca="false">IFERROR(INDEX(Catálogo!C$4:C$1000,MATCH($A$1&amp;"|"&amp;37,Índice!$A$4:$A$1000,0)),"")</f>
        <v/>
      </c>
      <c r="D40" s="6" t="str">
        <f aca="false">IFERROR(INDEX(Catálogo!D$4:D$1000,MATCH($A$1&amp;"|"&amp;37,Índice!$A$4:$A$1000,0)),"")</f>
        <v/>
      </c>
      <c r="E40" s="6" t="str">
        <f aca="false">IFERROR(INDEX(Catálogo!E$4:E$1000,MATCH($A$1&amp;"|"&amp;37,Índice!$A$4:$A$1000,0)),"")</f>
        <v/>
      </c>
      <c r="F40" s="5" t="str">
        <f aca="false">IFERROR(INDEX(Catálogo!F$4:F$1000,MATCH($A$1&amp;"|"&amp;37,Índice!$A$4:$A$1000,0)),"")</f>
        <v/>
      </c>
      <c r="G40" s="5" t="str">
        <f aca="false">IFERROR(INDEX(Catálogo!G$4:G$1000,MATCH($A$1&amp;"|"&amp;37,Índice!$A$4:$A$1000,0)),"")</f>
        <v/>
      </c>
      <c r="H40" s="5" t="str">
        <f aca="false">IFERROR(INDEX(Catálogo!H$4:H$1000,MATCH($A$1&amp;"|"&amp;37,Índice!$A$4:$A$1000,0)),"")</f>
        <v/>
      </c>
      <c r="I40" s="6" t="str">
        <f aca="false">IFERROR(INDEX(Catálogo!I$4:I$1000,MATCH($A$1&amp;"|"&amp;37,Índice!$A$4:$A$1000,0)),"")</f>
        <v/>
      </c>
      <c r="J40" s="6" t="str">
        <f aca="false">IFERROR(INDEX(Catálogo!J$4:J$1000,MATCH($A$1&amp;"|"&amp;37,Índice!$A$4:$A$1000,0)),"")</f>
        <v/>
      </c>
      <c r="K40" s="6" t="str">
        <f aca="false">IFERROR(INDEX(Catálogo!K$4:K$1000,MATCH($A$1&amp;"|"&amp;37,Índice!$A$4:$A$1000,0)),"")</f>
        <v/>
      </c>
      <c r="L40" s="6" t="str">
        <f aca="false">IFERROR(INDEX(Catálogo!L$4:L$1000,MATCH($A$1&amp;"|"&amp;37,Índice!$A$4:$A$1000,0)),"")</f>
        <v/>
      </c>
      <c r="M40" s="7" t="str">
        <f aca="false">IFERROR(INDEX(Catálogo!M$4:M$1000,MATCH($A$1&amp;"|"&amp;37,Índice!$A$4:$A$1000,0)),"")</f>
        <v/>
      </c>
    </row>
    <row r="41" customFormat="false" ht="42" hidden="false" customHeight="true" outlineLevel="0" collapsed="false">
      <c r="A41" s="5" t="str">
        <f aca="false">IFERROR(INDEX(Catálogo!A$4:A$1000,MATCH($A$1&amp;"|"&amp;38,Índice!$A$4:$A$1000,0)),"")</f>
        <v/>
      </c>
      <c r="B41" s="6" t="str">
        <f aca="false">IFERROR(INDEX(Catálogo!B$4:B$1000,MATCH($A$1&amp;"|"&amp;38,Índice!$A$4:$A$1000,0)),"")</f>
        <v/>
      </c>
      <c r="C41" s="6" t="str">
        <f aca="false">IFERROR(INDEX(Catálogo!C$4:C$1000,MATCH($A$1&amp;"|"&amp;38,Índice!$A$4:$A$1000,0)),"")</f>
        <v/>
      </c>
      <c r="D41" s="6" t="str">
        <f aca="false">IFERROR(INDEX(Catálogo!D$4:D$1000,MATCH($A$1&amp;"|"&amp;38,Índice!$A$4:$A$1000,0)),"")</f>
        <v/>
      </c>
      <c r="E41" s="6" t="str">
        <f aca="false">IFERROR(INDEX(Catálogo!E$4:E$1000,MATCH($A$1&amp;"|"&amp;38,Índice!$A$4:$A$1000,0)),"")</f>
        <v/>
      </c>
      <c r="F41" s="5" t="str">
        <f aca="false">IFERROR(INDEX(Catálogo!F$4:F$1000,MATCH($A$1&amp;"|"&amp;38,Índice!$A$4:$A$1000,0)),"")</f>
        <v/>
      </c>
      <c r="G41" s="5" t="str">
        <f aca="false">IFERROR(INDEX(Catálogo!G$4:G$1000,MATCH($A$1&amp;"|"&amp;38,Índice!$A$4:$A$1000,0)),"")</f>
        <v/>
      </c>
      <c r="H41" s="5" t="str">
        <f aca="false">IFERROR(INDEX(Catálogo!H$4:H$1000,MATCH($A$1&amp;"|"&amp;38,Índice!$A$4:$A$1000,0)),"")</f>
        <v/>
      </c>
      <c r="I41" s="6" t="str">
        <f aca="false">IFERROR(INDEX(Catálogo!I$4:I$1000,MATCH($A$1&amp;"|"&amp;38,Índice!$A$4:$A$1000,0)),"")</f>
        <v/>
      </c>
      <c r="J41" s="6" t="str">
        <f aca="false">IFERROR(INDEX(Catálogo!J$4:J$1000,MATCH($A$1&amp;"|"&amp;38,Índice!$A$4:$A$1000,0)),"")</f>
        <v/>
      </c>
      <c r="K41" s="6" t="str">
        <f aca="false">IFERROR(INDEX(Catálogo!K$4:K$1000,MATCH($A$1&amp;"|"&amp;38,Índice!$A$4:$A$1000,0)),"")</f>
        <v/>
      </c>
      <c r="L41" s="6" t="str">
        <f aca="false">IFERROR(INDEX(Catálogo!L$4:L$1000,MATCH($A$1&amp;"|"&amp;38,Índice!$A$4:$A$1000,0)),"")</f>
        <v/>
      </c>
      <c r="M41" s="7" t="str">
        <f aca="false">IFERROR(INDEX(Catálogo!M$4:M$1000,MATCH($A$1&amp;"|"&amp;38,Índice!$A$4:$A$1000,0)),"")</f>
        <v/>
      </c>
    </row>
    <row r="42" customFormat="false" ht="42" hidden="false" customHeight="true" outlineLevel="0" collapsed="false">
      <c r="A42" s="5" t="str">
        <f aca="false">IFERROR(INDEX(Catálogo!A$4:A$1000,MATCH($A$1&amp;"|"&amp;39,Índice!$A$4:$A$1000,0)),"")</f>
        <v/>
      </c>
      <c r="B42" s="6" t="str">
        <f aca="false">IFERROR(INDEX(Catálogo!B$4:B$1000,MATCH($A$1&amp;"|"&amp;39,Índice!$A$4:$A$1000,0)),"")</f>
        <v/>
      </c>
      <c r="C42" s="6" t="str">
        <f aca="false">IFERROR(INDEX(Catálogo!C$4:C$1000,MATCH($A$1&amp;"|"&amp;39,Índice!$A$4:$A$1000,0)),"")</f>
        <v/>
      </c>
      <c r="D42" s="6" t="str">
        <f aca="false">IFERROR(INDEX(Catálogo!D$4:D$1000,MATCH($A$1&amp;"|"&amp;39,Índice!$A$4:$A$1000,0)),"")</f>
        <v/>
      </c>
      <c r="E42" s="6" t="str">
        <f aca="false">IFERROR(INDEX(Catálogo!E$4:E$1000,MATCH($A$1&amp;"|"&amp;39,Índice!$A$4:$A$1000,0)),"")</f>
        <v/>
      </c>
      <c r="F42" s="5" t="str">
        <f aca="false">IFERROR(INDEX(Catálogo!F$4:F$1000,MATCH($A$1&amp;"|"&amp;39,Índice!$A$4:$A$1000,0)),"")</f>
        <v/>
      </c>
      <c r="G42" s="5" t="str">
        <f aca="false">IFERROR(INDEX(Catálogo!G$4:G$1000,MATCH($A$1&amp;"|"&amp;39,Índice!$A$4:$A$1000,0)),"")</f>
        <v/>
      </c>
      <c r="H42" s="5" t="str">
        <f aca="false">IFERROR(INDEX(Catálogo!H$4:H$1000,MATCH($A$1&amp;"|"&amp;39,Índice!$A$4:$A$1000,0)),"")</f>
        <v/>
      </c>
      <c r="I42" s="6" t="str">
        <f aca="false">IFERROR(INDEX(Catálogo!I$4:I$1000,MATCH($A$1&amp;"|"&amp;39,Índice!$A$4:$A$1000,0)),"")</f>
        <v/>
      </c>
      <c r="J42" s="6" t="str">
        <f aca="false">IFERROR(INDEX(Catálogo!J$4:J$1000,MATCH($A$1&amp;"|"&amp;39,Índice!$A$4:$A$1000,0)),"")</f>
        <v/>
      </c>
      <c r="K42" s="6" t="str">
        <f aca="false">IFERROR(INDEX(Catálogo!K$4:K$1000,MATCH($A$1&amp;"|"&amp;39,Índice!$A$4:$A$1000,0)),"")</f>
        <v/>
      </c>
      <c r="L42" s="6" t="str">
        <f aca="false">IFERROR(INDEX(Catálogo!L$4:L$1000,MATCH($A$1&amp;"|"&amp;39,Índice!$A$4:$A$1000,0)),"")</f>
        <v/>
      </c>
      <c r="M42" s="7" t="str">
        <f aca="false">IFERROR(INDEX(Catálogo!M$4:M$1000,MATCH($A$1&amp;"|"&amp;39,Índice!$A$4:$A$1000,0)),"")</f>
        <v/>
      </c>
    </row>
  </sheetData>
  <autoFilter ref="A3:M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162</v>
      </c>
      <c r="I1" s="17" t="str">
        <f aca="false">COUNTIF(Catálogo!$C$4:$C$1000,$A$1)&amp;IF(COUNTIF(Catálogo!$C$4:$C$1000,$A$1)=1," instrumento nesta área"," instrumentos nesta área")</f>
        <v>10 instrumentos nesta área</v>
      </c>
    </row>
    <row r="2" customFormat="false" ht="15" hidden="false" customHeight="true" outlineLevel="0" collapsed="false">
      <c r="A2" s="18" t="s">
        <v>1488</v>
      </c>
      <c r="I2" s="19" t="str">
        <f aca="false">IF(COUNTIF(Catálogo!$C$4:$C$1000,$A$1)&gt;18,"⚠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22</v>
      </c>
      <c r="B4" s="6" t="str">
        <f aca="false">IFERROR(INDEX(Catálogo!B$4:B$1000,MATCH($A$1&amp;"|"&amp;1,Índice!$A$4:$A$1000,0)),"")</f>
        <v>BSI — Inventário de Sintomas Psicopatológicos</v>
      </c>
      <c r="C4" s="6" t="str">
        <f aca="false">IFERROR(INDEX(Catálogo!C$4:C$1000,MATCH($A$1&amp;"|"&amp;1,Índice!$A$4:$A$1000,0)),"")</f>
        <v>Risco, Autolesão &amp; Psicopatologia Geral</v>
      </c>
      <c r="D4" s="6" t="str">
        <f aca="false">IFERROR(INDEX(Catálogo!D$4:D$1000,MATCH($A$1&amp;"|"&amp;1,Índice!$A$4:$A$1000,0)),"")</f>
        <v>Próprio/a, Familiar, Técnico/a</v>
      </c>
      <c r="E4" s="6" t="str">
        <f aca="false">IFERROR(INDEX(Catálogo!E$4:E$1000,MATCH($A$1&amp;"|"&amp;1,Índice!$A$4:$A$1000,0)),"")</f>
        <v>≥ 13 anos</v>
      </c>
      <c r="F4" s="5" t="n">
        <f aca="false">IFERROR(INDEX(Catálogo!F$4:F$1000,MATCH($A$1&amp;"|"&amp;1,Índice!$A$4:$A$1000,0)),"")</f>
        <v>1.1</v>
      </c>
      <c r="G4" s="5" t="n">
        <f aca="false">IFERROR(INDEX(Catálogo!G$4:G$1000,MATCH($A$1&amp;"|"&amp;1,Índice!$A$4:$A$1000,0)),"")</f>
        <v>99</v>
      </c>
      <c r="H4" s="5" t="n">
        <f aca="false">IFERROR(INDEX(Catálogo!H$4:H$1000,MATCH($A$1&amp;"|"&amp;1,Índice!$A$4:$A$1000,0)),"")</f>
        <v>12</v>
      </c>
      <c r="I4" s="6" t="str">
        <f aca="false">IFERROR(INDEX(Catálogo!I$4:I$1000,MATCH($A$1&amp;"|"&amp;1,Índice!$A$4:$A$1000,0)),"")</f>
        <v>Rastreio de sintomatologia psicopatológica em 9 dimensões e 3 índices globais (Derogatis 1982; Canavarro 1999)</v>
      </c>
      <c r="J4" s="6" t="str">
        <f aca="false">IFERROR(INDEX(Catálogo!J$4:J$1000,MATCH($A$1&amp;"|"&amp;1,Índice!$A$4:$A$1000,0)),"")</f>
        <v>Somatização; Obsessões-Compulsões; Sensibilidade Interpessoal; Depressão; Ansiedade; Hostilidade; Ansiedade Fóbica; Ideação Paranóide; Psicoticismo; Índice Geral de Sintomas (IGS); Total de Sintomas Positivos (TSP); Índice de Sintomas Positivos (ISP)</v>
      </c>
      <c r="K4" s="6" t="str">
        <f aca="false">IFERROR(INDEX(Catálogo!K$4:K$1000,MATCH($A$1&amp;"|"&amp;1,Índice!$A$4:$A$1000,0)),"")</f>
        <v>bsi</v>
      </c>
      <c r="L4" s="6" t="str">
        <f aca="false">IFERROR(INDEX(Catálogo!L$4:L$1000,MATCH($A$1&amp;"|"&amp;1,Índice!$A$4:$A$1000,0)),"")</f>
        <v>q_bsi</v>
      </c>
      <c r="M4" s="7" t="str">
        <f aca="false">IFERROR(INDEX(Catálogo!M$4:M$1000,MATCH($A$1&amp;"|"&amp;1,Índice!$A$4:$A$1000,0)),"")</f>
        <v>https://correiaricardina-ui.github.io/questionarios/BSI_v1.html</v>
      </c>
    </row>
    <row r="5" customFormat="false" ht="42" hidden="false" customHeight="true" outlineLevel="0" collapsed="false">
      <c r="A5" s="5" t="n">
        <f aca="false">IFERROR(INDEX(Catálogo!A$4:A$1000,MATCH($A$1&amp;"|"&amp;2,Índice!$A$4:$A$1000,0)),"")</f>
        <v>47</v>
      </c>
      <c r="B5" s="6" t="str">
        <f aca="false">IFERROR(INDEX(Catálogo!B$4:B$1000,MATCH($A$1&amp;"|"&amp;2,Índice!$A$4:$A$1000,0)),"")</f>
        <v>C-SSRS — Columbia-Suicide Severity Rating Scale</v>
      </c>
      <c r="C5" s="6" t="str">
        <f aca="false">IFERROR(INDEX(Catálogo!C$4:C$1000,MATCH($A$1&amp;"|"&amp;2,Índice!$A$4:$A$1000,0)),"")</f>
        <v>Risco, Autolesão &amp; Psicopatologia Geral</v>
      </c>
      <c r="D5" s="6" t="str">
        <f aca="false">IFERROR(INDEX(Catálogo!D$4:D$1000,MATCH($A$1&amp;"|"&amp;2,Índice!$A$4:$A$1000,0)),"")</f>
        <v>Clínico</v>
      </c>
      <c r="E5" s="6" t="str">
        <f aca="false">IFERROR(INDEX(Catálogo!E$4:E$1000,MATCH($A$1&amp;"|"&amp;2,Índice!$A$4:$A$1000,0)),"")</f>
        <v>Crianças / Adolescentes / Adultos</v>
      </c>
      <c r="F5" s="5" t="n">
        <f aca="false">IFERROR(INDEX(Catálogo!F$4:F$1000,MATCH($A$1&amp;"|"&amp;2,Índice!$A$4:$A$1000,0)),"")</f>
        <v>0</v>
      </c>
      <c r="G5" s="5" t="n">
        <f aca="false">IFERROR(INDEX(Catálogo!G$4:G$1000,MATCH($A$1&amp;"|"&amp;2,Índice!$A$4:$A$1000,0)),"")</f>
        <v>99</v>
      </c>
      <c r="H5" s="5" t="n">
        <f aca="false">IFERROR(INDEX(Catálogo!H$4:H$1000,MATCH($A$1&amp;"|"&amp;2,Índice!$A$4:$A$1000,0)),"")</f>
        <v>6</v>
      </c>
      <c r="I5" s="6" t="str">
        <f aca="false">IFERROR(INDEX(Catálogo!I$4:I$1000,MATCH($A$1&amp;"|"&amp;2,Índice!$A$4:$A$1000,0)),"")</f>
        <v>Avaliação clínica estruturada de ideação e comportamentos suicidas (Posner et al. 2008) — versões Crianças e Adolescentes/JA</v>
      </c>
      <c r="J5" s="6" t="str">
        <f aca="false">IFERROR(INDEX(Catálogo!J$4:J$1000,MATCH($A$1&amp;"|"&amp;2,Índice!$A$4:$A$1000,0)),"")</f>
        <v>Ideação (Tipo 1–5); Tentativa Real; Tentativa Interrompida; Tentativa Abortada; Actos Preparatórios; Nível de Risco</v>
      </c>
      <c r="K5" s="6" t="str">
        <f aca="false">IFERROR(INDEX(Catálogo!K$4:K$1000,MATCH($A$1&amp;"|"&amp;2,Índice!$A$4:$A$1000,0)),"")</f>
        <v>cssrs</v>
      </c>
      <c r="L5" s="6" t="str">
        <f aca="false">IFERROR(INDEX(Catálogo!L$4:L$1000,MATCH($A$1&amp;"|"&amp;2,Índice!$A$4:$A$1000,0)),"")</f>
        <v>q_cssrs</v>
      </c>
      <c r="M5" s="7" t="str">
        <f aca="false">IFERROR(INDEX(Catálogo!M$4:M$1000,MATCH($A$1&amp;"|"&amp;2,Índice!$A$4:$A$1000,0)),"")</f>
        <v>https://correiaricardina-ui.github.io/questionarios/CSSRS_v1.html</v>
      </c>
    </row>
    <row r="6" customFormat="false" ht="42" hidden="false" customHeight="true" outlineLevel="0" collapsed="false">
      <c r="A6" s="5" t="n">
        <f aca="false">IFERROR(INDEX(Catálogo!A$4:A$1000,MATCH($A$1&amp;"|"&amp;3,Índice!$A$4:$A$1000,0)),"")</f>
        <v>48</v>
      </c>
      <c r="B6" s="6" t="str">
        <f aca="false">IFERROR(INDEX(Catálogo!B$4:B$1000,MATCH($A$1&amp;"|"&amp;3,Índice!$A$4:$A$1000,0)),"")</f>
        <v>C-SSRS-A — Risco Suicidário (Adolescente)</v>
      </c>
      <c r="C6" s="6" t="str">
        <f aca="false">IFERROR(INDEX(Catálogo!C$4:C$1000,MATCH($A$1&amp;"|"&amp;3,Índice!$A$4:$A$1000,0)),"")</f>
        <v>Risco, Autolesão &amp; Psicopatologia Geral</v>
      </c>
      <c r="D6" s="6" t="str">
        <f aca="false">IFERROR(INDEX(Catálogo!D$4:D$1000,MATCH($A$1&amp;"|"&amp;3,Índice!$A$4:$A$1000,0)),"")</f>
        <v>Paciente</v>
      </c>
      <c r="E6" s="6" t="str">
        <f aca="false">IFERROR(INDEX(Catálogo!E$4:E$1000,MATCH($A$1&amp;"|"&amp;3,Índice!$A$4:$A$1000,0)),"")</f>
        <v>12–18 anos</v>
      </c>
      <c r="F6" s="5" t="n">
        <f aca="false">IFERROR(INDEX(Catálogo!F$4:F$1000,MATCH($A$1&amp;"|"&amp;3,Índice!$A$4:$A$1000,0)),"")</f>
        <v>12</v>
      </c>
      <c r="G6" s="5" t="n">
        <f aca="false">IFERROR(INDEX(Catálogo!G$4:G$1000,MATCH($A$1&amp;"|"&amp;3,Índice!$A$4:$A$1000,0)),"")</f>
        <v>17.9</v>
      </c>
      <c r="H6" s="5" t="n">
        <f aca="false">IFERROR(INDEX(Catálogo!H$4:H$1000,MATCH($A$1&amp;"|"&amp;3,Índice!$A$4:$A$1000,0)),"")</f>
        <v>5</v>
      </c>
      <c r="I6" s="6" t="str">
        <f aca="false">IFERROR(INDEX(Catálogo!I$4:I$1000,MATCH($A$1&amp;"|"&amp;3,Índice!$A$4:$A$1000,0)),"")</f>
        <v>Avaliação dimensional do risco suicidário em adolescentes (Ricardina Correia, 2026 · construção original PT-PT inspirada em Posner et al., 2011). Auto-administrada com supervisão clínica · SÓ Autoavaliação (sem heteroavaliação). 17 itens × 2 janelas (Vida + Últimos 3 meses). Bloco A (ideação) níveis ordinais 1-5; Bloco B (intensidade) 5 itens escala 1-5 (soma 5-25, cortes Baixa 5-10/Média 11-17/Alta 18-25); Bloco C (comportamento) Sim/Não; Bloco D (letalidade) 0-5. Classificação hierárquica: Mínimo → Baixo → Moderado → Elevado → Crítico. Não substitui juízo clínico nem versão validada para uso normativo.</v>
      </c>
      <c r="J6" s="6" t="str">
        <f aca="false">IFERROR(INDEX(Catálogo!J$4:J$1000,MATCH($A$1&amp;"|"&amp;3,Índice!$A$4:$A$1000,0)),"")</f>
        <v>Ideação (Bloco A); Intensidade (Bloco B); Comportamento (Bloco C); Letalidade (Bloco D); Classificação (3 meses + Vida)</v>
      </c>
      <c r="K6" s="6" t="str">
        <f aca="false">IFERROR(INDEX(Catálogo!K$4:K$1000,MATCH($A$1&amp;"|"&amp;3,Índice!$A$4:$A$1000,0)),"")</f>
        <v>c_ssrs_a</v>
      </c>
      <c r="L6" s="6" t="str">
        <f aca="false">IFERROR(INDEX(Catálogo!L$4:L$1000,MATCH($A$1&amp;"|"&amp;3,Índice!$A$4:$A$1000,0)),"")</f>
        <v>q_c_ssrs_a</v>
      </c>
      <c r="M6" s="7" t="str">
        <f aca="false">IFERROR(INDEX(Catálogo!M$4:M$1000,MATCH($A$1&amp;"|"&amp;3,Índice!$A$4:$A$1000,0)),"")</f>
        <v>https://correiaricardina-ui.github.io/questionarios/C-SSRS-A_Adolescente_v1.html</v>
      </c>
    </row>
    <row r="7" customFormat="false" ht="42" hidden="false" customHeight="true" outlineLevel="0" collapsed="false">
      <c r="A7" s="5" t="n">
        <f aca="false">IFERROR(INDEX(Catálogo!A$4:A$1000,MATCH($A$1&amp;"|"&amp;4,Índice!$A$4:$A$1000,0)),"")</f>
        <v>49</v>
      </c>
      <c r="B7" s="6" t="str">
        <f aca="false">IFERROR(INDEX(Catálogo!B$4:B$1000,MATCH($A$1&amp;"|"&amp;4,Índice!$A$4:$A$1000,0)),"")</f>
        <v>C-SSRS-DC — Risco Suicidário (Défice Cognitivo)</v>
      </c>
      <c r="C7" s="6" t="str">
        <f aca="false">IFERROR(INDEX(Catálogo!C$4:C$1000,MATCH($A$1&amp;"|"&amp;4,Índice!$A$4:$A$1000,0)),"")</f>
        <v>Risco, Autolesão &amp; Psicopatologia Geral</v>
      </c>
      <c r="D7" s="6" t="str">
        <f aca="false">IFERROR(INDEX(Catálogo!D$4:D$1000,MATCH($A$1&amp;"|"&amp;4,Índice!$A$4:$A$1000,0)),"")</f>
        <v>Aplicador clínico</v>
      </c>
      <c r="E7" s="6" t="str">
        <f aca="false">IFERROR(INDEX(Catálogo!E$4:E$1000,MATCH($A$1&amp;"|"&amp;4,Índice!$A$4:$A$1000,0)),"")</f>
        <v>Qualquer idade</v>
      </c>
      <c r="F7" s="5" t="n">
        <f aca="false">IFERROR(INDEX(Catálogo!F$4:F$1000,MATCH($A$1&amp;"|"&amp;4,Índice!$A$4:$A$1000,0)),"")</f>
        <v>0</v>
      </c>
      <c r="G7" s="5" t="n">
        <f aca="false">IFERROR(INDEX(Catálogo!G$4:G$1000,MATCH($A$1&amp;"|"&amp;4,Índice!$A$4:$A$1000,0)),"")</f>
        <v>100</v>
      </c>
      <c r="H7" s="5" t="n">
        <f aca="false">IFERROR(INDEX(Catálogo!H$4:H$1000,MATCH($A$1&amp;"|"&amp;4,Índice!$A$4:$A$1000,0)),"")</f>
        <v>5</v>
      </c>
      <c r="I7" s="6" t="str">
        <f aca="false">IFERROR(INDEX(Catálogo!I$4:I$1000,MATCH($A$1&amp;"|"&amp;4,Índice!$A$4:$A$1000,0)),"")</f>
        <v>Avaliação dimensional do risco suicidário em pessoas com limitação de auto-relato (perturbação do neurodesenvolvimento, demência, lesão cerebral, dificuldade comunicacional). Ricardina Correia (2026) · construção original PT-PT inspirada em Posner et al. (2011). Aplicação por entrevistador com suportes visuais (pictogramas, escala visual de intensidade), linguagem simplificada. Auto + Heteroavaliação por cuidador habitual (heteroavaliação preponderante quando auto-relato não fiável). INOVAÇÃO: Bloco A inclui opção "Não compreende" (regista indeterminação clínica formal — não conta como Sim nem como Não). Bloco B REDUZIDO a 3 itens (Frequência, Controlabilidade, Razões para viver) escala 0-2, soma 0-6 (cortes Baixa 0-2/Média 3-4/Alta 5-6). Classificação hierárquica: Mínimo → Baixo → Moderado → Elevado → Crítico.</v>
      </c>
      <c r="J7" s="6" t="str">
        <f aca="false">IFERROR(INDEX(Catálogo!J$4:J$1000,MATCH($A$1&amp;"|"&amp;4,Índice!$A$4:$A$1000,0)),"")</f>
        <v>Ideação (Bloco A, c/ "Não compreende"); Intensidade (Bloco B, 3 itens); Comportamento (Bloco C); Letalidade (Bloco D); Classificação integrada Auto+Hetero</v>
      </c>
      <c r="K7" s="6" t="str">
        <f aca="false">IFERROR(INDEX(Catálogo!K$4:K$1000,MATCH($A$1&amp;"|"&amp;4,Índice!$A$4:$A$1000,0)),"")</f>
        <v>c_ssrs_dc</v>
      </c>
      <c r="L7" s="6" t="str">
        <f aca="false">IFERROR(INDEX(Catálogo!L$4:L$1000,MATCH($A$1&amp;"|"&amp;4,Índice!$A$4:$A$1000,0)),"")</f>
        <v>q_c_ssrs_dc</v>
      </c>
      <c r="M7" s="7" t="str">
        <f aca="false">IFERROR(INDEX(Catálogo!M$4:M$1000,MATCH($A$1&amp;"|"&amp;4,Índice!$A$4:$A$1000,0)),"")</f>
        <v>https://correiaricardina-ui.github.io/questionarios/C-SSRS-DC_DeficeCognitivo_v1.html</v>
      </c>
    </row>
    <row r="8" customFormat="false" ht="42" hidden="false" customHeight="true" outlineLevel="0" collapsed="false">
      <c r="A8" s="5" t="n">
        <f aca="false">IFERROR(INDEX(Catálogo!A$4:A$1000,MATCH($A$1&amp;"|"&amp;5,Índice!$A$4:$A$1000,0)),"")</f>
        <v>50</v>
      </c>
      <c r="B8" s="6" t="str">
        <f aca="false">IFERROR(INDEX(Catálogo!B$4:B$1000,MATCH($A$1&amp;"|"&amp;5,Índice!$A$4:$A$1000,0)),"")</f>
        <v>C-SSRS-P — Risco Suicidário (Pediátrica)</v>
      </c>
      <c r="C8" s="6" t="str">
        <f aca="false">IFERROR(INDEX(Catálogo!C$4:C$1000,MATCH($A$1&amp;"|"&amp;5,Índice!$A$4:$A$1000,0)),"")</f>
        <v>Risco, Autolesão &amp; Psicopatologia Geral</v>
      </c>
      <c r="D8" s="6" t="str">
        <f aca="false">IFERROR(INDEX(Catálogo!D$4:D$1000,MATCH($A$1&amp;"|"&amp;5,Índice!$A$4:$A$1000,0)),"")</f>
        <v>Aplicador clínico</v>
      </c>
      <c r="E8" s="6" t="str">
        <f aca="false">IFERROR(INDEX(Catálogo!E$4:E$1000,MATCH($A$1&amp;"|"&amp;5,Índice!$A$4:$A$1000,0)),"")</f>
        <v>6–11 anos</v>
      </c>
      <c r="F8" s="5" t="n">
        <f aca="false">IFERROR(INDEX(Catálogo!F$4:F$1000,MATCH($A$1&amp;"|"&amp;5,Índice!$A$4:$A$1000,0)),"")</f>
        <v>6</v>
      </c>
      <c r="G8" s="5" t="n">
        <f aca="false">IFERROR(INDEX(Catálogo!G$4:G$1000,MATCH($A$1&amp;"|"&amp;5,Índice!$A$4:$A$1000,0)),"")</f>
        <v>11.9</v>
      </c>
      <c r="H8" s="5" t="n">
        <f aca="false">IFERROR(INDEX(Catálogo!H$4:H$1000,MATCH($A$1&amp;"|"&amp;5,Índice!$A$4:$A$1000,0)),"")</f>
        <v>5</v>
      </c>
      <c r="I8" s="6" t="str">
        <f aca="false">IFERROR(INDEX(Catálogo!I$4:I$1000,MATCH($A$1&amp;"|"&amp;5,Índice!$A$4:$A$1000,0)),"")</f>
        <v>Avaliação dimensional do risco suicidário em crianças (Ricardina Correia, 2026 · construção original PT-PT inspirada em Posner et al., 2011). Aplicação por entrevistador clínico · 17 itens × 2 janelas (Vida + Últimos 3 meses). Autoavaliação + Heteroavaliação por cuidador (integração final pelo critério mais grave — princípio conservador). Bloco A (ideação) níveis ordinais 1-5; Bloco B (intensidade) 5 itens escala 0-2 (soma 0-10, cortes Baixa 0-3/Média 4-6/Alta 7-10); Bloco C (comportamento) Sim/Não; Bloco D (letalidade) 0-5. Classificação hierárquica: Mínimo → Baixo → Moderado → Elevado → Crítico. Não substitui juízo clínico nem versão validada para uso normativo.</v>
      </c>
      <c r="J8" s="6" t="str">
        <f aca="false">IFERROR(INDEX(Catálogo!J$4:J$1000,MATCH($A$1&amp;"|"&amp;5,Índice!$A$4:$A$1000,0)),"")</f>
        <v>Ideação (Bloco A); Intensidade (Bloco B); Comportamento (Bloco C); Letalidade (Bloco D); Classificação integrada Auto+Hetero</v>
      </c>
      <c r="K8" s="6" t="str">
        <f aca="false">IFERROR(INDEX(Catálogo!K$4:K$1000,MATCH($A$1&amp;"|"&amp;5,Índice!$A$4:$A$1000,0)),"")</f>
        <v>c_ssrs_p</v>
      </c>
      <c r="L8" s="6" t="str">
        <f aca="false">IFERROR(INDEX(Catálogo!L$4:L$1000,MATCH($A$1&amp;"|"&amp;5,Índice!$A$4:$A$1000,0)),"")</f>
        <v>q_c_ssrs_p</v>
      </c>
      <c r="M8" s="7" t="str">
        <f aca="false">IFERROR(INDEX(Catálogo!M$4:M$1000,MATCH($A$1&amp;"|"&amp;5,Índice!$A$4:$A$1000,0)),"")</f>
        <v>https://correiaricardina-ui.github.io/questionarios/C-SSRS-P_Pediatrica_v1.html</v>
      </c>
    </row>
    <row r="9" customFormat="false" ht="42" hidden="false" customHeight="true" outlineLevel="0" collapsed="false">
      <c r="A9" s="5" t="n">
        <f aca="false">IFERROR(INDEX(Catálogo!A$4:A$1000,MATCH($A$1&amp;"|"&amp;6,Índice!$A$4:$A$1000,0)),"")</f>
        <v>54</v>
      </c>
      <c r="B9" s="6" t="str">
        <f aca="false">IFERROR(INDEX(Catálogo!B$4:B$1000,MATCH($A$1&amp;"|"&amp;6,Índice!$A$4:$A$1000,0)),"")</f>
        <v>Dinâmica Exploratória de Pensamentos Intrusivos</v>
      </c>
      <c r="C9" s="6" t="str">
        <f aca="false">IFERROR(INDEX(Catálogo!C$4:C$1000,MATCH($A$1&amp;"|"&amp;6,Índice!$A$4:$A$1000,0)),"")</f>
        <v>Risco, Autolesão &amp; Psicopatologia Geral</v>
      </c>
      <c r="D9" s="6" t="str">
        <f aca="false">IFERROR(INDEX(Catálogo!D$4:D$1000,MATCH($A$1&amp;"|"&amp;6,Índice!$A$4:$A$1000,0)),"")</f>
        <v>Aplicador clínico</v>
      </c>
      <c r="E9" s="6" t="str">
        <f aca="false">IFERROR(INDEX(Catálogo!E$4:E$1000,MATCH($A$1&amp;"|"&amp;6,Índice!$A$4:$A$1000,0)),"")</f>
        <v>7–9 anos</v>
      </c>
      <c r="F9" s="5" t="n">
        <f aca="false">IFERROR(INDEX(Catálogo!F$4:F$1000,MATCH($A$1&amp;"|"&amp;6,Índice!$A$4:$A$1000,0)),"")</f>
        <v>7</v>
      </c>
      <c r="G9" s="5" t="n">
        <f aca="false">IFERROR(INDEX(Catálogo!G$4:G$1000,MATCH($A$1&amp;"|"&amp;6,Índice!$A$4:$A$1000,0)),"")</f>
        <v>9</v>
      </c>
      <c r="H9" s="5" t="n">
        <f aca="false">IFERROR(INDEX(Catálogo!H$4:H$1000,MATCH($A$1&amp;"|"&amp;6,Índice!$A$4:$A$1000,0)),"")</f>
        <v>8</v>
      </c>
      <c r="I9" s="6" t="str">
        <f aca="false">IFERROR(INDEX(Catálogo!I$4:I$1000,MATCH($A$1&amp;"|"&amp;6,Índice!$A$4:$A$1000,0)),"")</f>
        <v>Protocolo clínico semiestruturado, administrado pela clínica com a criança presente, para explorar e caracterizar pensamentos intrusivos em idade escolar. Eliciação não-sugestiva através de cartões mediadores (vinhetas de outras crianças, apresentados um por ecrã) e escalas visuais (termómetro de intensidade 0–10, escala de frequência e de controlabilidade). Mapeia 8 eixos fenomenológicos (0–3 por eixo; total 0–24 por pensamento) e classifica em 5 padrões: P1 normativo desenvolvimental, P2 intrusão ansiosa pura, P3 suspeita de POC pediátrico, P4 risco auto-agressivo/ideação suicida (override G≥2), P5 intrusão pós-traumática. Inclui rastreio de risco obrigatório (princípios da C-SSRS) e bandeiras de alarme imediato. Baseado em Rachman (1981), Salkovskis (1985), Clark &amp; Rhyno (2005), Shafran et al. (1996), White &amp; Epston (1990), Hames et al. (2012), Posner et al. (2011). Instrumento ad-hoc, não validado psicometricamente — complemento da entrevista clínica; não substitui CY-BOCS, C-SSRS ou UCLA PTSD-RI quando indicados. Gera relatório imprimível (PDF). Corre localmente na sessão, sem sincronização para o Sheet.</v>
      </c>
      <c r="J9" s="6" t="str">
        <f aca="false">IFERROR(INDEX(Catálogo!J$4:J$1000,MATCH($A$1&amp;"|"&amp;6,Índice!$A$4:$A$1000,0)),"")</f>
        <v>Egodistonia; Frequência; Controlabilidade; Significado; Neutralização; Interferência; Intencionalidade; Comunicação</v>
      </c>
      <c r="K9" s="6" t="str">
        <f aca="false">IFERROR(INDEX(Catálogo!K$4:K$1000,MATCH($A$1&amp;"|"&amp;6,Índice!$A$4:$A$1000,0)),"")</f>
        <v>depi</v>
      </c>
      <c r="L9" s="6" t="str">
        <f aca="false">IFERROR(INDEX(Catálogo!L$4:L$1000,MATCH($A$1&amp;"|"&amp;6,Índice!$A$4:$A$1000,0)),"")</f>
        <v>q_depi</v>
      </c>
      <c r="M9" s="7" t="str">
        <f aca="false">IFERROR(INDEX(Catálogo!M$4:M$1000,MATCH($A$1&amp;"|"&amp;6,Índice!$A$4:$A$1000,0)),"")</f>
        <v>https://correiaricardina-ui.github.io/questionarios/Dinamica_Pensamentos_Intrusivos_v1.html</v>
      </c>
    </row>
    <row r="10" customFormat="false" ht="42" hidden="false" customHeight="true" outlineLevel="0" collapsed="false">
      <c r="A10" s="5" t="n">
        <f aca="false">IFERROR(INDEX(Catálogo!A$4:A$1000,MATCH($A$1&amp;"|"&amp;7,Índice!$A$4:$A$1000,0)),"")</f>
        <v>77</v>
      </c>
      <c r="B10" s="6" t="str">
        <f aca="false">IFERROR(INDEX(Catálogo!B$4:B$1000,MATCH($A$1&amp;"|"&amp;7,Índice!$A$4:$A$1000,0)),"")</f>
        <v>GAI — Grelha de Automonitorização Interocetiva</v>
      </c>
      <c r="C10" s="6" t="str">
        <f aca="false">IFERROR(INDEX(Catálogo!C$4:C$1000,MATCH($A$1&amp;"|"&amp;7,Índice!$A$4:$A$1000,0)),"")</f>
        <v>Risco, Autolesão &amp; Psicopatologia Geral</v>
      </c>
      <c r="D10" s="6" t="str">
        <f aca="false">IFERROR(INDEX(Catálogo!D$4:D$1000,MATCH($A$1&amp;"|"&amp;7,Índice!$A$4:$A$1000,0)),"")</f>
        <v>Paciente (jovem, em sessão)</v>
      </c>
      <c r="E10" s="6" t="str">
        <f aca="false">IFERROR(INDEX(Catálogo!E$4:E$1000,MATCH($A$1&amp;"|"&amp;7,Índice!$A$4:$A$1000,0)),"")</f>
        <v>8–17 anos</v>
      </c>
      <c r="F10" s="5" t="n">
        <f aca="false">IFERROR(INDEX(Catálogo!F$4:F$1000,MATCH($A$1&amp;"|"&amp;7,Índice!$A$4:$A$1000,0)),"")</f>
        <v>8</v>
      </c>
      <c r="G10" s="5" t="n">
        <f aca="false">IFERROR(INDEX(Catálogo!G$4:G$1000,MATCH($A$1&amp;"|"&amp;7,Índice!$A$4:$A$1000,0)),"")</f>
        <v>17</v>
      </c>
      <c r="H10" s="5" t="n">
        <f aca="false">IFERROR(INDEX(Catálogo!H$4:H$1000,MATCH($A$1&amp;"|"&amp;7,Índice!$A$4:$A$1000,0)),"")</f>
        <v>4</v>
      </c>
      <c r="I10" s="6" t="str">
        <f aca="false">IFERROR(INDEX(Catálogo!I$4:I$1000,MATCH($A$1&amp;"|"&amp;7,Índice!$A$4:$A$1000,0)),"")</f>
        <v>Instrumento de automonitorização interocetiva, autorrelato do jovem em sessão (variante de pais prevista). Regista a perceção do próprio corpo na última semana em 7 dimensões (fome, saciedade, sono, cansaço, trânsito intestinal, temperatura, concentração), cada uma cotada por disregulação (0=regulado … 3=mais preocupante), mais um bloco de preocupação com o corpo (lanugo, queda de cabelo, sensação de frio, evitamento de roupa, perceção de magreza, inchaço) e campo de texto livre. Dois índices: Eixo Somático-Regulatório (sono+cansaço+temperatura+concentração, 0–12) e Eixo Apetitivo-Corporal (fome+saciedade+trânsito + preocupação corporal). A dissociação entre eixos (somático regulado / apetitivo-corporal elevado) é o dado clínico central, para acompanhamento longitudinal. Marcadores nutricionais (lanugo, queda de cabelo, frio) são sinalizados à equipa médica, não cotados como gravidade psicológica. Instrumento ad-hoc, não validado psicometricamente — observação, não conclusão; complementa a entrevista clínica e triangula com hetero-relato. Ricardina Correia, 2026.</v>
      </c>
      <c r="J10" s="6" t="str">
        <f aca="false">IFERROR(INDEX(Catálogo!J$4:J$1000,MATCH($A$1&amp;"|"&amp;7,Índice!$A$4:$A$1000,0)),"")</f>
        <v>Eixo Somático-Regulatório; Eixo Apetitivo-Corporal; Dimensões em alerta; Marcadores nutricionais</v>
      </c>
      <c r="K10" s="6" t="str">
        <f aca="false">IFERROR(INDEX(Catálogo!K$4:K$1000,MATCH($A$1&amp;"|"&amp;7,Índice!$A$4:$A$1000,0)),"")</f>
        <v>gai</v>
      </c>
      <c r="L10" s="6" t="str">
        <f aca="false">IFERROR(INDEX(Catálogo!L$4:L$1000,MATCH($A$1&amp;"|"&amp;7,Índice!$A$4:$A$1000,0)),"")</f>
        <v>q_gai</v>
      </c>
      <c r="M10" s="7" t="str">
        <f aca="false">IFERROR(INDEX(Catálogo!M$4:M$1000,MATCH($A$1&amp;"|"&amp;7,Índice!$A$4:$A$1000,0)),"")</f>
        <v>https://correiaricardina-ui.github.io/questionarios/GAI_Automonitorizacao_Interocetiva_v1.html</v>
      </c>
    </row>
    <row r="11" customFormat="false" ht="42" hidden="false" customHeight="true" outlineLevel="0" collapsed="false">
      <c r="A11" s="5" t="n">
        <f aca="false">IFERROR(INDEX(Catálogo!A$4:A$1000,MATCH($A$1&amp;"|"&amp;8,Índice!$A$4:$A$1000,0)),"")</f>
        <v>83</v>
      </c>
      <c r="B11" s="6" t="str">
        <f aca="false">IFERROR(INDEX(Catálogo!B$4:B$1000,MATCH($A$1&amp;"|"&amp;8,Índice!$A$4:$A$1000,0)),"")</f>
        <v>ISAS — Inventário de Afirmações sobre Autolesão</v>
      </c>
      <c r="C11" s="6" t="str">
        <f aca="false">IFERROR(INDEX(Catálogo!C$4:C$1000,MATCH($A$1&amp;"|"&amp;8,Índice!$A$4:$A$1000,0)),"")</f>
        <v>Risco, Autolesão &amp; Psicopatologia Geral</v>
      </c>
      <c r="D11" s="6" t="str">
        <f aca="false">IFERROR(INDEX(Catálogo!D$4:D$1000,MATCH($A$1&amp;"|"&amp;8,Índice!$A$4:$A$1000,0)),"")</f>
        <v>Paciente/Adolescente, Adulto</v>
      </c>
      <c r="E11" s="6" t="str">
        <f aca="false">IFERROR(INDEX(Catálogo!E$4:E$1000,MATCH($A$1&amp;"|"&amp;8,Índice!$A$4:$A$1000,0)),"")</f>
        <v>12–25 anos</v>
      </c>
      <c r="F11" s="5" t="n">
        <f aca="false">IFERROR(INDEX(Catálogo!F$4:F$1000,MATCH($A$1&amp;"|"&amp;8,Índice!$A$4:$A$1000,0)),"")</f>
        <v>12</v>
      </c>
      <c r="G11" s="5" t="n">
        <f aca="false">IFERROR(INDEX(Catálogo!G$4:G$1000,MATCH($A$1&amp;"|"&amp;8,Índice!$A$4:$A$1000,0)),"")</f>
        <v>25</v>
      </c>
      <c r="H11" s="5" t="n">
        <f aca="false">IFERROR(INDEX(Catálogo!H$4:H$1000,MATCH($A$1&amp;"|"&amp;8,Índice!$A$4:$A$1000,0)),"")</f>
        <v>8</v>
      </c>
      <c r="I11" s="6" t="str">
        <f aca="false">IFERROR(INDEX(Catálogo!I$4:I$1000,MATCH($A$1&amp;"|"&amp;8,Índice!$A$4:$A$1000,0)),"")</f>
        <v>Auto-resposta · Klonsky &amp; Glenn (2009). Caracterização de comportamentos de autolesão não suicida (Secção I — 12 comportamentos + 7 questões contextuais) e identificação funcional das 13 funções subjacentes (Secção II — 39 itens Likert 0-2 organizados em 6 funções intrapessoais e 7 interpessoais). Score por função 0-6 (Baixa 0-2 / Média 3-4 / Alta 5-6). Domínios: Intrapessoal 0-36 (Reg. afecto, Anti-dissociação, Anti-suicídio, Marcar sofrimento, Auto-punição, Endurecimento) e Interpessoal 0-42 (Autonomia, Limites interpessoais, Influência, Vinculação a pares, Vingança, Auto-cuidado, Procura de sensações). TOTAL 0-78 com bandas: Sem investimento 0 / Baixo 1-26 / Moderado 27-52 / Elevado 53-78. Perfis funcionais: Baixo investimento funcional, Intrapessoal predominante, Interpessoal predominante, Misto. Alertas críticos: Anti-suicídio ≥4 (articular com EADRS-A e pedopsiquiatria), Auto-punição ≥4 (trabalho sobre auto-conceito e auto-crítica), Influência interpessoal ≥4 (dinâmica familiar e sinalização).</v>
      </c>
      <c r="J11" s="6" t="str">
        <f aca="false">IFERROR(INDEX(Catálogo!J$4:J$1000,MATCH($A$1&amp;"|"&amp;8,Índice!$A$4:$A$1000,0)),"")</f>
        <v>Caracterização (Sec. I); 13 funções (Sec. II); Intrapessoal (0-36); Interpessoal (0-42); TOTAL (0-78); Perfil funcional; Top 3 funções; Alertas críticos (AS/AP/IN)</v>
      </c>
      <c r="K11" s="6" t="str">
        <f aca="false">IFERROR(INDEX(Catálogo!K$4:K$1000,MATCH($A$1&amp;"|"&amp;8,Índice!$A$4:$A$1000,0)),"")</f>
        <v>isas</v>
      </c>
      <c r="L11" s="6" t="str">
        <f aca="false">IFERROR(INDEX(Catálogo!L$4:L$1000,MATCH($A$1&amp;"|"&amp;8,Índice!$A$4:$A$1000,0)),"")</f>
        <v>q_isas</v>
      </c>
      <c r="M11" s="7" t="str">
        <f aca="false">IFERROR(INDEX(Catálogo!M$4:M$1000,MATCH($A$1&amp;"|"&amp;8,Índice!$A$4:$A$1000,0)),"")</f>
        <v>https://correiaricardina-ui.github.io/questionarios/ISAS_v1.html</v>
      </c>
    </row>
    <row r="12" customFormat="false" ht="42" hidden="false" customHeight="true" outlineLevel="0" collapsed="false">
      <c r="A12" s="5" t="n">
        <f aca="false">IFERROR(INDEX(Catálogo!A$4:A$1000,MATCH($A$1&amp;"|"&amp;9,Índice!$A$4:$A$1000,0)),"")</f>
        <v>100</v>
      </c>
      <c r="B12" s="6" t="str">
        <f aca="false">IFERROR(INDEX(Catálogo!B$4:B$1000,MATCH($A$1&amp;"|"&amp;9,Índice!$A$4:$A$1000,0)),"")</f>
        <v>MDQ — Mood Disorder Questionnaire</v>
      </c>
      <c r="C12" s="6" t="str">
        <f aca="false">IFERROR(INDEX(Catálogo!C$4:C$1000,MATCH($A$1&amp;"|"&amp;9,Índice!$A$4:$A$1000,0)),"")</f>
        <v>Risco, Autolesão &amp; Psicopatologia Geral</v>
      </c>
      <c r="D12" s="6" t="str">
        <f aca="false">IFERROR(INDEX(Catálogo!D$4:D$1000,MATCH($A$1&amp;"|"&amp;9,Índice!$A$4:$A$1000,0)),"")</f>
        <v>Paciente</v>
      </c>
      <c r="E12" s="6" t="str">
        <f aca="false">IFERROR(INDEX(Catálogo!E$4:E$1000,MATCH($A$1&amp;"|"&amp;9,Índice!$A$4:$A$1000,0)),"")</f>
        <v>Adultos (≥18 anos)</v>
      </c>
      <c r="F12" s="5" t="n">
        <f aca="false">IFERROR(INDEX(Catálogo!F$4:F$1000,MATCH($A$1&amp;"|"&amp;9,Índice!$A$4:$A$1000,0)),"")</f>
        <v>18</v>
      </c>
      <c r="G12" s="5" t="n">
        <f aca="false">IFERROR(INDEX(Catálogo!G$4:G$1000,MATCH($A$1&amp;"|"&amp;9,Índice!$A$4:$A$1000,0)),"")</f>
        <v>99</v>
      </c>
      <c r="H12" s="5" t="n">
        <f aca="false">IFERROR(INDEX(Catálogo!H$4:H$1000,MATCH($A$1&amp;"|"&amp;9,Índice!$A$4:$A$1000,0)),"")</f>
        <v>11</v>
      </c>
      <c r="I12" s="6" t="str">
        <f aca="false">IFERROR(INDEX(Catálogo!I$4:I$1000,MATCH($A$1&amp;"|"&amp;9,Índice!$A$4:$A$1000,0)),"")</f>
        <v>Auto-relato breve (15 itens, ~3-5 min) para rastreio de perturbações do espectro bipolar (Hirschfeld et al., 2000; validação PT-BR Gurgel et al., 2012). 13 itens de sintomas maníacos/hipomaníacos + 1 item de co-ocorrência temporal + 1 item de impacto funcional. Classificação principal em 4 níveis (Rastreio Positivo, Sintomatologia Bipolar Incompleta, Zona Subclínica, Rastreio Negativo) e 4 alertas diferenciais (TDAH adulto, Borderline/Cluster B, Características Mistas, Confounding por Substâncias). NUNCA constitui diagnóstico — instrumento de rastreio. Os domínios não são visíveis ao paciente durante o preenchimento.</v>
      </c>
      <c r="J12" s="6" t="str">
        <f aca="false">IFERROR(INDEX(Catálogo!J$4:J$1000,MATCH($A$1&amp;"|"&amp;9,Índice!$A$4:$A$1000,0)),"")</f>
        <v>Soma P1 (sintomas); Co-ocorrência (P2); Impacto funcional (P3); Activação somática; Cognição acelerada; Expansividade hedónica; Pressão comunicacional; Disforia/Irritabilidade; Desregulação comportamental; Classificação; Alertas Diferenciais</v>
      </c>
      <c r="K12" s="6" t="str">
        <f aca="false">IFERROR(INDEX(Catálogo!K$4:K$1000,MATCH($A$1&amp;"|"&amp;9,Índice!$A$4:$A$1000,0)),"")</f>
        <v>mdq</v>
      </c>
      <c r="L12" s="6" t="str">
        <f aca="false">IFERROR(INDEX(Catálogo!L$4:L$1000,MATCH($A$1&amp;"|"&amp;9,Índice!$A$4:$A$1000,0)),"")</f>
        <v>q_mdq</v>
      </c>
      <c r="M12" s="7" t="str">
        <f aca="false">IFERROR(INDEX(Catálogo!M$4:M$1000,MATCH($A$1&amp;"|"&amp;9,Índice!$A$4:$A$1000,0)),"")</f>
        <v>https://correiaricardina-ui.github.io/questionarios/MDQ_v1.html</v>
      </c>
    </row>
    <row r="13" customFormat="false" ht="42" hidden="false" customHeight="true" outlineLevel="0" collapsed="false">
      <c r="A13" s="5" t="n">
        <f aca="false">IFERROR(INDEX(Catálogo!A$4:A$1000,MATCH($A$1&amp;"|"&amp;10,Índice!$A$4:$A$1000,0)),"")</f>
        <v>159</v>
      </c>
      <c r="B13" s="6" t="str">
        <f aca="false">IFERROR(INDEX(Catálogo!B$4:B$1000,MATCH($A$1&amp;"|"&amp;10,Índice!$A$4:$A$1000,0)),"")</f>
        <v>Entrevista adaptada CAARMS — Experiências Psicóticas Atenuadas, Dissociação e Funcionamento</v>
      </c>
      <c r="C13" s="6" t="str">
        <f aca="false">IFERROR(INDEX(Catálogo!C$4:C$1000,MATCH($A$1&amp;"|"&amp;10,Índice!$A$4:$A$1000,0)),"")</f>
        <v>Risco, Autolesão &amp; Psicopatologia Geral</v>
      </c>
      <c r="D13" s="6" t="str">
        <f aca="false">IFERROR(INDEX(Catálogo!D$4:D$1000,MATCH($A$1&amp;"|"&amp;10,Índice!$A$4:$A$1000,0)),"")</f>
        <v>Psicóloga (aplicação clínica)</v>
      </c>
      <c r="E13" s="6" t="str">
        <f aca="false">IFERROR(INDEX(Catálogo!E$4:E$1000,MATCH($A$1&amp;"|"&amp;10,Índice!$A$4:$A$1000,0)),"")</f>
        <v>Adolescentes / jovens</v>
      </c>
      <c r="F13" s="5" t="n">
        <f aca="false">IFERROR(INDEX(Catálogo!F$4:F$1000,MATCH($A$1&amp;"|"&amp;10,Índice!$A$4:$A$1000,0)),"")</f>
        <v>11</v>
      </c>
      <c r="G13" s="5" t="n">
        <f aca="false">IFERROR(INDEX(Catálogo!G$4:G$1000,MATCH($A$1&amp;"|"&amp;10,Índice!$A$4:$A$1000,0)),"")</f>
        <v>99</v>
      </c>
      <c r="H13" s="5" t="n">
        <f aca="false">IFERROR(INDEX(Catálogo!H$4:H$1000,MATCH($A$1&amp;"|"&amp;10,Índice!$A$4:$A$1000,0)),"")</f>
        <v>11</v>
      </c>
      <c r="I13" s="6" t="str">
        <f aca="false">IFERROR(INDEX(Catálogo!I$4:I$1000,MATCH($A$1&amp;"|"&amp;10,Índice!$A$4:$A$1000,0)),"")</f>
        <v>Entrevista semiestruturada aplicada pela psicóloga (Avaliação Fenomenológica de Experiências Psicóticas Atenuadas, Dissociação e Funcionamento Subjetivo). Adaptação inspirada (Via B) nos domínios do CAARMS (Yung, McGorry et al., 2005), com formulação original em português europeu — NÃO constitui reprodução do CAARMS. Orientadora e descritiva, não diagnóstica: não classifica risco (UHR/APS/BLIPS). 10 domínios com cotação estruturada 0/1/2 (típico–preservado / intermédio / marcado–ausente); campos vazios cotam 0. A aplicação regista as respostas fluidas ditas pelo próprio, a cotação de cada item e observações qualitativas; o painel apresenta o perfil por domínio, o Índice Global de Alteração Dimensional (IGAD = média dos 10 índices; IGAD bruto = soma/54×100) e um painel de sinalização (11 marcadores Alto/Médio). Bandas orientadoras do IGAD: &lt;34 Mínima / 34–66 Moderada / ≥67 Elevada. Instrumento orientativo, a integrar sempre com entrevista clínica, observação e história de vida. Os domínios e a pontuação não são visíveis ao respondente.</v>
      </c>
      <c r="J13" s="6" t="str">
        <f aca="false">IFERROR(INDEX(Catálogo!J$4:J$1000,MATCH($A$1&amp;"|"&amp;10,Índice!$A$4:$A$1000,0)),"")</f>
        <v>Experiências percetivas atípicas; Pensamento, fluência e organização cognitiva; Ideias de referência, desconfiança e hipervigilância; Self, corpo e experiências dissociativas; Experiência emocional e afetividade; Funcionamento global e esforço subjetivo; Narrativa subjetiva e organização do discurso; Qualidade de contacto e presença relacional; Insight, significado e medos implícitos; Coerência interna e continuidade do self; IGAD (Índice Global de Alteração Dimensional)</v>
      </c>
      <c r="K13" s="6" t="str">
        <f aca="false">IFERROR(INDEX(Catálogo!K$4:K$1000,MATCH($A$1&amp;"|"&amp;10,Índice!$A$4:$A$1000,0)),"")</f>
        <v>caarms_adap</v>
      </c>
      <c r="L13" s="6" t="str">
        <f aca="false">IFERROR(INDEX(Catálogo!L$4:L$1000,MATCH($A$1&amp;"|"&amp;10,Índice!$A$4:$A$1000,0)),"")</f>
        <v>q_caarms_adap</v>
      </c>
      <c r="M13" s="7" t="str">
        <f aca="false">IFERROR(INDEX(Catálogo!M$4:M$1000,MATCH($A$1&amp;"|"&amp;10,Índice!$A$4:$A$1000,0)),"")</f>
        <v>https://correiaricardina-ui.github.io/questionarios/Entrevista_CAARMS_adap.html</v>
      </c>
    </row>
    <row r="14" customFormat="false" ht="42" hidden="false" customHeight="true" outlineLevel="0" collapsed="false">
      <c r="A14" s="5" t="str">
        <f aca="false">IFERROR(INDEX(Catálogo!A$4:A$1000,MATCH($A$1&amp;"|"&amp;11,Índice!$A$4:$A$1000,0)),"")</f>
        <v/>
      </c>
      <c r="B14" s="6" t="str">
        <f aca="false">IFERROR(INDEX(Catálogo!B$4:B$1000,MATCH($A$1&amp;"|"&amp;11,Índice!$A$4:$A$1000,0)),"")</f>
        <v/>
      </c>
      <c r="C14" s="6" t="str">
        <f aca="false">IFERROR(INDEX(Catálogo!C$4:C$1000,MATCH($A$1&amp;"|"&amp;11,Índice!$A$4:$A$1000,0)),"")</f>
        <v/>
      </c>
      <c r="D14" s="6" t="str">
        <f aca="false">IFERROR(INDEX(Catálogo!D$4:D$1000,MATCH($A$1&amp;"|"&amp;11,Índice!$A$4:$A$1000,0)),"")</f>
        <v/>
      </c>
      <c r="E14" s="6" t="str">
        <f aca="false">IFERROR(INDEX(Catálogo!E$4:E$1000,MATCH($A$1&amp;"|"&amp;11,Índice!$A$4:$A$1000,0)),"")</f>
        <v/>
      </c>
      <c r="F14" s="5" t="str">
        <f aca="false">IFERROR(INDEX(Catálogo!F$4:F$1000,MATCH($A$1&amp;"|"&amp;11,Índice!$A$4:$A$1000,0)),"")</f>
        <v/>
      </c>
      <c r="G14" s="5" t="str">
        <f aca="false">IFERROR(INDEX(Catálogo!G$4:G$1000,MATCH($A$1&amp;"|"&amp;11,Índice!$A$4:$A$1000,0)),"")</f>
        <v/>
      </c>
      <c r="H14" s="5" t="str">
        <f aca="false">IFERROR(INDEX(Catálogo!H$4:H$1000,MATCH($A$1&amp;"|"&amp;11,Índice!$A$4:$A$1000,0)),"")</f>
        <v/>
      </c>
      <c r="I14" s="6" t="str">
        <f aca="false">IFERROR(INDEX(Catálogo!I$4:I$1000,MATCH($A$1&amp;"|"&amp;11,Índice!$A$4:$A$1000,0)),"")</f>
        <v/>
      </c>
      <c r="J14" s="6" t="str">
        <f aca="false">IFERROR(INDEX(Catálogo!J$4:J$1000,MATCH($A$1&amp;"|"&amp;11,Índice!$A$4:$A$1000,0)),"")</f>
        <v/>
      </c>
      <c r="K14" s="6" t="str">
        <f aca="false">IFERROR(INDEX(Catálogo!K$4:K$1000,MATCH($A$1&amp;"|"&amp;11,Índice!$A$4:$A$1000,0)),"")</f>
        <v/>
      </c>
      <c r="L14" s="6" t="str">
        <f aca="false">IFERROR(INDEX(Catálogo!L$4:L$1000,MATCH($A$1&amp;"|"&amp;11,Índice!$A$4:$A$1000,0)),"")</f>
        <v/>
      </c>
      <c r="M14" s="7" t="str">
        <f aca="false">IFERROR(INDEX(Catálogo!M$4:M$1000,MATCH($A$1&amp;"|"&amp;11,Índice!$A$4:$A$1000,0)),"")</f>
        <v/>
      </c>
    </row>
    <row r="15" customFormat="false" ht="42" hidden="false" customHeight="true" outlineLevel="0" collapsed="false">
      <c r="A15" s="5" t="str">
        <f aca="false">IFERROR(INDEX(Catálogo!A$4:A$1000,MATCH($A$1&amp;"|"&amp;12,Índice!$A$4:$A$1000,0)),"")</f>
        <v/>
      </c>
      <c r="B15" s="6" t="str">
        <f aca="false">IFERROR(INDEX(Catálogo!B$4:B$1000,MATCH($A$1&amp;"|"&amp;12,Índice!$A$4:$A$1000,0)),"")</f>
        <v/>
      </c>
      <c r="C15" s="6" t="str">
        <f aca="false">IFERROR(INDEX(Catálogo!C$4:C$1000,MATCH($A$1&amp;"|"&amp;12,Índice!$A$4:$A$1000,0)),"")</f>
        <v/>
      </c>
      <c r="D15" s="6" t="str">
        <f aca="false">IFERROR(INDEX(Catálogo!D$4:D$1000,MATCH($A$1&amp;"|"&amp;12,Índice!$A$4:$A$1000,0)),"")</f>
        <v/>
      </c>
      <c r="E15" s="6" t="str">
        <f aca="false">IFERROR(INDEX(Catálogo!E$4:E$1000,MATCH($A$1&amp;"|"&amp;12,Índice!$A$4:$A$1000,0)),"")</f>
        <v/>
      </c>
      <c r="F15" s="5" t="str">
        <f aca="false">IFERROR(INDEX(Catálogo!F$4:F$1000,MATCH($A$1&amp;"|"&amp;12,Índice!$A$4:$A$1000,0)),"")</f>
        <v/>
      </c>
      <c r="G15" s="5" t="str">
        <f aca="false">IFERROR(INDEX(Catálogo!G$4:G$1000,MATCH($A$1&amp;"|"&amp;12,Índice!$A$4:$A$1000,0)),"")</f>
        <v/>
      </c>
      <c r="H15" s="5" t="str">
        <f aca="false">IFERROR(INDEX(Catálogo!H$4:H$1000,MATCH($A$1&amp;"|"&amp;12,Índice!$A$4:$A$1000,0)),"")</f>
        <v/>
      </c>
      <c r="I15" s="6" t="str">
        <f aca="false">IFERROR(INDEX(Catálogo!I$4:I$1000,MATCH($A$1&amp;"|"&amp;12,Índice!$A$4:$A$1000,0)),"")</f>
        <v/>
      </c>
      <c r="J15" s="6" t="str">
        <f aca="false">IFERROR(INDEX(Catálogo!J$4:J$1000,MATCH($A$1&amp;"|"&amp;12,Índice!$A$4:$A$1000,0)),"")</f>
        <v/>
      </c>
      <c r="K15" s="6" t="str">
        <f aca="false">IFERROR(INDEX(Catálogo!K$4:K$1000,MATCH($A$1&amp;"|"&amp;12,Índice!$A$4:$A$1000,0)),"")</f>
        <v/>
      </c>
      <c r="L15" s="6" t="str">
        <f aca="false">IFERROR(INDEX(Catálogo!L$4:L$1000,MATCH($A$1&amp;"|"&amp;12,Índice!$A$4:$A$1000,0)),"")</f>
        <v/>
      </c>
      <c r="M15" s="7" t="str">
        <f aca="false">IFERROR(INDEX(Catálogo!M$4:M$1000,MATCH($A$1&amp;"|"&amp;12,Índice!$A$4:$A$1000,0)),"")</f>
        <v/>
      </c>
    </row>
    <row r="16" customFormat="false" ht="42" hidden="false" customHeight="true" outlineLevel="0" collapsed="false">
      <c r="A16" s="5" t="str">
        <f aca="false">IFERROR(INDEX(Catálogo!A$4:A$1000,MATCH($A$1&amp;"|"&amp;13,Índice!$A$4:$A$1000,0)),"")</f>
        <v/>
      </c>
      <c r="B16" s="6" t="str">
        <f aca="false">IFERROR(INDEX(Catálogo!B$4:B$1000,MATCH($A$1&amp;"|"&amp;13,Índice!$A$4:$A$1000,0)),"")</f>
        <v/>
      </c>
      <c r="C16" s="6" t="str">
        <f aca="false">IFERROR(INDEX(Catálogo!C$4:C$1000,MATCH($A$1&amp;"|"&amp;13,Índice!$A$4:$A$1000,0)),"")</f>
        <v/>
      </c>
      <c r="D16" s="6" t="str">
        <f aca="false">IFERROR(INDEX(Catálogo!D$4:D$1000,MATCH($A$1&amp;"|"&amp;13,Índice!$A$4:$A$1000,0)),"")</f>
        <v/>
      </c>
      <c r="E16" s="6" t="str">
        <f aca="false">IFERROR(INDEX(Catálogo!E$4:E$1000,MATCH($A$1&amp;"|"&amp;13,Índice!$A$4:$A$1000,0)),"")</f>
        <v/>
      </c>
      <c r="F16" s="5" t="str">
        <f aca="false">IFERROR(INDEX(Catálogo!F$4:F$1000,MATCH($A$1&amp;"|"&amp;13,Índice!$A$4:$A$1000,0)),"")</f>
        <v/>
      </c>
      <c r="G16" s="5" t="str">
        <f aca="false">IFERROR(INDEX(Catálogo!G$4:G$1000,MATCH($A$1&amp;"|"&amp;13,Índice!$A$4:$A$1000,0)),"")</f>
        <v/>
      </c>
      <c r="H16" s="5" t="str">
        <f aca="false">IFERROR(INDEX(Catálogo!H$4:H$1000,MATCH($A$1&amp;"|"&amp;13,Índice!$A$4:$A$1000,0)),"")</f>
        <v/>
      </c>
      <c r="I16" s="6" t="str">
        <f aca="false">IFERROR(INDEX(Catálogo!I$4:I$1000,MATCH($A$1&amp;"|"&amp;13,Índice!$A$4:$A$1000,0)),"")</f>
        <v/>
      </c>
      <c r="J16" s="6" t="str">
        <f aca="false">IFERROR(INDEX(Catálogo!J$4:J$1000,MATCH($A$1&amp;"|"&amp;13,Índice!$A$4:$A$1000,0)),"")</f>
        <v/>
      </c>
      <c r="K16" s="6" t="str">
        <f aca="false">IFERROR(INDEX(Catálogo!K$4:K$1000,MATCH($A$1&amp;"|"&amp;13,Índice!$A$4:$A$1000,0)),"")</f>
        <v/>
      </c>
      <c r="L16" s="6" t="str">
        <f aca="false">IFERROR(INDEX(Catálogo!L$4:L$1000,MATCH($A$1&amp;"|"&amp;13,Índice!$A$4:$A$1000,0)),"")</f>
        <v/>
      </c>
      <c r="M16" s="7" t="str">
        <f aca="false">IFERROR(INDEX(Catálogo!M$4:M$1000,MATCH($A$1&amp;"|"&amp;13,Índice!$A$4:$A$1000,0)),"")</f>
        <v/>
      </c>
    </row>
    <row r="17" customFormat="false" ht="42" hidden="false" customHeight="true" outlineLevel="0" collapsed="false">
      <c r="A17" s="5" t="str">
        <f aca="false">IFERROR(INDEX(Catálogo!A$4:A$1000,MATCH($A$1&amp;"|"&amp;14,Índice!$A$4:$A$1000,0)),"")</f>
        <v/>
      </c>
      <c r="B17" s="6" t="str">
        <f aca="false">IFERROR(INDEX(Catálogo!B$4:B$1000,MATCH($A$1&amp;"|"&amp;14,Índice!$A$4:$A$1000,0)),"")</f>
        <v/>
      </c>
      <c r="C17" s="6" t="str">
        <f aca="false">IFERROR(INDEX(Catálogo!C$4:C$1000,MATCH($A$1&amp;"|"&amp;14,Índice!$A$4:$A$1000,0)),"")</f>
        <v/>
      </c>
      <c r="D17" s="6" t="str">
        <f aca="false">IFERROR(INDEX(Catálogo!D$4:D$1000,MATCH($A$1&amp;"|"&amp;14,Índice!$A$4:$A$1000,0)),"")</f>
        <v/>
      </c>
      <c r="E17" s="6" t="str">
        <f aca="false">IFERROR(INDEX(Catálogo!E$4:E$1000,MATCH($A$1&amp;"|"&amp;14,Índice!$A$4:$A$1000,0)),"")</f>
        <v/>
      </c>
      <c r="F17" s="5" t="str">
        <f aca="false">IFERROR(INDEX(Catálogo!F$4:F$1000,MATCH($A$1&amp;"|"&amp;14,Índice!$A$4:$A$1000,0)),"")</f>
        <v/>
      </c>
      <c r="G17" s="5" t="str">
        <f aca="false">IFERROR(INDEX(Catálogo!G$4:G$1000,MATCH($A$1&amp;"|"&amp;14,Índice!$A$4:$A$1000,0)),"")</f>
        <v/>
      </c>
      <c r="H17" s="5" t="str">
        <f aca="false">IFERROR(INDEX(Catálogo!H$4:H$1000,MATCH($A$1&amp;"|"&amp;14,Índice!$A$4:$A$1000,0)),"")</f>
        <v/>
      </c>
      <c r="I17" s="6" t="str">
        <f aca="false">IFERROR(INDEX(Catálogo!I$4:I$1000,MATCH($A$1&amp;"|"&amp;14,Índice!$A$4:$A$1000,0)),"")</f>
        <v/>
      </c>
      <c r="J17" s="6" t="str">
        <f aca="false">IFERROR(INDEX(Catálogo!J$4:J$1000,MATCH($A$1&amp;"|"&amp;14,Índice!$A$4:$A$1000,0)),"")</f>
        <v/>
      </c>
      <c r="K17" s="6" t="str">
        <f aca="false">IFERROR(INDEX(Catálogo!K$4:K$1000,MATCH($A$1&amp;"|"&amp;14,Índice!$A$4:$A$1000,0)),"")</f>
        <v/>
      </c>
      <c r="L17" s="6" t="str">
        <f aca="false">IFERROR(INDEX(Catálogo!L$4:L$1000,MATCH($A$1&amp;"|"&amp;14,Índice!$A$4:$A$1000,0)),"")</f>
        <v/>
      </c>
      <c r="M17" s="7" t="str">
        <f aca="false">IFERROR(INDEX(Catálogo!M$4:M$1000,MATCH($A$1&amp;"|"&amp;14,Índice!$A$4:$A$1000,0)),"")</f>
        <v/>
      </c>
    </row>
    <row r="18" customFormat="false" ht="42" hidden="false" customHeight="true" outlineLevel="0" collapsed="false">
      <c r="A18" s="5" t="str">
        <f aca="false">IFERROR(INDEX(Catálogo!A$4:A$1000,MATCH($A$1&amp;"|"&amp;15,Índice!$A$4:$A$1000,0)),"")</f>
        <v/>
      </c>
      <c r="B18" s="6" t="str">
        <f aca="false">IFERROR(INDEX(Catálogo!B$4:B$1000,MATCH($A$1&amp;"|"&amp;15,Índice!$A$4:$A$1000,0)),"")</f>
        <v/>
      </c>
      <c r="C18" s="6" t="str">
        <f aca="false">IFERROR(INDEX(Catálogo!C$4:C$1000,MATCH($A$1&amp;"|"&amp;15,Índice!$A$4:$A$1000,0)),"")</f>
        <v/>
      </c>
      <c r="D18" s="6" t="str">
        <f aca="false">IFERROR(INDEX(Catálogo!D$4:D$1000,MATCH($A$1&amp;"|"&amp;15,Índice!$A$4:$A$1000,0)),"")</f>
        <v/>
      </c>
      <c r="E18" s="6" t="str">
        <f aca="false">IFERROR(INDEX(Catálogo!E$4:E$1000,MATCH($A$1&amp;"|"&amp;15,Índice!$A$4:$A$1000,0)),"")</f>
        <v/>
      </c>
      <c r="F18" s="5" t="str">
        <f aca="false">IFERROR(INDEX(Catálogo!F$4:F$1000,MATCH($A$1&amp;"|"&amp;15,Índice!$A$4:$A$1000,0)),"")</f>
        <v/>
      </c>
      <c r="G18" s="5" t="str">
        <f aca="false">IFERROR(INDEX(Catálogo!G$4:G$1000,MATCH($A$1&amp;"|"&amp;15,Índice!$A$4:$A$1000,0)),"")</f>
        <v/>
      </c>
      <c r="H18" s="5" t="str">
        <f aca="false">IFERROR(INDEX(Catálogo!H$4:H$1000,MATCH($A$1&amp;"|"&amp;15,Índice!$A$4:$A$1000,0)),"")</f>
        <v/>
      </c>
      <c r="I18" s="6" t="str">
        <f aca="false">IFERROR(INDEX(Catálogo!I$4:I$1000,MATCH($A$1&amp;"|"&amp;15,Índice!$A$4:$A$1000,0)),"")</f>
        <v/>
      </c>
      <c r="J18" s="6" t="str">
        <f aca="false">IFERROR(INDEX(Catálogo!J$4:J$1000,MATCH($A$1&amp;"|"&amp;15,Índice!$A$4:$A$1000,0)),"")</f>
        <v/>
      </c>
      <c r="K18" s="6" t="str">
        <f aca="false">IFERROR(INDEX(Catálogo!K$4:K$1000,MATCH($A$1&amp;"|"&amp;15,Índice!$A$4:$A$1000,0)),"")</f>
        <v/>
      </c>
      <c r="L18" s="6" t="str">
        <f aca="false">IFERROR(INDEX(Catálogo!L$4:L$1000,MATCH($A$1&amp;"|"&amp;15,Índice!$A$4:$A$1000,0)),"")</f>
        <v/>
      </c>
      <c r="M18" s="7" t="str">
        <f aca="false">IFERROR(INDEX(Catálogo!M$4:M$1000,MATCH($A$1&amp;"|"&amp;15,Índice!$A$4:$A$1000,0)),"")</f>
        <v/>
      </c>
    </row>
    <row r="19" customFormat="false" ht="42" hidden="false" customHeight="true" outlineLevel="0" collapsed="false">
      <c r="A19" s="5" t="str">
        <f aca="false">IFERROR(INDEX(Catálogo!A$4:A$1000,MATCH($A$1&amp;"|"&amp;16,Índice!$A$4:$A$1000,0)),"")</f>
        <v/>
      </c>
      <c r="B19" s="6" t="str">
        <f aca="false">IFERROR(INDEX(Catálogo!B$4:B$1000,MATCH($A$1&amp;"|"&amp;16,Índice!$A$4:$A$1000,0)),"")</f>
        <v/>
      </c>
      <c r="C19" s="6" t="str">
        <f aca="false">IFERROR(INDEX(Catálogo!C$4:C$1000,MATCH($A$1&amp;"|"&amp;16,Índice!$A$4:$A$1000,0)),"")</f>
        <v/>
      </c>
      <c r="D19" s="6" t="str">
        <f aca="false">IFERROR(INDEX(Catálogo!D$4:D$1000,MATCH($A$1&amp;"|"&amp;16,Índice!$A$4:$A$1000,0)),"")</f>
        <v/>
      </c>
      <c r="E19" s="6" t="str">
        <f aca="false">IFERROR(INDEX(Catálogo!E$4:E$1000,MATCH($A$1&amp;"|"&amp;16,Índice!$A$4:$A$1000,0)),"")</f>
        <v/>
      </c>
      <c r="F19" s="5" t="str">
        <f aca="false">IFERROR(INDEX(Catálogo!F$4:F$1000,MATCH($A$1&amp;"|"&amp;16,Índice!$A$4:$A$1000,0)),"")</f>
        <v/>
      </c>
      <c r="G19" s="5" t="str">
        <f aca="false">IFERROR(INDEX(Catálogo!G$4:G$1000,MATCH($A$1&amp;"|"&amp;16,Índice!$A$4:$A$1000,0)),"")</f>
        <v/>
      </c>
      <c r="H19" s="5" t="str">
        <f aca="false">IFERROR(INDEX(Catálogo!H$4:H$1000,MATCH($A$1&amp;"|"&amp;16,Índice!$A$4:$A$1000,0)),"")</f>
        <v/>
      </c>
      <c r="I19" s="6" t="str">
        <f aca="false">IFERROR(INDEX(Catálogo!I$4:I$1000,MATCH($A$1&amp;"|"&amp;16,Índice!$A$4:$A$1000,0)),"")</f>
        <v/>
      </c>
      <c r="J19" s="6" t="str">
        <f aca="false">IFERROR(INDEX(Catálogo!J$4:J$1000,MATCH($A$1&amp;"|"&amp;16,Índice!$A$4:$A$1000,0)),"")</f>
        <v/>
      </c>
      <c r="K19" s="6" t="str">
        <f aca="false">IFERROR(INDEX(Catálogo!K$4:K$1000,MATCH($A$1&amp;"|"&amp;16,Índice!$A$4:$A$1000,0)),"")</f>
        <v/>
      </c>
      <c r="L19" s="6" t="str">
        <f aca="false">IFERROR(INDEX(Catálogo!L$4:L$1000,MATCH($A$1&amp;"|"&amp;16,Índice!$A$4:$A$1000,0)),"")</f>
        <v/>
      </c>
      <c r="M19" s="7" t="str">
        <f aca="false">IFERROR(INDEX(Catálogo!M$4:M$1000,MATCH($A$1&amp;"|"&amp;16,Índice!$A$4:$A$1000,0)),"")</f>
        <v/>
      </c>
    </row>
    <row r="20" customFormat="false" ht="42" hidden="false" customHeight="true" outlineLevel="0" collapsed="false">
      <c r="A20" s="5" t="str">
        <f aca="false">IFERROR(INDEX(Catálogo!A$4:A$1000,MATCH($A$1&amp;"|"&amp;17,Índice!$A$4:$A$1000,0)),"")</f>
        <v/>
      </c>
      <c r="B20" s="6" t="str">
        <f aca="false">IFERROR(INDEX(Catálogo!B$4:B$1000,MATCH($A$1&amp;"|"&amp;17,Índice!$A$4:$A$1000,0)),"")</f>
        <v/>
      </c>
      <c r="C20" s="6" t="str">
        <f aca="false">IFERROR(INDEX(Catálogo!C$4:C$1000,MATCH($A$1&amp;"|"&amp;17,Índice!$A$4:$A$1000,0)),"")</f>
        <v/>
      </c>
      <c r="D20" s="6" t="str">
        <f aca="false">IFERROR(INDEX(Catálogo!D$4:D$1000,MATCH($A$1&amp;"|"&amp;17,Índice!$A$4:$A$1000,0)),"")</f>
        <v/>
      </c>
      <c r="E20" s="6" t="str">
        <f aca="false">IFERROR(INDEX(Catálogo!E$4:E$1000,MATCH($A$1&amp;"|"&amp;17,Índice!$A$4:$A$1000,0)),"")</f>
        <v/>
      </c>
      <c r="F20" s="5" t="str">
        <f aca="false">IFERROR(INDEX(Catálogo!F$4:F$1000,MATCH($A$1&amp;"|"&amp;17,Índice!$A$4:$A$1000,0)),"")</f>
        <v/>
      </c>
      <c r="G20" s="5" t="str">
        <f aca="false">IFERROR(INDEX(Catálogo!G$4:G$1000,MATCH($A$1&amp;"|"&amp;17,Índice!$A$4:$A$1000,0)),"")</f>
        <v/>
      </c>
      <c r="H20" s="5" t="str">
        <f aca="false">IFERROR(INDEX(Catálogo!H$4:H$1000,MATCH($A$1&amp;"|"&amp;17,Índice!$A$4:$A$1000,0)),"")</f>
        <v/>
      </c>
      <c r="I20" s="6" t="str">
        <f aca="false">IFERROR(INDEX(Catálogo!I$4:I$1000,MATCH($A$1&amp;"|"&amp;17,Índice!$A$4:$A$1000,0)),"")</f>
        <v/>
      </c>
      <c r="J20" s="6" t="str">
        <f aca="false">IFERROR(INDEX(Catálogo!J$4:J$1000,MATCH($A$1&amp;"|"&amp;17,Índice!$A$4:$A$1000,0)),"")</f>
        <v/>
      </c>
      <c r="K20" s="6" t="str">
        <f aca="false">IFERROR(INDEX(Catálogo!K$4:K$1000,MATCH($A$1&amp;"|"&amp;17,Índice!$A$4:$A$1000,0)),"")</f>
        <v/>
      </c>
      <c r="L20" s="6" t="str">
        <f aca="false">IFERROR(INDEX(Catálogo!L$4:L$1000,MATCH($A$1&amp;"|"&amp;17,Índice!$A$4:$A$1000,0)),"")</f>
        <v/>
      </c>
      <c r="M20" s="7" t="str">
        <f aca="false">IFERROR(INDEX(Catálogo!M$4:M$1000,MATCH($A$1&amp;"|"&amp;17,Índice!$A$4:$A$1000,0)),"")</f>
        <v/>
      </c>
    </row>
    <row r="21" customFormat="false" ht="42" hidden="false" customHeight="true" outlineLevel="0" collapsed="false">
      <c r="A21" s="5" t="str">
        <f aca="false">IFERROR(INDEX(Catálogo!A$4:A$1000,MATCH($A$1&amp;"|"&amp;18,Índice!$A$4:$A$1000,0)),"")</f>
        <v/>
      </c>
      <c r="B21" s="6" t="str">
        <f aca="false">IFERROR(INDEX(Catálogo!B$4:B$1000,MATCH($A$1&amp;"|"&amp;18,Índice!$A$4:$A$1000,0)),"")</f>
        <v/>
      </c>
      <c r="C21" s="6" t="str">
        <f aca="false">IFERROR(INDEX(Catálogo!C$4:C$1000,MATCH($A$1&amp;"|"&amp;18,Índice!$A$4:$A$1000,0)),"")</f>
        <v/>
      </c>
      <c r="D21" s="6" t="str">
        <f aca="false">IFERROR(INDEX(Catálogo!D$4:D$1000,MATCH($A$1&amp;"|"&amp;18,Índice!$A$4:$A$1000,0)),"")</f>
        <v/>
      </c>
      <c r="E21" s="6" t="str">
        <f aca="false">IFERROR(INDEX(Catálogo!E$4:E$1000,MATCH($A$1&amp;"|"&amp;18,Índice!$A$4:$A$1000,0)),"")</f>
        <v/>
      </c>
      <c r="F21" s="5" t="str">
        <f aca="false">IFERROR(INDEX(Catálogo!F$4:F$1000,MATCH($A$1&amp;"|"&amp;18,Índice!$A$4:$A$1000,0)),"")</f>
        <v/>
      </c>
      <c r="G21" s="5" t="str">
        <f aca="false">IFERROR(INDEX(Catálogo!G$4:G$1000,MATCH($A$1&amp;"|"&amp;18,Índice!$A$4:$A$1000,0)),"")</f>
        <v/>
      </c>
      <c r="H21" s="5" t="str">
        <f aca="false">IFERROR(INDEX(Catálogo!H$4:H$1000,MATCH($A$1&amp;"|"&amp;18,Índice!$A$4:$A$1000,0)),"")</f>
        <v/>
      </c>
      <c r="I21" s="6" t="str">
        <f aca="false">IFERROR(INDEX(Catálogo!I$4:I$1000,MATCH($A$1&amp;"|"&amp;18,Índice!$A$4:$A$1000,0)),"")</f>
        <v/>
      </c>
      <c r="J21" s="6" t="str">
        <f aca="false">IFERROR(INDEX(Catálogo!J$4:J$1000,MATCH($A$1&amp;"|"&amp;18,Índice!$A$4:$A$1000,0)),"")</f>
        <v/>
      </c>
      <c r="K21" s="6" t="str">
        <f aca="false">IFERROR(INDEX(Catálogo!K$4:K$1000,MATCH($A$1&amp;"|"&amp;18,Índice!$A$4:$A$1000,0)),"")</f>
        <v/>
      </c>
      <c r="L21" s="6" t="str">
        <f aca="false">IFERROR(INDEX(Catálogo!L$4:L$1000,MATCH($A$1&amp;"|"&amp;18,Índice!$A$4:$A$1000,0)),"")</f>
        <v/>
      </c>
      <c r="M21" s="7" t="str">
        <f aca="false">IFERROR(INDEX(Catálogo!M$4:M$1000,MATCH($A$1&amp;"|"&amp;18,Índice!$A$4:$A$1000,0)),"")</f>
        <v/>
      </c>
    </row>
  </sheetData>
  <autoFilter ref="A3:M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1032</v>
      </c>
      <c r="I1" s="17" t="str">
        <f aca="false">COUNTIF(Catálogo!$C$4:$C$1000,$A$1)&amp;IF(COUNTIF(Catálogo!$C$4:$C$1000,$A$1)=1," instrumento nesta área"," instrumentos nesta área")</f>
        <v>5 instrumentos nesta área</v>
      </c>
    </row>
    <row r="2" customFormat="false" ht="15" hidden="false" customHeight="true" outlineLevel="0" collapsed="false">
      <c r="A2" s="18" t="s">
        <v>1488</v>
      </c>
      <c r="I2" s="19" t="str">
        <f aca="false">IF(COUNTIF(Catálogo!$C$4:$C$1000,$A$1)&gt;13,"⚠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152</v>
      </c>
      <c r="B4" s="6" t="str">
        <f aca="false">IFERROR(INDEX(Catálogo!B$4:B$1000,MATCH($A$1&amp;"|"&amp;1,Índice!$A$4:$A$1000,0)),"")</f>
        <v>UCLA-PTSD Adaptado — Rastreio de PSPT Pediátrica</v>
      </c>
      <c r="C4" s="6" t="str">
        <f aca="false">IFERROR(INDEX(Catálogo!C$4:C$1000,MATCH($A$1&amp;"|"&amp;1,Índice!$A$4:$A$1000,0)),"")</f>
        <v>Trauma &amp; Stress</v>
      </c>
      <c r="D4" s="6" t="str">
        <f aca="false">IFERROR(INDEX(Catálogo!D$4:D$1000,MATCH($A$1&amp;"|"&amp;1,Índice!$A$4:$A$1000,0)),"")</f>
        <v>Aplicador clínico</v>
      </c>
      <c r="E4" s="6" t="str">
        <f aca="false">IFERROR(INDEX(Catálogo!E$4:E$1000,MATCH($A$1&amp;"|"&amp;1,Índice!$A$4:$A$1000,0)),"")</f>
        <v>7–11 anos (estendível 3–18)</v>
      </c>
      <c r="F4" s="5" t="n">
        <f aca="false">IFERROR(INDEX(Catálogo!F$4:F$1000,MATCH($A$1&amp;"|"&amp;1,Índice!$A$4:$A$1000,0)),"")</f>
        <v>3</v>
      </c>
      <c r="G4" s="5" t="n">
        <f aca="false">IFERROR(INDEX(Catálogo!G$4:G$1000,MATCH($A$1&amp;"|"&amp;1,Índice!$A$4:$A$1000,0)),"")</f>
        <v>17.9</v>
      </c>
      <c r="H4" s="5" t="n">
        <f aca="false">IFERROR(INDEX(Catálogo!H$4:H$1000,MATCH($A$1&amp;"|"&amp;1,Índice!$A$4:$A$1000,0)),"")</f>
        <v>13</v>
      </c>
      <c r="I4" s="6" t="str">
        <f aca="false">IFERROR(INDEX(Catálogo!I$4:I$1000,MATCH($A$1&amp;"|"&amp;1,Índice!$A$4:$A$1000,0)),"")</f>
        <v>Instrumento clínico ad-hoc (sem validação psicométrica formal — uso orientativo, articulado com entrevista clínica). Adaptação inspirada (Via B do protocolo) operacionalizando os critérios A–H do DSM-5-TR para Perturbação de Stress Pós-Traumático pediátrica, com formulação original em português europeu — NÃO constitui reprodução do UCLA PTSD Reaction Index for DSM-5 (Steinberg, Brymer, Pynoos et al.). Cotação clínica integrativa por psicólogo. Estrutura em 8 módulos: M1 Exposição (Critério A — 13 tipos de eventos sim/não + idade na altura), Evento Índice (tipo, idade, modalidade, descrição), M2 Intrusão (5 itens B Likert 0-4), M3 Evitamento (2 itens C), M4 Cognição/humor (7 itens D), M5 Ativação (6 itens E), M6 Dissociação (2 itens — especificador), M7 Duração F + Início H em meses, M8 Interferência funcional G (5 domínios). Total sintomático = B+C+D+E (0-80). Bandas: Mínima 0-19 / Ligeira 20-34 / Moderada 35-49 / Severa 50-80. Regra DSM-5-TR cumprida = A+B+C+D+E+F+G todos positivos. Especificadores: dissociativo (Dis1 ou Dis2 ≥ 2) e expressão tardia (início ≥ 6 meses). Padrões T1-T5 com hipótese clínica e ação sugerida. Não substitui o UCLA PTSD-RI, o CAPS-CA-5 ou outros instrumentos validados.</v>
      </c>
      <c r="J4" s="6" t="str">
        <f aca="false">IFERROR(INDEX(Catálogo!J$4:J$1000,MATCH($A$1&amp;"|"&amp;1,Índice!$A$4:$A$1000,0)),"")</f>
        <v>Exposição (Critério A); Evento Índice; Intrusão (B); Evitamento (C); Cognição/humor (D); Ativação (E); Dissociação (especificador); Duração e Início (F, H); Interferência funcional (G); Total sintomático; Banda; Padrão T1–T5; Regra DSM-5-TR</v>
      </c>
      <c r="K4" s="6" t="str">
        <f aca="false">IFERROR(INDEX(Catálogo!K$4:K$1000,MATCH($A$1&amp;"|"&amp;1,Índice!$A$4:$A$1000,0)),"")</f>
        <v>ucla_ptsd_adaptado</v>
      </c>
      <c r="L4" s="6" t="str">
        <f aca="false">IFERROR(INDEX(Catálogo!L$4:L$1000,MATCH($A$1&amp;"|"&amp;1,Índice!$A$4:$A$1000,0)),"")</f>
        <v>q_ucla_ptsd_adaptado</v>
      </c>
      <c r="M4" s="7" t="str">
        <f aca="false">IFERROR(INDEX(Catálogo!M$4:M$1000,MATCH($A$1&amp;"|"&amp;1,Índice!$A$4:$A$1000,0)),"")</f>
        <v>https://correiaricardina-ui.github.io/questionarios/UCLA_PTSD_Adaptado.html</v>
      </c>
    </row>
    <row r="5" customFormat="false" ht="42" hidden="false" customHeight="true" outlineLevel="0" collapsed="false">
      <c r="A5" s="5" t="n">
        <f aca="false">IFERROR(INDEX(Catálogo!A$4:A$1000,MATCH($A$1&amp;"|"&amp;2,Índice!$A$4:$A$1000,0)),"")</f>
        <v>156</v>
      </c>
      <c r="B5" s="6" t="str">
        <f aca="false">IFERROR(INDEX(Catálogo!B$4:B$1000,MATCH($A$1&amp;"|"&amp;2,Índice!$A$4:$A$1000,0)),"")</f>
        <v>A-DES — Escala de Experiências Dissociativas em Adolescentes</v>
      </c>
      <c r="C5" s="6" t="str">
        <f aca="false">IFERROR(INDEX(Catálogo!C$4:C$1000,MATCH($A$1&amp;"|"&amp;2,Índice!$A$4:$A$1000,0)),"")</f>
        <v>Trauma &amp; Stress</v>
      </c>
      <c r="D5" s="6" t="str">
        <f aca="false">IFERROR(INDEX(Catálogo!D$4:D$1000,MATCH($A$1&amp;"|"&amp;2,Índice!$A$4:$A$1000,0)),"")</f>
        <v>Paciente</v>
      </c>
      <c r="E5" s="6" t="str">
        <f aca="false">IFERROR(INDEX(Catálogo!E$4:E$1000,MATCH($A$1&amp;"|"&amp;2,Índice!$A$4:$A$1000,0)),"")</f>
        <v>11–18 anos</v>
      </c>
      <c r="F5" s="5" t="n">
        <f aca="false">IFERROR(INDEX(Catálogo!F$4:F$1000,MATCH($A$1&amp;"|"&amp;2,Índice!$A$4:$A$1000,0)),"")</f>
        <v>11</v>
      </c>
      <c r="G5" s="5" t="n">
        <f aca="false">IFERROR(INDEX(Catálogo!G$4:G$1000,MATCH($A$1&amp;"|"&amp;2,Índice!$A$4:$A$1000,0)),"")</f>
        <v>18</v>
      </c>
      <c r="H5" s="5" t="n">
        <f aca="false">IFERROR(INDEX(Catálogo!H$4:H$1000,MATCH($A$1&amp;"|"&amp;2,Índice!$A$4:$A$1000,0)),"")</f>
        <v>6</v>
      </c>
      <c r="I5" s="6" t="str">
        <f aca="false">IFERROR(INDEX(Catálogo!I$4:I$1000,MATCH($A$1&amp;"|"&amp;2,Índice!$A$4:$A$1000,0)),"")</f>
        <v>Rastreio dimensional de experiências dissociativas por auto-relato do adolescente (30 itens, escala 0–10). Métrica = média global + 5 domínios (Amnésia; Despersonalização/Desrealização; Absorção; Alteração de Identidade; Transversal). Ponto de corte orientador: média ≥ 4,0 = dissociação clinicamente significativa; 3,0–3,9 = moderada. Instrumento de rastreio/orientação, não diagnóstico — integrar sempre com entrevista clínica, observação e história de vida.</v>
      </c>
      <c r="J5" s="6" t="str">
        <f aca="false">IFERROR(INDEX(Catálogo!J$4:J$1000,MATCH($A$1&amp;"|"&amp;2,Índice!$A$4:$A$1000,0)),"")</f>
        <v>Amnésia; Despersonalização/Desrealização; Absorção; Alteração de Identidade; Transversal; Média Global A-DES</v>
      </c>
      <c r="K5" s="6" t="str">
        <f aca="false">IFERROR(INDEX(Catálogo!K$4:K$1000,MATCH($A$1&amp;"|"&amp;2,Índice!$A$4:$A$1000,0)),"")</f>
        <v>ades</v>
      </c>
      <c r="L5" s="6" t="str">
        <f aca="false">IFERROR(INDEX(Catálogo!L$4:L$1000,MATCH($A$1&amp;"|"&amp;2,Índice!$A$4:$A$1000,0)),"")</f>
        <v>q_ades</v>
      </c>
      <c r="M5" s="7" t="str">
        <f aca="false">IFERROR(INDEX(Catálogo!M$4:M$1000,MATCH($A$1&amp;"|"&amp;2,Índice!$A$4:$A$1000,0)),"")</f>
        <v>https://correiaricardina-ui.github.io/questionarios/A_DES_v1.html</v>
      </c>
    </row>
    <row r="6" customFormat="false" ht="42" hidden="false" customHeight="true" outlineLevel="0" collapsed="false">
      <c r="A6" s="5" t="n">
        <f aca="false">IFERROR(INDEX(Catálogo!A$4:A$1000,MATCH($A$1&amp;"|"&amp;3,Índice!$A$4:$A$1000,0)),"")</f>
        <v>157</v>
      </c>
      <c r="B6" s="6" t="str">
        <f aca="false">IFERROR(INDEX(Catálogo!B$4:B$1000,MATCH($A$1&amp;"|"&amp;3,Índice!$A$4:$A$1000,0)),"")</f>
        <v>ACE-Q — Experiências Adversas na Infância · Autorrelato (Adolescente)</v>
      </c>
      <c r="C6" s="6" t="str">
        <f aca="false">IFERROR(INDEX(Catálogo!C$4:C$1000,MATCH($A$1&amp;"|"&amp;3,Índice!$A$4:$A$1000,0)),"")</f>
        <v>Trauma &amp; Stress</v>
      </c>
      <c r="D6" s="6" t="str">
        <f aca="false">IFERROR(INDEX(Catálogo!D$4:D$1000,MATCH($A$1&amp;"|"&amp;3,Índice!$A$4:$A$1000,0)),"")</f>
        <v>Paciente</v>
      </c>
      <c r="E6" s="6" t="str">
        <f aca="false">IFERROR(INDEX(Catálogo!E$4:E$1000,MATCH($A$1&amp;"|"&amp;3,Índice!$A$4:$A$1000,0)),"")</f>
        <v>12–18 anos</v>
      </c>
      <c r="F6" s="5" t="n">
        <f aca="false">IFERROR(INDEX(Catálogo!F$4:F$1000,MATCH($A$1&amp;"|"&amp;3,Índice!$A$4:$A$1000,0)),"")</f>
        <v>12</v>
      </c>
      <c r="G6" s="5" t="n">
        <f aca="false">IFERROR(INDEX(Catálogo!G$4:G$1000,MATCH($A$1&amp;"|"&amp;3,Índice!$A$4:$A$1000,0)),"")</f>
        <v>18</v>
      </c>
      <c r="H6" s="5" t="n">
        <f aca="false">IFERROR(INDEX(Catálogo!H$4:H$1000,MATCH($A$1&amp;"|"&amp;3,Índice!$A$4:$A$1000,0)),"")</f>
        <v>6</v>
      </c>
      <c r="I6" s="6" t="str">
        <f aca="false">IFERROR(INDEX(Catálogo!I$4:I$1000,MATCH($A$1&amp;"|"&amp;3,Índice!$A$4:$A$1000,0)),"")</f>
        <v>Rastreio de experiências adversas na infância por autorrelato do adolescente (18 itens, escala de frequência 0–2). Adaptação clínica da ACE-Q (Felitti et al., 1998) / ACE-IQ (WHO, 2010) para 6 domínios. Pontuação total 0–36 com bandas orientadoras (0–8 baixa; 9–18 moderada; &gt;18 elevada) e classificação por domínio. Instrumento de rastreio/orientação, não diagnóstico — integrar sempre com entrevista clínica e história de vida. Os domínios e a pontuação não são visíveis ao respondente.</v>
      </c>
      <c r="J6" s="6" t="str">
        <f aca="false">IFERROR(INDEX(Catálogo!J$4:J$1000,MATCH($A$1&amp;"|"&amp;3,Índice!$A$4:$A$1000,0)),"")</f>
        <v>Relações familiares e ambiente emocional; Instabilidade familiar; Experiências de perda; Experiências de insegurança ou ameaça; Experiências sociais difíceis; Experiência emocional interna</v>
      </c>
      <c r="K6" s="6" t="str">
        <f aca="false">IFERROR(INDEX(Catálogo!K$4:K$1000,MATCH($A$1&amp;"|"&amp;3,Índice!$A$4:$A$1000,0)),"")</f>
        <v>aceq_adol</v>
      </c>
      <c r="L6" s="6" t="str">
        <f aca="false">IFERROR(INDEX(Catálogo!L$4:L$1000,MATCH($A$1&amp;"|"&amp;3,Índice!$A$4:$A$1000,0)),"")</f>
        <v>q_aceq_adol</v>
      </c>
      <c r="M6" s="7" t="str">
        <f aca="false">IFERROR(INDEX(Catálogo!M$4:M$1000,MATCH($A$1&amp;"|"&amp;3,Índice!$A$4:$A$1000,0)),"")</f>
        <v>https://correiaricardina-ui.github.io/questionarios/ACE-Q_Adolescente.html</v>
      </c>
    </row>
    <row r="7" customFormat="false" ht="42" hidden="false" customHeight="true" outlineLevel="0" collapsed="false">
      <c r="A7" s="5" t="n">
        <f aca="false">IFERROR(INDEX(Catálogo!A$4:A$1000,MATCH($A$1&amp;"|"&amp;4,Índice!$A$4:$A$1000,0)),"")</f>
        <v>158</v>
      </c>
      <c r="B7" s="6" t="str">
        <f aca="false">IFERROR(INDEX(Catálogo!B$4:B$1000,MATCH($A$1&amp;"|"&amp;4,Índice!$A$4:$A$1000,0)),"")</f>
        <v>ACE-Q — Experiências Adversas na Infância · Cuidador</v>
      </c>
      <c r="C7" s="6" t="str">
        <f aca="false">IFERROR(INDEX(Catálogo!C$4:C$1000,MATCH($A$1&amp;"|"&amp;4,Índice!$A$4:$A$1000,0)),"")</f>
        <v>Trauma &amp; Stress</v>
      </c>
      <c r="D7" s="6" t="str">
        <f aca="false">IFERROR(INDEX(Catálogo!D$4:D$1000,MATCH($A$1&amp;"|"&amp;4,Índice!$A$4:$A$1000,0)),"")</f>
        <v>Mãe, Pai, Enc. Educação</v>
      </c>
      <c r="E7" s="6" t="str">
        <f aca="false">IFERROR(INDEX(Catálogo!E$4:E$1000,MATCH($A$1&amp;"|"&amp;4,Índice!$A$4:$A$1000,0)),"")</f>
        <v>0–18 anos</v>
      </c>
      <c r="F7" s="5" t="n">
        <f aca="false">IFERROR(INDEX(Catálogo!F$4:F$1000,MATCH($A$1&amp;"|"&amp;4,Índice!$A$4:$A$1000,0)),"")</f>
        <v>0</v>
      </c>
      <c r="G7" s="5" t="n">
        <f aca="false">IFERROR(INDEX(Catálogo!G$4:G$1000,MATCH($A$1&amp;"|"&amp;4,Índice!$A$4:$A$1000,0)),"")</f>
        <v>18</v>
      </c>
      <c r="H7" s="5" t="n">
        <f aca="false">IFERROR(INDEX(Catálogo!H$4:H$1000,MATCH($A$1&amp;"|"&amp;4,Índice!$A$4:$A$1000,0)),"")</f>
        <v>6</v>
      </c>
      <c r="I7" s="6" t="str">
        <f aca="false">IFERROR(INDEX(Catálogo!I$4:I$1000,MATCH($A$1&amp;"|"&amp;4,Índice!$A$4:$A$1000,0)),"")</f>
        <v>Rastreio de experiências adversas na infância por relato do cuidador (15 itens, escala de frequência 0–2). Adaptação clínica da ACE-Q (Felitti et al., 1998) e da versão pediátrica PEARLS (Brar et al., 2021) para 6 domínios. Pontuação total 0–30 com bandas orientadoras (0–6 baixa exposição; 7–14 moderada; ≥15 significativa) e classificação por domínio. Instrumento de rastreio/orientação, não diagnóstico — integrar sempre com entrevista clínica e história de vida. Os domínios e a pontuação não são visíveis ao respondente.</v>
      </c>
      <c r="J7" s="6" t="str">
        <f aca="false">IFERROR(INDEX(Catálogo!J$4:J$1000,MATCH($A$1&amp;"|"&amp;4,Índice!$A$4:$A$1000,0)),"")</f>
        <v>Ambiente emocional familiar; Instabilidade familiar; Experiências de perda; Segurança e proteção; Experiências sociais difíceis; Eventos stressantes significativos</v>
      </c>
      <c r="K7" s="6" t="str">
        <f aca="false">IFERROR(INDEX(Catálogo!K$4:K$1000,MATCH($A$1&amp;"|"&amp;4,Índice!$A$4:$A$1000,0)),"")</f>
        <v>aceq_cuid</v>
      </c>
      <c r="L7" s="6" t="str">
        <f aca="false">IFERROR(INDEX(Catálogo!L$4:L$1000,MATCH($A$1&amp;"|"&amp;4,Índice!$A$4:$A$1000,0)),"")</f>
        <v>q_aceq_cuid</v>
      </c>
      <c r="M7" s="7" t="str">
        <f aca="false">IFERROR(INDEX(Catálogo!M$4:M$1000,MATCH($A$1&amp;"|"&amp;4,Índice!$A$4:$A$1000,0)),"")</f>
        <v>https://correiaricardina-ui.github.io/questionarios/ACE-Q_Cuidador.html</v>
      </c>
    </row>
    <row r="8" customFormat="false" ht="42" hidden="false" customHeight="true" outlineLevel="0" collapsed="false">
      <c r="A8" s="5" t="n">
        <f aca="false">IFERROR(INDEX(Catálogo!A$4:A$1000,MATCH($A$1&amp;"|"&amp;5,Índice!$A$4:$A$1000,0)),"")</f>
        <v>160</v>
      </c>
      <c r="B8" s="6" t="str">
        <f aca="false">IFERROR(INDEX(Catálogo!B$4:B$1000,MATCH($A$1&amp;"|"&amp;5,Índice!$A$4:$A$1000,0)),"")</f>
        <v>Prova «O Cuidar e a Integridade do Corpo»</v>
      </c>
      <c r="C8" s="6" t="str">
        <f aca="false">IFERROR(INDEX(Catálogo!C$4:C$1000,MATCH($A$1&amp;"|"&amp;5,Índice!$A$4:$A$1000,0)),"")</f>
        <v>Trauma &amp; Stress</v>
      </c>
      <c r="D8" s="6" t="str">
        <f aca="false">IFERROR(INDEX(Catálogo!D$4:D$1000,MATCH($A$1&amp;"|"&amp;5,Índice!$A$4:$A$1000,0)),"")</f>
        <v>Psicóloga (aplicação clínica)</v>
      </c>
      <c r="E8" s="6" t="str">
        <f aca="false">IFERROR(INDEX(Catálogo!E$4:E$1000,MATCH($A$1&amp;"|"&amp;5,Índice!$A$4:$A$1000,0)),"")</f>
        <v>Idade escolar (≈ 6–11 anos)</v>
      </c>
      <c r="F8" s="5" t="n">
        <f aca="false">IFERROR(INDEX(Catálogo!F$4:F$1000,MATCH($A$1&amp;"|"&amp;5,Índice!$A$4:$A$1000,0)),"")</f>
        <v>6</v>
      </c>
      <c r="G8" s="5" t="n">
        <f aca="false">IFERROR(INDEX(Catálogo!G$4:G$1000,MATCH($A$1&amp;"|"&amp;5,Índice!$A$4:$A$1000,0)),"")</f>
        <v>11</v>
      </c>
      <c r="H8" s="5" t="n">
        <f aca="false">IFERROR(INDEX(Catálogo!H$4:H$1000,MATCH($A$1&amp;"|"&amp;5,Índice!$A$4:$A$1000,0)),"")</f>
        <v>4</v>
      </c>
      <c r="I8" s="6" t="str">
        <f aca="false">IFERROR(INDEX(Catálogo!I$4:I$1000,MATCH($A$1&amp;"|"&amp;5,Índice!$A$4:$A$1000,0)),"")</f>
        <v>Prova projetiva integrada de story-stems abertos (instrumento original de Ricardina Correia, 2026), de aplicação exclusiva pela psicóloga, para avaliação idiográfica e qualitativa do cuidar, da integridade corporal, do coping e das figuras cuidadoras em idade escolar (≈6–11 anos). Administração não-diretiva: não nomear «medo/dor/doença/hospital» antes da criança; sondas condicionais só se o tema emergir; registo do verbatim, hesitações, evitamentos e pedidos de tranquilização; desenho opcional. Leitura descritiva (não-normativa, não-cotação): posicionamento 1 (adaptativo) → 5 (vulnerabilidade) nos eixos, mais reparação relacional no desfecho. Instrumento orientativo, a integrar sempre com entrevista clínica, observação e história de vida. Os eixos e o posicionamento não são visíveis ao respondente.</v>
      </c>
      <c r="J8" s="6" t="str">
        <f aca="false">IFERROR(INDEX(Catálogo!J$4:J$1000,MATCH($A$1&amp;"|"&amp;5,Índice!$A$4:$A$1000,0)),"")</f>
        <v>Integridade corporal; Cuidado e dependência; Coping / resolução (padrão predominante + secundário); Figuras cuidadoras (+ reparação relacional no desfecho)</v>
      </c>
      <c r="K8" s="6" t="str">
        <f aca="false">IFERROR(INDEX(Catálogo!K$4:K$1000,MATCH($A$1&amp;"|"&amp;5,Índice!$A$4:$A$1000,0)),"")</f>
        <v>cuidar_corpo</v>
      </c>
      <c r="L8" s="6" t="str">
        <f aca="false">IFERROR(INDEX(Catálogo!L$4:L$1000,MATCH($A$1&amp;"|"&amp;5,Índice!$A$4:$A$1000,0)),"")</f>
        <v>q_cuidar_corpo</v>
      </c>
      <c r="M8" s="7" t="str">
        <f aca="false">IFERROR(INDEX(Catálogo!M$4:M$1000,MATCH($A$1&amp;"|"&amp;5,Índice!$A$4:$A$1000,0)),"")</f>
        <v>https://correiaricardina-ui.github.io/questionarios/Prova_Cuidar_Integridade_Corpo_v1.html</v>
      </c>
    </row>
    <row r="9" customFormat="false" ht="42" hidden="false" customHeight="true" outlineLevel="0" collapsed="false">
      <c r="A9" s="5" t="str">
        <f aca="false">IFERROR(INDEX(Catálogo!A$4:A$1000,MATCH($A$1&amp;"|"&amp;6,Índice!$A$4:$A$1000,0)),"")</f>
        <v/>
      </c>
      <c r="B9" s="6" t="str">
        <f aca="false">IFERROR(INDEX(Catálogo!B$4:B$1000,MATCH($A$1&amp;"|"&amp;6,Índice!$A$4:$A$1000,0)),"")</f>
        <v/>
      </c>
      <c r="C9" s="6" t="str">
        <f aca="false">IFERROR(INDEX(Catálogo!C$4:C$1000,MATCH($A$1&amp;"|"&amp;6,Índice!$A$4:$A$1000,0)),"")</f>
        <v/>
      </c>
      <c r="D9" s="6" t="str">
        <f aca="false">IFERROR(INDEX(Catálogo!D$4:D$1000,MATCH($A$1&amp;"|"&amp;6,Índice!$A$4:$A$1000,0)),"")</f>
        <v/>
      </c>
      <c r="E9" s="6" t="str">
        <f aca="false">IFERROR(INDEX(Catálogo!E$4:E$1000,MATCH($A$1&amp;"|"&amp;6,Índice!$A$4:$A$1000,0)),"")</f>
        <v/>
      </c>
      <c r="F9" s="5" t="str">
        <f aca="false">IFERROR(INDEX(Catálogo!F$4:F$1000,MATCH($A$1&amp;"|"&amp;6,Índice!$A$4:$A$1000,0)),"")</f>
        <v/>
      </c>
      <c r="G9" s="5" t="str">
        <f aca="false">IFERROR(INDEX(Catálogo!G$4:G$1000,MATCH($A$1&amp;"|"&amp;6,Índice!$A$4:$A$1000,0)),"")</f>
        <v/>
      </c>
      <c r="H9" s="5" t="str">
        <f aca="false">IFERROR(INDEX(Catálogo!H$4:H$1000,MATCH($A$1&amp;"|"&amp;6,Índice!$A$4:$A$1000,0)),"")</f>
        <v/>
      </c>
      <c r="I9" s="6" t="str">
        <f aca="false">IFERROR(INDEX(Catálogo!I$4:I$1000,MATCH($A$1&amp;"|"&amp;6,Índice!$A$4:$A$1000,0)),"")</f>
        <v/>
      </c>
      <c r="J9" s="6" t="str">
        <f aca="false">IFERROR(INDEX(Catálogo!J$4:J$1000,MATCH($A$1&amp;"|"&amp;6,Índice!$A$4:$A$1000,0)),"")</f>
        <v/>
      </c>
      <c r="K9" s="6" t="str">
        <f aca="false">IFERROR(INDEX(Catálogo!K$4:K$1000,MATCH($A$1&amp;"|"&amp;6,Índice!$A$4:$A$1000,0)),"")</f>
        <v/>
      </c>
      <c r="L9" s="6" t="str">
        <f aca="false">IFERROR(INDEX(Catálogo!L$4:L$1000,MATCH($A$1&amp;"|"&amp;6,Índice!$A$4:$A$1000,0)),"")</f>
        <v/>
      </c>
      <c r="M9" s="7" t="str">
        <f aca="false">IFERROR(INDEX(Catálogo!M$4:M$1000,MATCH($A$1&amp;"|"&amp;6,Índice!$A$4:$A$1000,0)),"")</f>
        <v/>
      </c>
    </row>
    <row r="10" customFormat="false" ht="42" hidden="false" customHeight="true" outlineLevel="0" collapsed="false">
      <c r="A10" s="5" t="str">
        <f aca="false">IFERROR(INDEX(Catálogo!A$4:A$1000,MATCH($A$1&amp;"|"&amp;7,Índice!$A$4:$A$1000,0)),"")</f>
        <v/>
      </c>
      <c r="B10" s="6" t="str">
        <f aca="false">IFERROR(INDEX(Catálogo!B$4:B$1000,MATCH($A$1&amp;"|"&amp;7,Índice!$A$4:$A$1000,0)),"")</f>
        <v/>
      </c>
      <c r="C10" s="6" t="str">
        <f aca="false">IFERROR(INDEX(Catálogo!C$4:C$1000,MATCH($A$1&amp;"|"&amp;7,Índice!$A$4:$A$1000,0)),"")</f>
        <v/>
      </c>
      <c r="D10" s="6" t="str">
        <f aca="false">IFERROR(INDEX(Catálogo!D$4:D$1000,MATCH($A$1&amp;"|"&amp;7,Índice!$A$4:$A$1000,0)),"")</f>
        <v/>
      </c>
      <c r="E10" s="6" t="str">
        <f aca="false">IFERROR(INDEX(Catálogo!E$4:E$1000,MATCH($A$1&amp;"|"&amp;7,Índice!$A$4:$A$1000,0)),"")</f>
        <v/>
      </c>
      <c r="F10" s="5" t="str">
        <f aca="false">IFERROR(INDEX(Catálogo!F$4:F$1000,MATCH($A$1&amp;"|"&amp;7,Índice!$A$4:$A$1000,0)),"")</f>
        <v/>
      </c>
      <c r="G10" s="5" t="str">
        <f aca="false">IFERROR(INDEX(Catálogo!G$4:G$1000,MATCH($A$1&amp;"|"&amp;7,Índice!$A$4:$A$1000,0)),"")</f>
        <v/>
      </c>
      <c r="H10" s="5" t="str">
        <f aca="false">IFERROR(INDEX(Catálogo!H$4:H$1000,MATCH($A$1&amp;"|"&amp;7,Índice!$A$4:$A$1000,0)),"")</f>
        <v/>
      </c>
      <c r="I10" s="6" t="str">
        <f aca="false">IFERROR(INDEX(Catálogo!I$4:I$1000,MATCH($A$1&amp;"|"&amp;7,Índice!$A$4:$A$1000,0)),"")</f>
        <v/>
      </c>
      <c r="J10" s="6" t="str">
        <f aca="false">IFERROR(INDEX(Catálogo!J$4:J$1000,MATCH($A$1&amp;"|"&amp;7,Índice!$A$4:$A$1000,0)),"")</f>
        <v/>
      </c>
      <c r="K10" s="6" t="str">
        <f aca="false">IFERROR(INDEX(Catálogo!K$4:K$1000,MATCH($A$1&amp;"|"&amp;7,Índice!$A$4:$A$1000,0)),"")</f>
        <v/>
      </c>
      <c r="L10" s="6" t="str">
        <f aca="false">IFERROR(INDEX(Catálogo!L$4:L$1000,MATCH($A$1&amp;"|"&amp;7,Índice!$A$4:$A$1000,0)),"")</f>
        <v/>
      </c>
      <c r="M10" s="7" t="str">
        <f aca="false">IFERROR(INDEX(Catálogo!M$4:M$1000,MATCH($A$1&amp;"|"&amp;7,Índice!$A$4:$A$1000,0)),"")</f>
        <v/>
      </c>
    </row>
    <row r="11" customFormat="false" ht="42" hidden="false" customHeight="true" outlineLevel="0" collapsed="false">
      <c r="A11" s="5" t="str">
        <f aca="false">IFERROR(INDEX(Catálogo!A$4:A$1000,MATCH($A$1&amp;"|"&amp;8,Índice!$A$4:$A$1000,0)),"")</f>
        <v/>
      </c>
      <c r="B11" s="6" t="str">
        <f aca="false">IFERROR(INDEX(Catálogo!B$4:B$1000,MATCH($A$1&amp;"|"&amp;8,Índice!$A$4:$A$1000,0)),"")</f>
        <v/>
      </c>
      <c r="C11" s="6" t="str">
        <f aca="false">IFERROR(INDEX(Catálogo!C$4:C$1000,MATCH($A$1&amp;"|"&amp;8,Índice!$A$4:$A$1000,0)),"")</f>
        <v/>
      </c>
      <c r="D11" s="6" t="str">
        <f aca="false">IFERROR(INDEX(Catálogo!D$4:D$1000,MATCH($A$1&amp;"|"&amp;8,Índice!$A$4:$A$1000,0)),"")</f>
        <v/>
      </c>
      <c r="E11" s="6" t="str">
        <f aca="false">IFERROR(INDEX(Catálogo!E$4:E$1000,MATCH($A$1&amp;"|"&amp;8,Índice!$A$4:$A$1000,0)),"")</f>
        <v/>
      </c>
      <c r="F11" s="5" t="str">
        <f aca="false">IFERROR(INDEX(Catálogo!F$4:F$1000,MATCH($A$1&amp;"|"&amp;8,Índice!$A$4:$A$1000,0)),"")</f>
        <v/>
      </c>
      <c r="G11" s="5" t="str">
        <f aca="false">IFERROR(INDEX(Catálogo!G$4:G$1000,MATCH($A$1&amp;"|"&amp;8,Índice!$A$4:$A$1000,0)),"")</f>
        <v/>
      </c>
      <c r="H11" s="5" t="str">
        <f aca="false">IFERROR(INDEX(Catálogo!H$4:H$1000,MATCH($A$1&amp;"|"&amp;8,Índice!$A$4:$A$1000,0)),"")</f>
        <v/>
      </c>
      <c r="I11" s="6" t="str">
        <f aca="false">IFERROR(INDEX(Catálogo!I$4:I$1000,MATCH($A$1&amp;"|"&amp;8,Índice!$A$4:$A$1000,0)),"")</f>
        <v/>
      </c>
      <c r="J11" s="6" t="str">
        <f aca="false">IFERROR(INDEX(Catálogo!J$4:J$1000,MATCH($A$1&amp;"|"&amp;8,Índice!$A$4:$A$1000,0)),"")</f>
        <v/>
      </c>
      <c r="K11" s="6" t="str">
        <f aca="false">IFERROR(INDEX(Catálogo!K$4:K$1000,MATCH($A$1&amp;"|"&amp;8,Índice!$A$4:$A$1000,0)),"")</f>
        <v/>
      </c>
      <c r="L11" s="6" t="str">
        <f aca="false">IFERROR(INDEX(Catálogo!L$4:L$1000,MATCH($A$1&amp;"|"&amp;8,Índice!$A$4:$A$1000,0)),"")</f>
        <v/>
      </c>
      <c r="M11" s="7" t="str">
        <f aca="false">IFERROR(INDEX(Catálogo!M$4:M$1000,MATCH($A$1&amp;"|"&amp;8,Índice!$A$4:$A$1000,0)),"")</f>
        <v/>
      </c>
    </row>
    <row r="12" customFormat="false" ht="42" hidden="false" customHeight="true" outlineLevel="0" collapsed="false">
      <c r="A12" s="5" t="str">
        <f aca="false">IFERROR(INDEX(Catálogo!A$4:A$1000,MATCH($A$1&amp;"|"&amp;9,Índice!$A$4:$A$1000,0)),"")</f>
        <v/>
      </c>
      <c r="B12" s="6" t="str">
        <f aca="false">IFERROR(INDEX(Catálogo!B$4:B$1000,MATCH($A$1&amp;"|"&amp;9,Índice!$A$4:$A$1000,0)),"")</f>
        <v/>
      </c>
      <c r="C12" s="6" t="str">
        <f aca="false">IFERROR(INDEX(Catálogo!C$4:C$1000,MATCH($A$1&amp;"|"&amp;9,Índice!$A$4:$A$1000,0)),"")</f>
        <v/>
      </c>
      <c r="D12" s="6" t="str">
        <f aca="false">IFERROR(INDEX(Catálogo!D$4:D$1000,MATCH($A$1&amp;"|"&amp;9,Índice!$A$4:$A$1000,0)),"")</f>
        <v/>
      </c>
      <c r="E12" s="6" t="str">
        <f aca="false">IFERROR(INDEX(Catálogo!E$4:E$1000,MATCH($A$1&amp;"|"&amp;9,Índice!$A$4:$A$1000,0)),"")</f>
        <v/>
      </c>
      <c r="F12" s="5" t="str">
        <f aca="false">IFERROR(INDEX(Catálogo!F$4:F$1000,MATCH($A$1&amp;"|"&amp;9,Índice!$A$4:$A$1000,0)),"")</f>
        <v/>
      </c>
      <c r="G12" s="5" t="str">
        <f aca="false">IFERROR(INDEX(Catálogo!G$4:G$1000,MATCH($A$1&amp;"|"&amp;9,Índice!$A$4:$A$1000,0)),"")</f>
        <v/>
      </c>
      <c r="H12" s="5" t="str">
        <f aca="false">IFERROR(INDEX(Catálogo!H$4:H$1000,MATCH($A$1&amp;"|"&amp;9,Índice!$A$4:$A$1000,0)),"")</f>
        <v/>
      </c>
      <c r="I12" s="6" t="str">
        <f aca="false">IFERROR(INDEX(Catálogo!I$4:I$1000,MATCH($A$1&amp;"|"&amp;9,Índice!$A$4:$A$1000,0)),"")</f>
        <v/>
      </c>
      <c r="J12" s="6" t="str">
        <f aca="false">IFERROR(INDEX(Catálogo!J$4:J$1000,MATCH($A$1&amp;"|"&amp;9,Índice!$A$4:$A$1000,0)),"")</f>
        <v/>
      </c>
      <c r="K12" s="6" t="str">
        <f aca="false">IFERROR(INDEX(Catálogo!K$4:K$1000,MATCH($A$1&amp;"|"&amp;9,Índice!$A$4:$A$1000,0)),"")</f>
        <v/>
      </c>
      <c r="L12" s="6" t="str">
        <f aca="false">IFERROR(INDEX(Catálogo!L$4:L$1000,MATCH($A$1&amp;"|"&amp;9,Índice!$A$4:$A$1000,0)),"")</f>
        <v/>
      </c>
      <c r="M12" s="7" t="str">
        <f aca="false">IFERROR(INDEX(Catálogo!M$4:M$1000,MATCH($A$1&amp;"|"&amp;9,Índice!$A$4:$A$1000,0)),"")</f>
        <v/>
      </c>
    </row>
    <row r="13" customFormat="false" ht="42" hidden="false" customHeight="true" outlineLevel="0" collapsed="false">
      <c r="A13" s="5" t="str">
        <f aca="false">IFERROR(INDEX(Catálogo!A$4:A$1000,MATCH($A$1&amp;"|"&amp;10,Índice!$A$4:$A$1000,0)),"")</f>
        <v/>
      </c>
      <c r="B13" s="6" t="str">
        <f aca="false">IFERROR(INDEX(Catálogo!B$4:B$1000,MATCH($A$1&amp;"|"&amp;10,Índice!$A$4:$A$1000,0)),"")</f>
        <v/>
      </c>
      <c r="C13" s="6" t="str">
        <f aca="false">IFERROR(INDEX(Catálogo!C$4:C$1000,MATCH($A$1&amp;"|"&amp;10,Índice!$A$4:$A$1000,0)),"")</f>
        <v/>
      </c>
      <c r="D13" s="6" t="str">
        <f aca="false">IFERROR(INDEX(Catálogo!D$4:D$1000,MATCH($A$1&amp;"|"&amp;10,Índice!$A$4:$A$1000,0)),"")</f>
        <v/>
      </c>
      <c r="E13" s="6" t="str">
        <f aca="false">IFERROR(INDEX(Catálogo!E$4:E$1000,MATCH($A$1&amp;"|"&amp;10,Índice!$A$4:$A$1000,0)),"")</f>
        <v/>
      </c>
      <c r="F13" s="5" t="str">
        <f aca="false">IFERROR(INDEX(Catálogo!F$4:F$1000,MATCH($A$1&amp;"|"&amp;10,Índice!$A$4:$A$1000,0)),"")</f>
        <v/>
      </c>
      <c r="G13" s="5" t="str">
        <f aca="false">IFERROR(INDEX(Catálogo!G$4:G$1000,MATCH($A$1&amp;"|"&amp;10,Índice!$A$4:$A$1000,0)),"")</f>
        <v/>
      </c>
      <c r="H13" s="5" t="str">
        <f aca="false">IFERROR(INDEX(Catálogo!H$4:H$1000,MATCH($A$1&amp;"|"&amp;10,Índice!$A$4:$A$1000,0)),"")</f>
        <v/>
      </c>
      <c r="I13" s="6" t="str">
        <f aca="false">IFERROR(INDEX(Catálogo!I$4:I$1000,MATCH($A$1&amp;"|"&amp;10,Índice!$A$4:$A$1000,0)),"")</f>
        <v/>
      </c>
      <c r="J13" s="6" t="str">
        <f aca="false">IFERROR(INDEX(Catálogo!J$4:J$1000,MATCH($A$1&amp;"|"&amp;10,Índice!$A$4:$A$1000,0)),"")</f>
        <v/>
      </c>
      <c r="K13" s="6" t="str">
        <f aca="false">IFERROR(INDEX(Catálogo!K$4:K$1000,MATCH($A$1&amp;"|"&amp;10,Índice!$A$4:$A$1000,0)),"")</f>
        <v/>
      </c>
      <c r="L13" s="6" t="str">
        <f aca="false">IFERROR(INDEX(Catálogo!L$4:L$1000,MATCH($A$1&amp;"|"&amp;10,Índice!$A$4:$A$1000,0)),"")</f>
        <v/>
      </c>
      <c r="M13" s="7" t="str">
        <f aca="false">IFERROR(INDEX(Catálogo!M$4:M$1000,MATCH($A$1&amp;"|"&amp;10,Índice!$A$4:$A$1000,0)),"")</f>
        <v/>
      </c>
    </row>
    <row r="14" customFormat="false" ht="42" hidden="false" customHeight="true" outlineLevel="0" collapsed="false">
      <c r="A14" s="5" t="str">
        <f aca="false">IFERROR(INDEX(Catálogo!A$4:A$1000,MATCH($A$1&amp;"|"&amp;11,Índice!$A$4:$A$1000,0)),"")</f>
        <v/>
      </c>
      <c r="B14" s="6" t="str">
        <f aca="false">IFERROR(INDEX(Catálogo!B$4:B$1000,MATCH($A$1&amp;"|"&amp;11,Índice!$A$4:$A$1000,0)),"")</f>
        <v/>
      </c>
      <c r="C14" s="6" t="str">
        <f aca="false">IFERROR(INDEX(Catálogo!C$4:C$1000,MATCH($A$1&amp;"|"&amp;11,Índice!$A$4:$A$1000,0)),"")</f>
        <v/>
      </c>
      <c r="D14" s="6" t="str">
        <f aca="false">IFERROR(INDEX(Catálogo!D$4:D$1000,MATCH($A$1&amp;"|"&amp;11,Índice!$A$4:$A$1000,0)),"")</f>
        <v/>
      </c>
      <c r="E14" s="6" t="str">
        <f aca="false">IFERROR(INDEX(Catálogo!E$4:E$1000,MATCH($A$1&amp;"|"&amp;11,Índice!$A$4:$A$1000,0)),"")</f>
        <v/>
      </c>
      <c r="F14" s="5" t="str">
        <f aca="false">IFERROR(INDEX(Catálogo!F$4:F$1000,MATCH($A$1&amp;"|"&amp;11,Índice!$A$4:$A$1000,0)),"")</f>
        <v/>
      </c>
      <c r="G14" s="5" t="str">
        <f aca="false">IFERROR(INDEX(Catálogo!G$4:G$1000,MATCH($A$1&amp;"|"&amp;11,Índice!$A$4:$A$1000,0)),"")</f>
        <v/>
      </c>
      <c r="H14" s="5" t="str">
        <f aca="false">IFERROR(INDEX(Catálogo!H$4:H$1000,MATCH($A$1&amp;"|"&amp;11,Índice!$A$4:$A$1000,0)),"")</f>
        <v/>
      </c>
      <c r="I14" s="6" t="str">
        <f aca="false">IFERROR(INDEX(Catálogo!I$4:I$1000,MATCH($A$1&amp;"|"&amp;11,Índice!$A$4:$A$1000,0)),"")</f>
        <v/>
      </c>
      <c r="J14" s="6" t="str">
        <f aca="false">IFERROR(INDEX(Catálogo!J$4:J$1000,MATCH($A$1&amp;"|"&amp;11,Índice!$A$4:$A$1000,0)),"")</f>
        <v/>
      </c>
      <c r="K14" s="6" t="str">
        <f aca="false">IFERROR(INDEX(Catálogo!K$4:K$1000,MATCH($A$1&amp;"|"&amp;11,Índice!$A$4:$A$1000,0)),"")</f>
        <v/>
      </c>
      <c r="L14" s="6" t="str">
        <f aca="false">IFERROR(INDEX(Catálogo!L$4:L$1000,MATCH($A$1&amp;"|"&amp;11,Índice!$A$4:$A$1000,0)),"")</f>
        <v/>
      </c>
      <c r="M14" s="7" t="str">
        <f aca="false">IFERROR(INDEX(Catálogo!M$4:M$1000,MATCH($A$1&amp;"|"&amp;11,Índice!$A$4:$A$1000,0)),"")</f>
        <v/>
      </c>
    </row>
    <row r="15" customFormat="false" ht="42" hidden="false" customHeight="true" outlineLevel="0" collapsed="false">
      <c r="A15" s="5" t="str">
        <f aca="false">IFERROR(INDEX(Catálogo!A$4:A$1000,MATCH($A$1&amp;"|"&amp;12,Índice!$A$4:$A$1000,0)),"")</f>
        <v/>
      </c>
      <c r="B15" s="6" t="str">
        <f aca="false">IFERROR(INDEX(Catálogo!B$4:B$1000,MATCH($A$1&amp;"|"&amp;12,Índice!$A$4:$A$1000,0)),"")</f>
        <v/>
      </c>
      <c r="C15" s="6" t="str">
        <f aca="false">IFERROR(INDEX(Catálogo!C$4:C$1000,MATCH($A$1&amp;"|"&amp;12,Índice!$A$4:$A$1000,0)),"")</f>
        <v/>
      </c>
      <c r="D15" s="6" t="str">
        <f aca="false">IFERROR(INDEX(Catálogo!D$4:D$1000,MATCH($A$1&amp;"|"&amp;12,Índice!$A$4:$A$1000,0)),"")</f>
        <v/>
      </c>
      <c r="E15" s="6" t="str">
        <f aca="false">IFERROR(INDEX(Catálogo!E$4:E$1000,MATCH($A$1&amp;"|"&amp;12,Índice!$A$4:$A$1000,0)),"")</f>
        <v/>
      </c>
      <c r="F15" s="5" t="str">
        <f aca="false">IFERROR(INDEX(Catálogo!F$4:F$1000,MATCH($A$1&amp;"|"&amp;12,Índice!$A$4:$A$1000,0)),"")</f>
        <v/>
      </c>
      <c r="G15" s="5" t="str">
        <f aca="false">IFERROR(INDEX(Catálogo!G$4:G$1000,MATCH($A$1&amp;"|"&amp;12,Índice!$A$4:$A$1000,0)),"")</f>
        <v/>
      </c>
      <c r="H15" s="5" t="str">
        <f aca="false">IFERROR(INDEX(Catálogo!H$4:H$1000,MATCH($A$1&amp;"|"&amp;12,Índice!$A$4:$A$1000,0)),"")</f>
        <v/>
      </c>
      <c r="I15" s="6" t="str">
        <f aca="false">IFERROR(INDEX(Catálogo!I$4:I$1000,MATCH($A$1&amp;"|"&amp;12,Índice!$A$4:$A$1000,0)),"")</f>
        <v/>
      </c>
      <c r="J15" s="6" t="str">
        <f aca="false">IFERROR(INDEX(Catálogo!J$4:J$1000,MATCH($A$1&amp;"|"&amp;12,Índice!$A$4:$A$1000,0)),"")</f>
        <v/>
      </c>
      <c r="K15" s="6" t="str">
        <f aca="false">IFERROR(INDEX(Catálogo!K$4:K$1000,MATCH($A$1&amp;"|"&amp;12,Índice!$A$4:$A$1000,0)),"")</f>
        <v/>
      </c>
      <c r="L15" s="6" t="str">
        <f aca="false">IFERROR(INDEX(Catálogo!L$4:L$1000,MATCH($A$1&amp;"|"&amp;12,Índice!$A$4:$A$1000,0)),"")</f>
        <v/>
      </c>
      <c r="M15" s="7" t="str">
        <f aca="false">IFERROR(INDEX(Catálogo!M$4:M$1000,MATCH($A$1&amp;"|"&amp;12,Índice!$A$4:$A$1000,0)),"")</f>
        <v/>
      </c>
    </row>
    <row r="16" customFormat="false" ht="42" hidden="false" customHeight="true" outlineLevel="0" collapsed="false">
      <c r="A16" s="5" t="str">
        <f aca="false">IFERROR(INDEX(Catálogo!A$4:A$1000,MATCH($A$1&amp;"|"&amp;13,Índice!$A$4:$A$1000,0)),"")</f>
        <v/>
      </c>
      <c r="B16" s="6" t="str">
        <f aca="false">IFERROR(INDEX(Catálogo!B$4:B$1000,MATCH($A$1&amp;"|"&amp;13,Índice!$A$4:$A$1000,0)),"")</f>
        <v/>
      </c>
      <c r="C16" s="6" t="str">
        <f aca="false">IFERROR(INDEX(Catálogo!C$4:C$1000,MATCH($A$1&amp;"|"&amp;13,Índice!$A$4:$A$1000,0)),"")</f>
        <v/>
      </c>
      <c r="D16" s="6" t="str">
        <f aca="false">IFERROR(INDEX(Catálogo!D$4:D$1000,MATCH($A$1&amp;"|"&amp;13,Índice!$A$4:$A$1000,0)),"")</f>
        <v/>
      </c>
      <c r="E16" s="6" t="str">
        <f aca="false">IFERROR(INDEX(Catálogo!E$4:E$1000,MATCH($A$1&amp;"|"&amp;13,Índice!$A$4:$A$1000,0)),"")</f>
        <v/>
      </c>
      <c r="F16" s="5" t="str">
        <f aca="false">IFERROR(INDEX(Catálogo!F$4:F$1000,MATCH($A$1&amp;"|"&amp;13,Índice!$A$4:$A$1000,0)),"")</f>
        <v/>
      </c>
      <c r="G16" s="5" t="str">
        <f aca="false">IFERROR(INDEX(Catálogo!G$4:G$1000,MATCH($A$1&amp;"|"&amp;13,Índice!$A$4:$A$1000,0)),"")</f>
        <v/>
      </c>
      <c r="H16" s="5" t="str">
        <f aca="false">IFERROR(INDEX(Catálogo!H$4:H$1000,MATCH($A$1&amp;"|"&amp;13,Índice!$A$4:$A$1000,0)),"")</f>
        <v/>
      </c>
      <c r="I16" s="6" t="str">
        <f aca="false">IFERROR(INDEX(Catálogo!I$4:I$1000,MATCH($A$1&amp;"|"&amp;13,Índice!$A$4:$A$1000,0)),"")</f>
        <v/>
      </c>
      <c r="J16" s="6" t="str">
        <f aca="false">IFERROR(INDEX(Catálogo!J$4:J$1000,MATCH($A$1&amp;"|"&amp;13,Índice!$A$4:$A$1000,0)),"")</f>
        <v/>
      </c>
      <c r="K16" s="6" t="str">
        <f aca="false">IFERROR(INDEX(Catálogo!K$4:K$1000,MATCH($A$1&amp;"|"&amp;13,Índice!$A$4:$A$1000,0)),"")</f>
        <v/>
      </c>
      <c r="L16" s="6" t="str">
        <f aca="false">IFERROR(INDEX(Catálogo!L$4:L$1000,MATCH($A$1&amp;"|"&amp;13,Índice!$A$4:$A$1000,0)),"")</f>
        <v/>
      </c>
      <c r="M16" s="7" t="str">
        <f aca="false">IFERROR(INDEX(Catálogo!M$4:M$1000,MATCH($A$1&amp;"|"&amp;13,Índice!$A$4:$A$1000,0)),"")</f>
        <v/>
      </c>
    </row>
  </sheetData>
  <autoFilter ref="A3:M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72</v>
      </c>
      <c r="I1" s="17" t="str">
        <f aca="false">COUNTIF(Catálogo!$C$4:$C$1000,$A$1)&amp;IF(COUNTIF(Catálogo!$C$4:$C$1000,$A$1)=1," instrumento nesta área"," instrumentos nesta área")</f>
        <v>10 instrumentos nesta área</v>
      </c>
    </row>
    <row r="2" customFormat="false" ht="15" hidden="false" customHeight="true" outlineLevel="0" collapsed="false">
      <c r="A2" s="18" t="s">
        <v>1488</v>
      </c>
      <c r="I2" s="19" t="str">
        <f aca="false">IF(COUNTIF(Catálogo!$C$4:$C$1000,$A$1)&gt;17,"⚠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9</v>
      </c>
      <c r="B4" s="6" t="str">
        <f aca="false">IFERROR(INDEX(Catálogo!B$4:B$1000,MATCH($A$1&amp;"|"&amp;1,Índice!$A$4:$A$1000,0)),"")</f>
        <v>AQ Buss-Perry — Agressividade</v>
      </c>
      <c r="C4" s="6" t="str">
        <f aca="false">IFERROR(INDEX(Catálogo!C$4:C$1000,MATCH($A$1&amp;"|"&amp;1,Índice!$A$4:$A$1000,0)),"")</f>
        <v>Externalização &amp; Comportamento</v>
      </c>
      <c r="D4" s="6" t="str">
        <f aca="false">IFERROR(INDEX(Catálogo!D$4:D$1000,MATCH($A$1&amp;"|"&amp;1,Índice!$A$4:$A$1000,0)),"")</f>
        <v>Paciente</v>
      </c>
      <c r="E4" s="6" t="str">
        <f aca="false">IFERROR(INDEX(Catálogo!E$4:E$1000,MATCH($A$1&amp;"|"&amp;1,Índice!$A$4:$A$1000,0)),"")</f>
        <v>Adultos (≥16 anos)</v>
      </c>
      <c r="F4" s="5" t="n">
        <f aca="false">IFERROR(INDEX(Catálogo!F$4:F$1000,MATCH($A$1&amp;"|"&amp;1,Índice!$A$4:$A$1000,0)),"")</f>
        <v>16</v>
      </c>
      <c r="G4" s="5" t="n">
        <f aca="false">IFERROR(INDEX(Catálogo!G$4:G$1000,MATCH($A$1&amp;"|"&amp;1,Índice!$A$4:$A$1000,0)),"")</f>
        <v>99</v>
      </c>
      <c r="H4" s="5" t="n">
        <f aca="false">IFERROR(INDEX(Catálogo!H$4:H$1000,MATCH($A$1&amp;"|"&amp;1,Índice!$A$4:$A$1000,0)),"")</f>
        <v>5</v>
      </c>
      <c r="I4" s="6" t="str">
        <f aca="false">IFERROR(INDEX(Catálogo!I$4:I$1000,MATCH($A$1&amp;"|"&amp;1,Índice!$A$4:$A$1000,0)),"")</f>
        <v>Auto-relato (29 itens, ~5-8 min) para avaliação multidimensional da agressividade (Buss &amp; Perry, 1992; adaptação portuguesa Cunha &amp; Gonçalves, 2012, n=633 universitários). Quatro subescalas: Agressividade Física (AF, 9 itens), Agressividade Verbal (AV, 5 itens), Raiva/Ira (7 itens), Hostilidade (HO, 8 itens) + Total AQ. Escala Likert 1-5. Itens 9 e 16 invertidos. Classificação em 4 níveis por sexo (Baixa, Média, Elevada, Muito Elevada). Aviso técnico: a subescala Agressividade Verbal tem consistência interna baixa (α=.56) — interpretar com prudência. Os domínios não são visíveis ao paciente durante o preenchimento.</v>
      </c>
      <c r="J4" s="6" t="str">
        <f aca="false">IFERROR(INDEX(Catálogo!J$4:J$1000,MATCH($A$1&amp;"|"&amp;1,Índice!$A$4:$A$1000,0)),"")</f>
        <v>Agressividade Física (AF); Agressividade Verbal (AV); Raiva/Ira; Hostilidade (HO); Total AQ</v>
      </c>
      <c r="K4" s="6" t="str">
        <f aca="false">IFERROR(INDEX(Catálogo!K$4:K$1000,MATCH($A$1&amp;"|"&amp;1,Índice!$A$4:$A$1000,0)),"")</f>
        <v>aq_bussperry</v>
      </c>
      <c r="L4" s="6" t="str">
        <f aca="false">IFERROR(INDEX(Catálogo!L$4:L$1000,MATCH($A$1&amp;"|"&amp;1,Índice!$A$4:$A$1000,0)),"")</f>
        <v>q_aq_bussperry</v>
      </c>
      <c r="M4" s="7" t="str">
        <f aca="false">IFERROR(INDEX(Catálogo!M$4:M$1000,MATCH($A$1&amp;"|"&amp;1,Índice!$A$4:$A$1000,0)),"")</f>
        <v>https://correiaricardina-ui.github.io/questionarios/AQ_BussPerry_v1.html</v>
      </c>
    </row>
    <row r="5" customFormat="false" ht="42" hidden="false" customHeight="true" outlineLevel="0" collapsed="false">
      <c r="A5" s="5" t="n">
        <f aca="false">IFERROR(INDEX(Catálogo!A$4:A$1000,MATCH($A$1&amp;"|"&amp;2,Índice!$A$4:$A$1000,0)),"")</f>
        <v>11</v>
      </c>
      <c r="B5" s="6" t="str">
        <f aca="false">IFERROR(INDEX(Catálogo!B$4:B$1000,MATCH($A$1&amp;"|"&amp;2,Índice!$A$4:$A$1000,0)),"")</f>
        <v>ASEBA — CBCL 1½-5</v>
      </c>
      <c r="C5" s="6" t="str">
        <f aca="false">IFERROR(INDEX(Catálogo!C$4:C$1000,MATCH($A$1&amp;"|"&amp;2,Índice!$A$4:$A$1000,0)),"")</f>
        <v>Externalização &amp; Comportamento</v>
      </c>
      <c r="D5" s="6" t="str">
        <f aca="false">IFERROR(INDEX(Catálogo!D$4:D$1000,MATCH($A$1&amp;"|"&amp;2,Índice!$A$4:$A$1000,0)),"")</f>
        <v>Pais, Mãe, Pai, Enc. Educação</v>
      </c>
      <c r="E5" s="6" t="str">
        <f aca="false">IFERROR(INDEX(Catálogo!E$4:E$1000,MATCH($A$1&amp;"|"&amp;2,Índice!$A$4:$A$1000,0)),"")</f>
        <v>1½–5 anos</v>
      </c>
      <c r="F5" s="5" t="n">
        <f aca="false">IFERROR(INDEX(Catálogo!F$4:F$1000,MATCH($A$1&amp;"|"&amp;2,Índice!$A$4:$A$1000,0)),"")</f>
        <v>1.5</v>
      </c>
      <c r="G5" s="5" t="n">
        <f aca="false">IFERROR(INDEX(Catálogo!G$4:G$1000,MATCH($A$1&amp;"|"&amp;2,Índice!$A$4:$A$1000,0)),"")</f>
        <v>5.9</v>
      </c>
      <c r="H5" s="5" t="n">
        <f aca="false">IFERROR(INDEX(Catálogo!H$4:H$1000,MATCH($A$1&amp;"|"&amp;2,Índice!$A$4:$A$1000,0)),"")</f>
        <v>10</v>
      </c>
      <c r="I5" s="6" t="str">
        <f aca="false">IFERROR(INDEX(Catálogo!I$4:I$1000,MATCH($A$1&amp;"|"&amp;2,Índice!$A$4:$A$1000,0)),"")</f>
        <v>Avaliar problemas emocionais e comportamentais em idade pré-escolar</v>
      </c>
      <c r="J5" s="6" t="str">
        <f aca="false">IFERROR(INDEX(Catálogo!J$4:J$1000,MATCH($A$1&amp;"|"&amp;2,Índice!$A$4:$A$1000,0)),"")</f>
        <v>Internalizante; Externalizante; Total; Reatividade Emocional; Ansiedade; Queixas Somáticas; Retraimento; Problemas de Sono; Problemas de Atenção; Comportamento Agressivo</v>
      </c>
      <c r="K5" s="6" t="str">
        <f aca="false">IFERROR(INDEX(Catálogo!K$4:K$1000,MATCH($A$1&amp;"|"&amp;2,Índice!$A$4:$A$1000,0)),"")</f>
        <v>cbcl15</v>
      </c>
      <c r="L5" s="6" t="str">
        <f aca="false">IFERROR(INDEX(Catálogo!L$4:L$1000,MATCH($A$1&amp;"|"&amp;2,Índice!$A$4:$A$1000,0)),"")</f>
        <v>q_cbcl_15</v>
      </c>
      <c r="M5" s="7" t="str">
        <f aca="false">IFERROR(INDEX(Catálogo!M$4:M$1000,MATCH($A$1&amp;"|"&amp;2,Índice!$A$4:$A$1000,0)),"")</f>
        <v>https://correiaricardina-ui.github.io/questionarios/CBCL_15_v5.html</v>
      </c>
    </row>
    <row r="6" customFormat="false" ht="42" hidden="false" customHeight="true" outlineLevel="0" collapsed="false">
      <c r="A6" s="5" t="n">
        <f aca="false">IFERROR(INDEX(Catálogo!A$4:A$1000,MATCH($A$1&amp;"|"&amp;3,Índice!$A$4:$A$1000,0)),"")</f>
        <v>12</v>
      </c>
      <c r="B6" s="6" t="str">
        <f aca="false">IFERROR(INDEX(Catálogo!B$4:B$1000,MATCH($A$1&amp;"|"&amp;3,Índice!$A$4:$A$1000,0)),"")</f>
        <v>ASEBA — CBCL 6-18</v>
      </c>
      <c r="C6" s="6" t="str">
        <f aca="false">IFERROR(INDEX(Catálogo!C$4:C$1000,MATCH($A$1&amp;"|"&amp;3,Índice!$A$4:$A$1000,0)),"")</f>
        <v>Externalização &amp; Comportamento</v>
      </c>
      <c r="D6" s="6" t="str">
        <f aca="false">IFERROR(INDEX(Catálogo!D$4:D$1000,MATCH($A$1&amp;"|"&amp;3,Índice!$A$4:$A$1000,0)),"")</f>
        <v>Pais, Mãe, Pai, Enc. Educação</v>
      </c>
      <c r="E6" s="6" t="str">
        <f aca="false">IFERROR(INDEX(Catálogo!E$4:E$1000,MATCH($A$1&amp;"|"&amp;3,Índice!$A$4:$A$1000,0)),"")</f>
        <v>6–18 anos</v>
      </c>
      <c r="F6" s="5" t="n">
        <f aca="false">IFERROR(INDEX(Catálogo!F$4:F$1000,MATCH($A$1&amp;"|"&amp;3,Índice!$A$4:$A$1000,0)),"")</f>
        <v>6</v>
      </c>
      <c r="G6" s="5" t="n">
        <f aca="false">IFERROR(INDEX(Catálogo!G$4:G$1000,MATCH($A$1&amp;"|"&amp;3,Índice!$A$4:$A$1000,0)),"")</f>
        <v>17.9</v>
      </c>
      <c r="H6" s="5" t="n">
        <f aca="false">IFERROR(INDEX(Catálogo!H$4:H$1000,MATCH($A$1&amp;"|"&amp;3,Índice!$A$4:$A$1000,0)),"")</f>
        <v>10</v>
      </c>
      <c r="I6" s="6" t="str">
        <f aca="false">IFERROR(INDEX(Catálogo!I$4:I$1000,MATCH($A$1&amp;"|"&amp;3,Índice!$A$4:$A$1000,0)),"")</f>
        <v>Avaliar problemas emocionais e comportamentais</v>
      </c>
      <c r="J6" s="6" t="str">
        <f aca="false">IFERROR(INDEX(Catálogo!J$4:J$1000,MATCH($A$1&amp;"|"&amp;3,Índice!$A$4:$A$1000,0)),"")</f>
        <v>Internalizante; Externalizante; Total; Ansiedade/Depressão; Queixas Somáticas; Isolamento; Problemas Sociais; Problemas de Atenção; Comportamento Agressivo; Comportamento de Quebra de Regras</v>
      </c>
      <c r="K6" s="6" t="str">
        <f aca="false">IFERROR(INDEX(Catálogo!K$4:K$1000,MATCH($A$1&amp;"|"&amp;3,Índice!$A$4:$A$1000,0)),"")</f>
        <v>cbcl</v>
      </c>
      <c r="L6" s="6" t="str">
        <f aca="false">IFERROR(INDEX(Catálogo!L$4:L$1000,MATCH($A$1&amp;"|"&amp;3,Índice!$A$4:$A$1000,0)),"")</f>
        <v>q_aseba_cbcl</v>
      </c>
      <c r="M6" s="7" t="str">
        <f aca="false">IFERROR(INDEX(Catálogo!M$4:M$1000,MATCH($A$1&amp;"|"&amp;3,Índice!$A$4:$A$1000,0)),"")</f>
        <v>https://correiaricardina-ui.github.io/questionarios/CBCL_618_v1.html</v>
      </c>
    </row>
    <row r="7" customFormat="false" ht="42" hidden="false" customHeight="true" outlineLevel="0" collapsed="false">
      <c r="A7" s="5" t="n">
        <f aca="false">IFERROR(INDEX(Catálogo!A$4:A$1000,MATCH($A$1&amp;"|"&amp;4,Índice!$A$4:$A$1000,0)),"")</f>
        <v>13</v>
      </c>
      <c r="B7" s="6" t="str">
        <f aca="false">IFERROR(INDEX(Catálogo!B$4:B$1000,MATCH($A$1&amp;"|"&amp;4,Índice!$A$4:$A$1000,0)),"")</f>
        <v>ASEBA — TRF 6-18</v>
      </c>
      <c r="C7" s="6" t="str">
        <f aca="false">IFERROR(INDEX(Catálogo!C$4:C$1000,MATCH($A$1&amp;"|"&amp;4,Índice!$A$4:$A$1000,0)),"")</f>
        <v>Externalização &amp; Comportamento</v>
      </c>
      <c r="D7" s="6" t="str">
        <f aca="false">IFERROR(INDEX(Catálogo!D$4:D$1000,MATCH($A$1&amp;"|"&amp;4,Índice!$A$4:$A$1000,0)),"")</f>
        <v>Professor(a)</v>
      </c>
      <c r="E7" s="6" t="str">
        <f aca="false">IFERROR(INDEX(Catálogo!E$4:E$1000,MATCH($A$1&amp;"|"&amp;4,Índice!$A$4:$A$1000,0)),"")</f>
        <v>6–18 anos</v>
      </c>
      <c r="F7" s="5" t="n">
        <f aca="false">IFERROR(INDEX(Catálogo!F$4:F$1000,MATCH($A$1&amp;"|"&amp;4,Índice!$A$4:$A$1000,0)),"")</f>
        <v>6</v>
      </c>
      <c r="G7" s="5" t="n">
        <f aca="false">IFERROR(INDEX(Catálogo!G$4:G$1000,MATCH($A$1&amp;"|"&amp;4,Índice!$A$4:$A$1000,0)),"")</f>
        <v>17.9</v>
      </c>
      <c r="H7" s="5" t="n">
        <f aca="false">IFERROR(INDEX(Catálogo!H$4:H$1000,MATCH($A$1&amp;"|"&amp;4,Índice!$A$4:$A$1000,0)),"")</f>
        <v>5</v>
      </c>
      <c r="I7" s="6" t="str">
        <f aca="false">IFERROR(INDEX(Catálogo!I$4:I$1000,MATCH($A$1&amp;"|"&amp;4,Índice!$A$4:$A$1000,0)),"")</f>
        <v>Avaliar comportamento em contexto escolar (versão professor)</v>
      </c>
      <c r="J7" s="6" t="str">
        <f aca="false">IFERROR(INDEX(Catálogo!J$4:J$1000,MATCH($A$1&amp;"|"&amp;4,Índice!$A$4:$A$1000,0)),"")</f>
        <v>Internalizante; Externalizante; Total; Problemas de Atenção; Comportamento Agressivo</v>
      </c>
      <c r="K7" s="6" t="str">
        <f aca="false">IFERROR(INDEX(Catálogo!K$4:K$1000,MATCH($A$1&amp;"|"&amp;4,Índice!$A$4:$A$1000,0)),"")</f>
        <v>trf</v>
      </c>
      <c r="L7" s="6" t="str">
        <f aca="false">IFERROR(INDEX(Catálogo!L$4:L$1000,MATCH($A$1&amp;"|"&amp;4,Índice!$A$4:$A$1000,0)),"")</f>
        <v>q_aseba_trf</v>
      </c>
      <c r="M7" s="7" t="str">
        <f aca="false">IFERROR(INDEX(Catálogo!M$4:M$1000,MATCH($A$1&amp;"|"&amp;4,Índice!$A$4:$A$1000,0)),"")</f>
        <v>https://correiaricardina-ui.github.io/questionarios/TRF_618_v1.html</v>
      </c>
    </row>
    <row r="8" customFormat="false" ht="42" hidden="false" customHeight="true" outlineLevel="0" collapsed="false">
      <c r="A8" s="5" t="n">
        <f aca="false">IFERROR(INDEX(Catálogo!A$4:A$1000,MATCH($A$1&amp;"|"&amp;5,Índice!$A$4:$A$1000,0)),"")</f>
        <v>14</v>
      </c>
      <c r="B8" s="6" t="str">
        <f aca="false">IFERROR(INDEX(Catálogo!B$4:B$1000,MATCH($A$1&amp;"|"&amp;5,Índice!$A$4:$A$1000,0)),"")</f>
        <v>ASEBA — YSR 11-18</v>
      </c>
      <c r="C8" s="6" t="str">
        <f aca="false">IFERROR(INDEX(Catálogo!C$4:C$1000,MATCH($A$1&amp;"|"&amp;5,Índice!$A$4:$A$1000,0)),"")</f>
        <v>Externalização &amp; Comportamento</v>
      </c>
      <c r="D8" s="6" t="str">
        <f aca="false">IFERROR(INDEX(Catálogo!D$4:D$1000,MATCH($A$1&amp;"|"&amp;5,Índice!$A$4:$A$1000,0)),"")</f>
        <v>Paciente</v>
      </c>
      <c r="E8" s="6" t="str">
        <f aca="false">IFERROR(INDEX(Catálogo!E$4:E$1000,MATCH($A$1&amp;"|"&amp;5,Índice!$A$4:$A$1000,0)),"")</f>
        <v>11–18 anos</v>
      </c>
      <c r="F8" s="5" t="n">
        <f aca="false">IFERROR(INDEX(Catálogo!F$4:F$1000,MATCH($A$1&amp;"|"&amp;5,Índice!$A$4:$A$1000,0)),"")</f>
        <v>11</v>
      </c>
      <c r="G8" s="5" t="n">
        <f aca="false">IFERROR(INDEX(Catálogo!G$4:G$1000,MATCH($A$1&amp;"|"&amp;5,Índice!$A$4:$A$1000,0)),"")</f>
        <v>17.9</v>
      </c>
      <c r="H8" s="5" t="n">
        <f aca="false">IFERROR(INDEX(Catálogo!H$4:H$1000,MATCH($A$1&amp;"|"&amp;5,Índice!$A$4:$A$1000,0)),"")</f>
        <v>9</v>
      </c>
      <c r="I8" s="6" t="str">
        <f aca="false">IFERROR(INDEX(Catálogo!I$4:I$1000,MATCH($A$1&amp;"|"&amp;5,Índice!$A$4:$A$1000,0)),"")</f>
        <v>Auto-avaliação de problemas emocionais e comportamentais</v>
      </c>
      <c r="J8" s="6" t="str">
        <f aca="false">IFERROR(INDEX(Catálogo!J$4:J$1000,MATCH($A$1&amp;"|"&amp;5,Índice!$A$4:$A$1000,0)),"")</f>
        <v>Internalizante; Externalizante; Total; Ansiedade/Depressão; Isolamento; Queixas Somáticas; Problemas Sociais; Problemas de Atenção; Comportamento Agressivo</v>
      </c>
      <c r="K8" s="6" t="str">
        <f aca="false">IFERROR(INDEX(Catálogo!K$4:K$1000,MATCH($A$1&amp;"|"&amp;5,Índice!$A$4:$A$1000,0)),"")</f>
        <v>ysr</v>
      </c>
      <c r="L8" s="6" t="str">
        <f aca="false">IFERROR(INDEX(Catálogo!L$4:L$1000,MATCH($A$1&amp;"|"&amp;5,Índice!$A$4:$A$1000,0)),"")</f>
        <v>q_aseba_ysr</v>
      </c>
      <c r="M8" s="7" t="str">
        <f aca="false">IFERROR(INDEX(Catálogo!M$4:M$1000,MATCH($A$1&amp;"|"&amp;5,Índice!$A$4:$A$1000,0)),"")</f>
        <v>https://correiaricardina-ui.github.io/questionarios/YSR_1118_v2.html</v>
      </c>
    </row>
    <row r="9" customFormat="false" ht="42" hidden="false" customHeight="true" outlineLevel="0" collapsed="false">
      <c r="A9" s="5" t="n">
        <f aca="false">IFERROR(INDEX(Catálogo!A$4:A$1000,MATCH($A$1&amp;"|"&amp;6,Índice!$A$4:$A$1000,0)),"")</f>
        <v>51</v>
      </c>
      <c r="B9" s="6" t="str">
        <f aca="false">IFERROR(INDEX(Catálogo!B$4:B$1000,MATCH($A$1&amp;"|"&amp;6,Índice!$A$4:$A$1000,0)),"")</f>
        <v>CTRF-15</v>
      </c>
      <c r="C9" s="6" t="str">
        <f aca="false">IFERROR(INDEX(Catálogo!C$4:C$1000,MATCH($A$1&amp;"|"&amp;6,Índice!$A$4:$A$1000,0)),"")</f>
        <v>Externalização &amp; Comportamento</v>
      </c>
      <c r="D9" s="6" t="str">
        <f aca="false">IFERROR(INDEX(Catálogo!D$4:D$1000,MATCH($A$1&amp;"|"&amp;6,Índice!$A$4:$A$1000,0)),"")</f>
        <v>Professor(a), Educador(a)</v>
      </c>
      <c r="E9" s="6" t="str">
        <f aca="false">IFERROR(INDEX(Catálogo!E$4:E$1000,MATCH($A$1&amp;"|"&amp;6,Índice!$A$4:$A$1000,0)),"")</f>
        <v>1½–5 anos</v>
      </c>
      <c r="F9" s="5" t="n">
        <f aca="false">IFERROR(INDEX(Catálogo!F$4:F$1000,MATCH($A$1&amp;"|"&amp;6,Índice!$A$4:$A$1000,0)),"")</f>
        <v>1.5</v>
      </c>
      <c r="G9" s="5" t="n">
        <f aca="false">IFERROR(INDEX(Catálogo!G$4:G$1000,MATCH($A$1&amp;"|"&amp;6,Índice!$A$4:$A$1000,0)),"")</f>
        <v>5.9</v>
      </c>
      <c r="H9" s="5" t="n">
        <f aca="false">IFERROR(INDEX(Catálogo!H$4:H$1000,MATCH($A$1&amp;"|"&amp;6,Índice!$A$4:$A$1000,0)),"")</f>
        <v>1</v>
      </c>
      <c r="I9" s="6" t="str">
        <f aca="false">IFERROR(INDEX(Catálogo!I$4:I$1000,MATCH($A$1&amp;"|"&amp;6,Índice!$A$4:$A$1000,0)),"")</f>
        <v>Avalia comportamento em contexto pré-escolar — versão educador</v>
      </c>
      <c r="J9" s="6" t="str">
        <f aca="false">IFERROR(INDEX(Catálogo!J$4:J$1000,MATCH($A$1&amp;"|"&amp;6,Índice!$A$4:$A$1000,0)),"")</f>
        <v>Score Total</v>
      </c>
      <c r="K9" s="6" t="str">
        <f aca="false">IFERROR(INDEX(Catálogo!K$4:K$1000,MATCH($A$1&amp;"|"&amp;6,Índice!$A$4:$A$1000,0)),"")</f>
        <v>ctrf15</v>
      </c>
      <c r="L9" s="6" t="str">
        <f aca="false">IFERROR(INDEX(Catálogo!L$4:L$1000,MATCH($A$1&amp;"|"&amp;6,Índice!$A$4:$A$1000,0)),"")</f>
        <v>q_ctrf_15</v>
      </c>
      <c r="M9" s="7" t="str">
        <f aca="false">IFERROR(INDEX(Catálogo!M$4:M$1000,MATCH($A$1&amp;"|"&amp;6,Índice!$A$4:$A$1000,0)),"")</f>
        <v>https://correiaricardina-ui.github.io/questionarios/CTRF_15_v2.html</v>
      </c>
    </row>
    <row r="10" customFormat="false" ht="42" hidden="false" customHeight="true" outlineLevel="0" collapsed="false">
      <c r="A10" s="5" t="n">
        <f aca="false">IFERROR(INDEX(Catálogo!A$4:A$1000,MATCH($A$1&amp;"|"&amp;7,Índice!$A$4:$A$1000,0)),"")</f>
        <v>124</v>
      </c>
      <c r="B10" s="6" t="str">
        <f aca="false">IFERROR(INDEX(Catálogo!B$4:B$1000,MATCH($A$1&amp;"|"&amp;7,Índice!$A$4:$A$1000,0)),"")</f>
        <v>QEE — Questionário Ecológico Escolar</v>
      </c>
      <c r="C10" s="6" t="str">
        <f aca="false">IFERROR(INDEX(Catálogo!C$4:C$1000,MATCH($A$1&amp;"|"&amp;7,Índice!$A$4:$A$1000,0)),"")</f>
        <v>Externalização &amp; Comportamento</v>
      </c>
      <c r="D10" s="6" t="str">
        <f aca="false">IFERROR(INDEX(Catálogo!D$4:D$1000,MATCH($A$1&amp;"|"&amp;7,Índice!$A$4:$A$1000,0)),"")</f>
        <v>Professor(a), Diretor(a) de Turma</v>
      </c>
      <c r="E10" s="6" t="str">
        <f aca="false">IFERROR(INDEX(Catálogo!E$4:E$1000,MATCH($A$1&amp;"|"&amp;7,Índice!$A$4:$A$1000,0)),"")</f>
        <v>6–18 anos</v>
      </c>
      <c r="F10" s="5" t="n">
        <f aca="false">IFERROR(INDEX(Catálogo!F$4:F$1000,MATCH($A$1&amp;"|"&amp;7,Índice!$A$4:$A$1000,0)),"")</f>
        <v>6</v>
      </c>
      <c r="G10" s="5" t="n">
        <f aca="false">IFERROR(INDEX(Catálogo!G$4:G$1000,MATCH($A$1&amp;"|"&amp;7,Índice!$A$4:$A$1000,0)),"")</f>
        <v>17.9</v>
      </c>
      <c r="H10" s="5" t="n">
        <f aca="false">IFERROR(INDEX(Catálogo!H$4:H$1000,MATCH($A$1&amp;"|"&amp;7,Índice!$A$4:$A$1000,0)),"")</f>
        <v>9</v>
      </c>
      <c r="I10" s="6" t="str">
        <f aca="false">IFERROR(INDEX(Catálogo!I$4:I$1000,MATCH($A$1&amp;"|"&amp;7,Índice!$A$4:$A$1000,0)),"")</f>
        <v>Caracterização clínica multi-informador do funcionamento emocional, social e adaptativo em contexto escolar (versão clínica revista, enquadramento bioecológico de Bronfenbrenner + lógica ASEBA). 40 itens fechados + 4 qualitativos.</v>
      </c>
      <c r="J10" s="6" t="str">
        <f aca="false">IFERROR(INDEX(Catálogo!J$4:J$1000,MATCH($A$1&amp;"|"&amp;7,Índice!$A$4:$A$1000,0)),"")</f>
        <v>Integração e Pertença Social (IPS); Sensibilidade Relacional (SR); Sintomas Internalizantes (SI); Reatividade Comportamental (RC); Pressão de Desempenho e Perfecionismo (PDP); Funcionamento Académico Adaptativo (FAA); Autorregulação e Coping Adaptativo (ACA); Fatores Protetores Contextuais (FPC); Índice Global de Preocupação Clínica (IGPC)</v>
      </c>
      <c r="K10" s="6" t="str">
        <f aca="false">IFERROR(INDEX(Catálogo!K$4:K$1000,MATCH($A$1&amp;"|"&amp;7,Índice!$A$4:$A$1000,0)),"")</f>
        <v>qeeescola</v>
      </c>
      <c r="L10" s="6" t="str">
        <f aca="false">IFERROR(INDEX(Catálogo!L$4:L$1000,MATCH($A$1&amp;"|"&amp;7,Índice!$A$4:$A$1000,0)),"")</f>
        <v>q_qee_escola</v>
      </c>
      <c r="M10" s="7" t="str">
        <f aca="false">IFERROR(INDEX(Catálogo!M$4:M$1000,MATCH($A$1&amp;"|"&amp;7,Índice!$A$4:$A$1000,0)),"")</f>
        <v>https://correiaricardina-ui.github.io/questionarios/QEE_Escola_v1.html</v>
      </c>
    </row>
    <row r="11" customFormat="false" ht="42" hidden="false" customHeight="true" outlineLevel="0" collapsed="false">
      <c r="A11" s="5" t="n">
        <f aca="false">IFERROR(INDEX(Catálogo!A$4:A$1000,MATCH($A$1&amp;"|"&amp;8,Índice!$A$4:$A$1000,0)),"")</f>
        <v>125</v>
      </c>
      <c r="B11" s="6" t="str">
        <f aca="false">IFERROR(INDEX(Catálogo!B$4:B$1000,MATCH($A$1&amp;"|"&amp;8,Índice!$A$4:$A$1000,0)),"")</f>
        <v>QEP — Questionário Ecológico Parental</v>
      </c>
      <c r="C11" s="6" t="str">
        <f aca="false">IFERROR(INDEX(Catálogo!C$4:C$1000,MATCH($A$1&amp;"|"&amp;8,Índice!$A$4:$A$1000,0)),"")</f>
        <v>Externalização &amp; Comportamento</v>
      </c>
      <c r="D11" s="6" t="str">
        <f aca="false">IFERROR(INDEX(Catálogo!D$4:D$1000,MATCH($A$1&amp;"|"&amp;8,Índice!$A$4:$A$1000,0)),"")</f>
        <v>Mãe, Pai, Enc. Educação</v>
      </c>
      <c r="E11" s="6" t="str">
        <f aca="false">IFERROR(INDEX(Catálogo!E$4:E$1000,MATCH($A$1&amp;"|"&amp;8,Índice!$A$4:$A$1000,0)),"")</f>
        <v>6–18 anos</v>
      </c>
      <c r="F11" s="5" t="n">
        <f aca="false">IFERROR(INDEX(Catálogo!F$4:F$1000,MATCH($A$1&amp;"|"&amp;8,Índice!$A$4:$A$1000,0)),"")</f>
        <v>6</v>
      </c>
      <c r="G11" s="5" t="n">
        <f aca="false">IFERROR(INDEX(Catálogo!G$4:G$1000,MATCH($A$1&amp;"|"&amp;8,Índice!$A$4:$A$1000,0)),"")</f>
        <v>17.9</v>
      </c>
      <c r="H11" s="5" t="n">
        <f aca="false">IFERROR(INDEX(Catálogo!H$4:H$1000,MATCH($A$1&amp;"|"&amp;8,Índice!$A$4:$A$1000,0)),"")</f>
        <v>9</v>
      </c>
      <c r="I11" s="6" t="str">
        <f aca="false">IFERROR(INDEX(Catálogo!I$4:I$1000,MATCH($A$1&amp;"|"&amp;8,Índice!$A$4:$A$1000,0)),"")</f>
        <v>Caracterização clínica multi-informador do funcionamento emocional, social e adaptativo (versão clínica revista, paralela ao QEE — enquadramento bioecológico + lógica ASEBA). 40 itens fechados + 4 qualitativos.</v>
      </c>
      <c r="J11" s="6" t="str">
        <f aca="false">IFERROR(INDEX(Catálogo!J$4:J$1000,MATCH($A$1&amp;"|"&amp;8,Índice!$A$4:$A$1000,0)),"")</f>
        <v>Integração Social e Pertença (IPS); Sensibilidade Relacional (SR); Sintomas Internalizantes (SI); Reatividade Comportamental (RC); Pressão de Desempenho e Perfecionismo (PDP); Funcionamento Adaptativo Geral (FAG); Autorregulação e Coping Adaptativo (ACA); Fatores Protetores Familiares (FPF); Índice Global de Preocupação Clínica (IGPC)</v>
      </c>
      <c r="K11" s="6" t="str">
        <f aca="false">IFERROR(INDEX(Catálogo!K$4:K$1000,MATCH($A$1&amp;"|"&amp;8,Índice!$A$4:$A$1000,0)),"")</f>
        <v>qeppais</v>
      </c>
      <c r="L11" s="6" t="str">
        <f aca="false">IFERROR(INDEX(Catálogo!L$4:L$1000,MATCH($A$1&amp;"|"&amp;8,Índice!$A$4:$A$1000,0)),"")</f>
        <v>q_qep_pais</v>
      </c>
      <c r="M11" s="7" t="str">
        <f aca="false">IFERROR(INDEX(Catálogo!M$4:M$1000,MATCH($A$1&amp;"|"&amp;8,Índice!$A$4:$A$1000,0)),"")</f>
        <v>https://correiaricardina-ui.github.io/questionarios/QEP_Pais_v1.html</v>
      </c>
    </row>
    <row r="12" customFormat="false" ht="42" hidden="false" customHeight="true" outlineLevel="0" collapsed="false">
      <c r="A12" s="5" t="n">
        <f aca="false">IFERROR(INDEX(Catálogo!A$4:A$1000,MATCH($A$1&amp;"|"&amp;9,Índice!$A$4:$A$1000,0)),"")</f>
        <v>149</v>
      </c>
      <c r="B12" s="6" t="str">
        <f aca="false">IFERROR(INDEX(Catálogo!B$4:B$1000,MATCH($A$1&amp;"|"&amp;9,Índice!$A$4:$A$1000,0)),"")</f>
        <v>STAXI-NA — Inventário de Expressão de Raiva Estado-Traço (Crianças e Adolescentes)</v>
      </c>
      <c r="C12" s="6" t="str">
        <f aca="false">IFERROR(INDEX(Catálogo!C$4:C$1000,MATCH($A$1&amp;"|"&amp;9,Índice!$A$4:$A$1000,0)),"")</f>
        <v>Externalização &amp; Comportamento</v>
      </c>
      <c r="D12" s="6" t="str">
        <f aca="false">IFERROR(INDEX(Catálogo!D$4:D$1000,MATCH($A$1&amp;"|"&amp;9,Índice!$A$4:$A$1000,0)),"")</f>
        <v>Paciente</v>
      </c>
      <c r="E12" s="6" t="str">
        <f aca="false">IFERROR(INDEX(Catálogo!E$4:E$1000,MATCH($A$1&amp;"|"&amp;9,Índice!$A$4:$A$1000,0)),"")</f>
        <v>9–18 anos</v>
      </c>
      <c r="F12" s="5" t="n">
        <f aca="false">IFERROR(INDEX(Catálogo!F$4:F$1000,MATCH($A$1&amp;"|"&amp;9,Índice!$A$4:$A$1000,0)),"")</f>
        <v>9</v>
      </c>
      <c r="G12" s="5" t="n">
        <f aca="false">IFERROR(INDEX(Catálogo!G$4:G$1000,MATCH($A$1&amp;"|"&amp;9,Índice!$A$4:$A$1000,0)),"")</f>
        <v>19</v>
      </c>
      <c r="H12" s="5" t="n">
        <f aca="false">IFERROR(INDEX(Catálogo!H$4:H$1000,MATCH($A$1&amp;"|"&amp;9,Índice!$A$4:$A$1000,0)),"")</f>
        <v>12</v>
      </c>
      <c r="I12" s="6" t="str">
        <f aca="false">IFERROR(INDEX(Catálogo!I$4:I$1000,MATCH($A$1&amp;"|"&amp;9,Índice!$A$4:$A$1000,0)),"")</f>
        <v>Auto-relato (32 itens, ~8-12 min) das dimensões emocional e expressiva da raiva (Del Barrio, Aluja &amp; Spielberger, 2004; tradução PT Ana Nunes — sem validação psicométrica formal). 8 subescalas em 4 escalas globais: Estado de Raiva, Raiva-Traço, Expressão da Raiva, Controlo da Raiva (adaptativa). Estrutura paginada em 3 partes com escalas de resposta distintas (Estado actual / Habitual / Quando-zangado). Normativos brasileiros (Costa &amp; Frizzo, 2012) — referência aproximativa. Tipologia clínica diferencial {Adaptativo, Risco Global, Externalização, Traço Contido, Défice de Controlo, Típico}.</v>
      </c>
      <c r="J12" s="6" t="str">
        <f aca="false">IFERROR(INDEX(Catálogo!J$4:J$1000,MATCH($A$1&amp;"|"&amp;9,Índice!$A$4:$A$1000,0)),"")</f>
        <v>Sentimentos de Raiva (SR); Raiva Física e Verbal (RFV); Temperamento de Raiva (TR); Raiva Reativa (RR); Expressão da Raiva — Out (EROUT); Expressão da Raiva — In (ERIN); Controlo da Raiva — Out (CROUT); Controlo da Raiva — In (CRIN); Estado de Raiva (Global); Raiva-Traço (Global); Expressão da Raiva (Global); Controlo da Raiva (Global)</v>
      </c>
      <c r="K12" s="6" t="str">
        <f aca="false">IFERROR(INDEX(Catálogo!K$4:K$1000,MATCH($A$1&amp;"|"&amp;9,Índice!$A$4:$A$1000,0)),"")</f>
        <v>staxina</v>
      </c>
      <c r="L12" s="6" t="str">
        <f aca="false">IFERROR(INDEX(Catálogo!L$4:L$1000,MATCH($A$1&amp;"|"&amp;9,Índice!$A$4:$A$1000,0)),"")</f>
        <v>q_staxi_na</v>
      </c>
      <c r="M12" s="7" t="str">
        <f aca="false">IFERROR(INDEX(Catálogo!M$4:M$1000,MATCH($A$1&amp;"|"&amp;9,Índice!$A$4:$A$1000,0)),"")</f>
        <v>https://correiaricardina-ui.github.io/questionarios/STAXI_NA_v1.html</v>
      </c>
    </row>
    <row r="13" customFormat="false" ht="42" hidden="false" customHeight="true" outlineLevel="0" collapsed="false">
      <c r="A13" s="5" t="n">
        <f aca="false">IFERROR(INDEX(Catálogo!A$4:A$1000,MATCH($A$1&amp;"|"&amp;10,Índice!$A$4:$A$1000,0)),"")</f>
        <v>214</v>
      </c>
      <c r="B13" s="6" t="str">
        <f aca="false">IFERROR(INDEX(Catálogo!B$4:B$1000,MATCH($A$1&amp;"|"&amp;10,Índice!$A$4:$A$1000,0)),"")</f>
        <v>Síntese ASEBA — Leitura multi-informador CBCL × TRF × YSR</v>
      </c>
      <c r="C13" s="6" t="str">
        <f aca="false">IFERROR(INDEX(Catálogo!C$4:C$1000,MATCH($A$1&amp;"|"&amp;10,Índice!$A$4:$A$1000,0)),"")</f>
        <v>Externalização &amp; Comportamento</v>
      </c>
      <c r="D13" s="6" t="str">
        <f aca="false">IFERROR(INDEX(Catálogo!D$4:D$1000,MATCH($A$1&amp;"|"&amp;10,Índice!$A$4:$A$1000,0)),"")</f>
        <v>Psicóloga (ferramenta clínica — não atribuir a famílias)</v>
      </c>
      <c r="E13" s="6" t="str">
        <f aca="false">IFERROR(INDEX(Catálogo!E$4:E$1000,MATCH($A$1&amp;"|"&amp;10,Índice!$A$4:$A$1000,0)),"")</f>
        <v>1½–18 anos</v>
      </c>
      <c r="F13" s="5" t="n">
        <f aca="false">IFERROR(INDEX(Catálogo!F$4:F$1000,MATCH($A$1&amp;"|"&amp;10,Índice!$A$4:$A$1000,0)),"")</f>
        <v>1.5</v>
      </c>
      <c r="G13" s="5" t="n">
        <f aca="false">IFERROR(INDEX(Catálogo!G$4:G$1000,MATCH($A$1&amp;"|"&amp;10,Índice!$A$4:$A$1000,0)),"")</f>
        <v>18</v>
      </c>
      <c r="H13" s="5" t="n">
        <f aca="false">IFERROR(INDEX(Catálogo!H$4:H$1000,MATCH($A$1&amp;"|"&amp;10,Índice!$A$4:$A$1000,0)),"")</f>
        <v>8</v>
      </c>
      <c r="I13" s="6" t="str">
        <f aca="false">IFERROR(INDEX(Catálogo!I$4:I$1000,MATCH($A$1&amp;"|"&amp;10,Índice!$A$4:$A$1000,0)),"")</f>
        <v>FERRAMENTA CLÍNICA DE LEITURA, não questionário: não recolhe respostas nem escreve no Sheet, pelo que não tem aba nem syncKey operacional. Lê a coluna Respostas das abas CBCL_618, TRF_618, YSR_1118, CBCL_15 e CTRF_15, agrega por código de paciente e RECOTA localmente com os motores de cotação dos próprios questionários — as colunas T_* do Sheet nunca são lidas, por terem sido gravadas por versões antigas com tabelas incorretas. Cada informador constitui uma coluna autónoma: nunca se calculam médias entre relatos e, quando o mesmo informador submeteu mais do que uma vez, a coluna corresponde à submissão mais recente, ficando as anteriores para a trajetória. Deteta a banda etária (pré-escolar 1½-5 · escolar 6-18) e bloqueia a apresentação de valores quando a sonda de alinhamento item-escala falha. Limiares do manual: síndromes limítrofe T 65-69 e clínico T ≥ 70; compostos limítrofe T 60-63 e clínico T ≥ 64. Perfis derivados sem normas portuguesas, em paleta neutra.</v>
      </c>
      <c r="J13" s="6" t="str">
        <f aca="false">IFERROR(INDEX(Catálogo!J$4:J$1000,MATCH($A$1&amp;"|"&amp;10,Índice!$A$4:$A$1000,0)),"")</f>
        <v>Perfil comparado entre informadores (8 síndromes + Internalização, Externalização e Total, em T e bruto); Discrepância inter-informador (amplitude máxima por escala, sinalizada a partir de 10 pontos T = 1 DP); Especificidade contextual casa × escola (pervasivo · familiar · escolar · sem elevação); Escalas sem equivalente noutras formas (Desatenção e Hiperatividade/Impulsividade do TRF; Outros Problemas do YSR); Perfil de desregulação AAA com classificação, subtipagem e critério alternativo; Perfil CAP (Isolamento/Depressão + Problemas Sociais + Problemas de Pensamento); Matriz de leitura cruzada do perfil de desregulação entre informadores (convenção interpretativa, não validada); Trajetória intra-informador (mesma forma, mesmo informante, variação em pontos T)</v>
      </c>
      <c r="K13" s="6" t="str">
        <f aca="false">IFERROR(INDEX(Catálogo!K$4:K$1000,MATCH($A$1&amp;"|"&amp;10,Índice!$A$4:$A$1000,0)),"")</f>
        <v>—</v>
      </c>
      <c r="L13" s="6" t="str">
        <f aca="false">IFERROR(INDEX(Catálogo!L$4:L$1000,MATCH($A$1&amp;"|"&amp;10,Índice!$A$4:$A$1000,0)),"")</f>
        <v>q_aseba_sintese</v>
      </c>
      <c r="M13" s="7" t="str">
        <f aca="false">IFERROR(INDEX(Catálogo!M$4:M$1000,MATCH($A$1&amp;"|"&amp;10,Índice!$A$4:$A$1000,0)),"")</f>
        <v>https://correiaricardina-ui.github.io/questionarios/ASEBA_Sintese_v1.html</v>
      </c>
    </row>
    <row r="14" customFormat="false" ht="42" hidden="false" customHeight="true" outlineLevel="0" collapsed="false">
      <c r="A14" s="5" t="str">
        <f aca="false">IFERROR(INDEX(Catálogo!A$4:A$1000,MATCH($A$1&amp;"|"&amp;11,Índice!$A$4:$A$1000,0)),"")</f>
        <v/>
      </c>
      <c r="B14" s="6" t="str">
        <f aca="false">IFERROR(INDEX(Catálogo!B$4:B$1000,MATCH($A$1&amp;"|"&amp;11,Índice!$A$4:$A$1000,0)),"")</f>
        <v/>
      </c>
      <c r="C14" s="6" t="str">
        <f aca="false">IFERROR(INDEX(Catálogo!C$4:C$1000,MATCH($A$1&amp;"|"&amp;11,Índice!$A$4:$A$1000,0)),"")</f>
        <v/>
      </c>
      <c r="D14" s="6" t="str">
        <f aca="false">IFERROR(INDEX(Catálogo!D$4:D$1000,MATCH($A$1&amp;"|"&amp;11,Índice!$A$4:$A$1000,0)),"")</f>
        <v/>
      </c>
      <c r="E14" s="6" t="str">
        <f aca="false">IFERROR(INDEX(Catálogo!E$4:E$1000,MATCH($A$1&amp;"|"&amp;11,Índice!$A$4:$A$1000,0)),"")</f>
        <v/>
      </c>
      <c r="F14" s="5" t="str">
        <f aca="false">IFERROR(INDEX(Catálogo!F$4:F$1000,MATCH($A$1&amp;"|"&amp;11,Índice!$A$4:$A$1000,0)),"")</f>
        <v/>
      </c>
      <c r="G14" s="5" t="str">
        <f aca="false">IFERROR(INDEX(Catálogo!G$4:G$1000,MATCH($A$1&amp;"|"&amp;11,Índice!$A$4:$A$1000,0)),"")</f>
        <v/>
      </c>
      <c r="H14" s="5" t="str">
        <f aca="false">IFERROR(INDEX(Catálogo!H$4:H$1000,MATCH($A$1&amp;"|"&amp;11,Índice!$A$4:$A$1000,0)),"")</f>
        <v/>
      </c>
      <c r="I14" s="6" t="str">
        <f aca="false">IFERROR(INDEX(Catálogo!I$4:I$1000,MATCH($A$1&amp;"|"&amp;11,Índice!$A$4:$A$1000,0)),"")</f>
        <v/>
      </c>
      <c r="J14" s="6" t="str">
        <f aca="false">IFERROR(INDEX(Catálogo!J$4:J$1000,MATCH($A$1&amp;"|"&amp;11,Índice!$A$4:$A$1000,0)),"")</f>
        <v/>
      </c>
      <c r="K14" s="6" t="str">
        <f aca="false">IFERROR(INDEX(Catálogo!K$4:K$1000,MATCH($A$1&amp;"|"&amp;11,Índice!$A$4:$A$1000,0)),"")</f>
        <v/>
      </c>
      <c r="L14" s="6" t="str">
        <f aca="false">IFERROR(INDEX(Catálogo!L$4:L$1000,MATCH($A$1&amp;"|"&amp;11,Índice!$A$4:$A$1000,0)),"")</f>
        <v/>
      </c>
      <c r="M14" s="7" t="str">
        <f aca="false">IFERROR(INDEX(Catálogo!M$4:M$1000,MATCH($A$1&amp;"|"&amp;11,Índice!$A$4:$A$1000,0)),"")</f>
        <v/>
      </c>
    </row>
    <row r="15" customFormat="false" ht="42" hidden="false" customHeight="true" outlineLevel="0" collapsed="false">
      <c r="A15" s="5" t="str">
        <f aca="false">IFERROR(INDEX(Catálogo!A$4:A$1000,MATCH($A$1&amp;"|"&amp;12,Índice!$A$4:$A$1000,0)),"")</f>
        <v/>
      </c>
      <c r="B15" s="6" t="str">
        <f aca="false">IFERROR(INDEX(Catálogo!B$4:B$1000,MATCH($A$1&amp;"|"&amp;12,Índice!$A$4:$A$1000,0)),"")</f>
        <v/>
      </c>
      <c r="C15" s="6" t="str">
        <f aca="false">IFERROR(INDEX(Catálogo!C$4:C$1000,MATCH($A$1&amp;"|"&amp;12,Índice!$A$4:$A$1000,0)),"")</f>
        <v/>
      </c>
      <c r="D15" s="6" t="str">
        <f aca="false">IFERROR(INDEX(Catálogo!D$4:D$1000,MATCH($A$1&amp;"|"&amp;12,Índice!$A$4:$A$1000,0)),"")</f>
        <v/>
      </c>
      <c r="E15" s="6" t="str">
        <f aca="false">IFERROR(INDEX(Catálogo!E$4:E$1000,MATCH($A$1&amp;"|"&amp;12,Índice!$A$4:$A$1000,0)),"")</f>
        <v/>
      </c>
      <c r="F15" s="5" t="str">
        <f aca="false">IFERROR(INDEX(Catálogo!F$4:F$1000,MATCH($A$1&amp;"|"&amp;12,Índice!$A$4:$A$1000,0)),"")</f>
        <v/>
      </c>
      <c r="G15" s="5" t="str">
        <f aca="false">IFERROR(INDEX(Catálogo!G$4:G$1000,MATCH($A$1&amp;"|"&amp;12,Índice!$A$4:$A$1000,0)),"")</f>
        <v/>
      </c>
      <c r="H15" s="5" t="str">
        <f aca="false">IFERROR(INDEX(Catálogo!H$4:H$1000,MATCH($A$1&amp;"|"&amp;12,Índice!$A$4:$A$1000,0)),"")</f>
        <v/>
      </c>
      <c r="I15" s="6" t="str">
        <f aca="false">IFERROR(INDEX(Catálogo!I$4:I$1000,MATCH($A$1&amp;"|"&amp;12,Índice!$A$4:$A$1000,0)),"")</f>
        <v/>
      </c>
      <c r="J15" s="6" t="str">
        <f aca="false">IFERROR(INDEX(Catálogo!J$4:J$1000,MATCH($A$1&amp;"|"&amp;12,Índice!$A$4:$A$1000,0)),"")</f>
        <v/>
      </c>
      <c r="K15" s="6" t="str">
        <f aca="false">IFERROR(INDEX(Catálogo!K$4:K$1000,MATCH($A$1&amp;"|"&amp;12,Índice!$A$4:$A$1000,0)),"")</f>
        <v/>
      </c>
      <c r="L15" s="6" t="str">
        <f aca="false">IFERROR(INDEX(Catálogo!L$4:L$1000,MATCH($A$1&amp;"|"&amp;12,Índice!$A$4:$A$1000,0)),"")</f>
        <v/>
      </c>
      <c r="M15" s="7" t="str">
        <f aca="false">IFERROR(INDEX(Catálogo!M$4:M$1000,MATCH($A$1&amp;"|"&amp;12,Índice!$A$4:$A$1000,0)),"")</f>
        <v/>
      </c>
    </row>
    <row r="16" customFormat="false" ht="42" hidden="false" customHeight="true" outlineLevel="0" collapsed="false">
      <c r="A16" s="5" t="str">
        <f aca="false">IFERROR(INDEX(Catálogo!A$4:A$1000,MATCH($A$1&amp;"|"&amp;13,Índice!$A$4:$A$1000,0)),"")</f>
        <v/>
      </c>
      <c r="B16" s="6" t="str">
        <f aca="false">IFERROR(INDEX(Catálogo!B$4:B$1000,MATCH($A$1&amp;"|"&amp;13,Índice!$A$4:$A$1000,0)),"")</f>
        <v/>
      </c>
      <c r="C16" s="6" t="str">
        <f aca="false">IFERROR(INDEX(Catálogo!C$4:C$1000,MATCH($A$1&amp;"|"&amp;13,Índice!$A$4:$A$1000,0)),"")</f>
        <v/>
      </c>
      <c r="D16" s="6" t="str">
        <f aca="false">IFERROR(INDEX(Catálogo!D$4:D$1000,MATCH($A$1&amp;"|"&amp;13,Índice!$A$4:$A$1000,0)),"")</f>
        <v/>
      </c>
      <c r="E16" s="6" t="str">
        <f aca="false">IFERROR(INDEX(Catálogo!E$4:E$1000,MATCH($A$1&amp;"|"&amp;13,Índice!$A$4:$A$1000,0)),"")</f>
        <v/>
      </c>
      <c r="F16" s="5" t="str">
        <f aca="false">IFERROR(INDEX(Catálogo!F$4:F$1000,MATCH($A$1&amp;"|"&amp;13,Índice!$A$4:$A$1000,0)),"")</f>
        <v/>
      </c>
      <c r="G16" s="5" t="str">
        <f aca="false">IFERROR(INDEX(Catálogo!G$4:G$1000,MATCH($A$1&amp;"|"&amp;13,Índice!$A$4:$A$1000,0)),"")</f>
        <v/>
      </c>
      <c r="H16" s="5" t="str">
        <f aca="false">IFERROR(INDEX(Catálogo!H$4:H$1000,MATCH($A$1&amp;"|"&amp;13,Índice!$A$4:$A$1000,0)),"")</f>
        <v/>
      </c>
      <c r="I16" s="6" t="str">
        <f aca="false">IFERROR(INDEX(Catálogo!I$4:I$1000,MATCH($A$1&amp;"|"&amp;13,Índice!$A$4:$A$1000,0)),"")</f>
        <v/>
      </c>
      <c r="J16" s="6" t="str">
        <f aca="false">IFERROR(INDEX(Catálogo!J$4:J$1000,MATCH($A$1&amp;"|"&amp;13,Índice!$A$4:$A$1000,0)),"")</f>
        <v/>
      </c>
      <c r="K16" s="6" t="str">
        <f aca="false">IFERROR(INDEX(Catálogo!K$4:K$1000,MATCH($A$1&amp;"|"&amp;13,Índice!$A$4:$A$1000,0)),"")</f>
        <v/>
      </c>
      <c r="L16" s="6" t="str">
        <f aca="false">IFERROR(INDEX(Catálogo!L$4:L$1000,MATCH($A$1&amp;"|"&amp;13,Índice!$A$4:$A$1000,0)),"")</f>
        <v/>
      </c>
      <c r="M16" s="7" t="str">
        <f aca="false">IFERROR(INDEX(Catálogo!M$4:M$1000,MATCH($A$1&amp;"|"&amp;13,Índice!$A$4:$A$1000,0)),"")</f>
        <v/>
      </c>
    </row>
    <row r="17" customFormat="false" ht="42" hidden="false" customHeight="true" outlineLevel="0" collapsed="false">
      <c r="A17" s="5" t="str">
        <f aca="false">IFERROR(INDEX(Catálogo!A$4:A$1000,MATCH($A$1&amp;"|"&amp;14,Índice!$A$4:$A$1000,0)),"")</f>
        <v/>
      </c>
      <c r="B17" s="6" t="str">
        <f aca="false">IFERROR(INDEX(Catálogo!B$4:B$1000,MATCH($A$1&amp;"|"&amp;14,Índice!$A$4:$A$1000,0)),"")</f>
        <v/>
      </c>
      <c r="C17" s="6" t="str">
        <f aca="false">IFERROR(INDEX(Catálogo!C$4:C$1000,MATCH($A$1&amp;"|"&amp;14,Índice!$A$4:$A$1000,0)),"")</f>
        <v/>
      </c>
      <c r="D17" s="6" t="str">
        <f aca="false">IFERROR(INDEX(Catálogo!D$4:D$1000,MATCH($A$1&amp;"|"&amp;14,Índice!$A$4:$A$1000,0)),"")</f>
        <v/>
      </c>
      <c r="E17" s="6" t="str">
        <f aca="false">IFERROR(INDEX(Catálogo!E$4:E$1000,MATCH($A$1&amp;"|"&amp;14,Índice!$A$4:$A$1000,0)),"")</f>
        <v/>
      </c>
      <c r="F17" s="5" t="str">
        <f aca="false">IFERROR(INDEX(Catálogo!F$4:F$1000,MATCH($A$1&amp;"|"&amp;14,Índice!$A$4:$A$1000,0)),"")</f>
        <v/>
      </c>
      <c r="G17" s="5" t="str">
        <f aca="false">IFERROR(INDEX(Catálogo!G$4:G$1000,MATCH($A$1&amp;"|"&amp;14,Índice!$A$4:$A$1000,0)),"")</f>
        <v/>
      </c>
      <c r="H17" s="5" t="str">
        <f aca="false">IFERROR(INDEX(Catálogo!H$4:H$1000,MATCH($A$1&amp;"|"&amp;14,Índice!$A$4:$A$1000,0)),"")</f>
        <v/>
      </c>
      <c r="I17" s="6" t="str">
        <f aca="false">IFERROR(INDEX(Catálogo!I$4:I$1000,MATCH($A$1&amp;"|"&amp;14,Índice!$A$4:$A$1000,0)),"")</f>
        <v/>
      </c>
      <c r="J17" s="6" t="str">
        <f aca="false">IFERROR(INDEX(Catálogo!J$4:J$1000,MATCH($A$1&amp;"|"&amp;14,Índice!$A$4:$A$1000,0)),"")</f>
        <v/>
      </c>
      <c r="K17" s="6" t="str">
        <f aca="false">IFERROR(INDEX(Catálogo!K$4:K$1000,MATCH($A$1&amp;"|"&amp;14,Índice!$A$4:$A$1000,0)),"")</f>
        <v/>
      </c>
      <c r="L17" s="6" t="str">
        <f aca="false">IFERROR(INDEX(Catálogo!L$4:L$1000,MATCH($A$1&amp;"|"&amp;14,Índice!$A$4:$A$1000,0)),"")</f>
        <v/>
      </c>
      <c r="M17" s="7" t="str">
        <f aca="false">IFERROR(INDEX(Catálogo!M$4:M$1000,MATCH($A$1&amp;"|"&amp;14,Índice!$A$4:$A$1000,0)),"")</f>
        <v/>
      </c>
    </row>
    <row r="18" customFormat="false" ht="42" hidden="false" customHeight="true" outlineLevel="0" collapsed="false">
      <c r="A18" s="5" t="str">
        <f aca="false">IFERROR(INDEX(Catálogo!A$4:A$1000,MATCH($A$1&amp;"|"&amp;15,Índice!$A$4:$A$1000,0)),"")</f>
        <v/>
      </c>
      <c r="B18" s="6" t="str">
        <f aca="false">IFERROR(INDEX(Catálogo!B$4:B$1000,MATCH($A$1&amp;"|"&amp;15,Índice!$A$4:$A$1000,0)),"")</f>
        <v/>
      </c>
      <c r="C18" s="6" t="str">
        <f aca="false">IFERROR(INDEX(Catálogo!C$4:C$1000,MATCH($A$1&amp;"|"&amp;15,Índice!$A$4:$A$1000,0)),"")</f>
        <v/>
      </c>
      <c r="D18" s="6" t="str">
        <f aca="false">IFERROR(INDEX(Catálogo!D$4:D$1000,MATCH($A$1&amp;"|"&amp;15,Índice!$A$4:$A$1000,0)),"")</f>
        <v/>
      </c>
      <c r="E18" s="6" t="str">
        <f aca="false">IFERROR(INDEX(Catálogo!E$4:E$1000,MATCH($A$1&amp;"|"&amp;15,Índice!$A$4:$A$1000,0)),"")</f>
        <v/>
      </c>
      <c r="F18" s="5" t="str">
        <f aca="false">IFERROR(INDEX(Catálogo!F$4:F$1000,MATCH($A$1&amp;"|"&amp;15,Índice!$A$4:$A$1000,0)),"")</f>
        <v/>
      </c>
      <c r="G18" s="5" t="str">
        <f aca="false">IFERROR(INDEX(Catálogo!G$4:G$1000,MATCH($A$1&amp;"|"&amp;15,Índice!$A$4:$A$1000,0)),"")</f>
        <v/>
      </c>
      <c r="H18" s="5" t="str">
        <f aca="false">IFERROR(INDEX(Catálogo!H$4:H$1000,MATCH($A$1&amp;"|"&amp;15,Índice!$A$4:$A$1000,0)),"")</f>
        <v/>
      </c>
      <c r="I18" s="6" t="str">
        <f aca="false">IFERROR(INDEX(Catálogo!I$4:I$1000,MATCH($A$1&amp;"|"&amp;15,Índice!$A$4:$A$1000,0)),"")</f>
        <v/>
      </c>
      <c r="J18" s="6" t="str">
        <f aca="false">IFERROR(INDEX(Catálogo!J$4:J$1000,MATCH($A$1&amp;"|"&amp;15,Índice!$A$4:$A$1000,0)),"")</f>
        <v/>
      </c>
      <c r="K18" s="6" t="str">
        <f aca="false">IFERROR(INDEX(Catálogo!K$4:K$1000,MATCH($A$1&amp;"|"&amp;15,Índice!$A$4:$A$1000,0)),"")</f>
        <v/>
      </c>
      <c r="L18" s="6" t="str">
        <f aca="false">IFERROR(INDEX(Catálogo!L$4:L$1000,MATCH($A$1&amp;"|"&amp;15,Índice!$A$4:$A$1000,0)),"")</f>
        <v/>
      </c>
      <c r="M18" s="7" t="str">
        <f aca="false">IFERROR(INDEX(Catálogo!M$4:M$1000,MATCH($A$1&amp;"|"&amp;15,Índice!$A$4:$A$1000,0)),"")</f>
        <v/>
      </c>
    </row>
    <row r="19" customFormat="false" ht="42" hidden="false" customHeight="true" outlineLevel="0" collapsed="false">
      <c r="A19" s="5" t="str">
        <f aca="false">IFERROR(INDEX(Catálogo!A$4:A$1000,MATCH($A$1&amp;"|"&amp;16,Índice!$A$4:$A$1000,0)),"")</f>
        <v/>
      </c>
      <c r="B19" s="6" t="str">
        <f aca="false">IFERROR(INDEX(Catálogo!B$4:B$1000,MATCH($A$1&amp;"|"&amp;16,Índice!$A$4:$A$1000,0)),"")</f>
        <v/>
      </c>
      <c r="C19" s="6" t="str">
        <f aca="false">IFERROR(INDEX(Catálogo!C$4:C$1000,MATCH($A$1&amp;"|"&amp;16,Índice!$A$4:$A$1000,0)),"")</f>
        <v/>
      </c>
      <c r="D19" s="6" t="str">
        <f aca="false">IFERROR(INDEX(Catálogo!D$4:D$1000,MATCH($A$1&amp;"|"&amp;16,Índice!$A$4:$A$1000,0)),"")</f>
        <v/>
      </c>
      <c r="E19" s="6" t="str">
        <f aca="false">IFERROR(INDEX(Catálogo!E$4:E$1000,MATCH($A$1&amp;"|"&amp;16,Índice!$A$4:$A$1000,0)),"")</f>
        <v/>
      </c>
      <c r="F19" s="5" t="str">
        <f aca="false">IFERROR(INDEX(Catálogo!F$4:F$1000,MATCH($A$1&amp;"|"&amp;16,Índice!$A$4:$A$1000,0)),"")</f>
        <v/>
      </c>
      <c r="G19" s="5" t="str">
        <f aca="false">IFERROR(INDEX(Catálogo!G$4:G$1000,MATCH($A$1&amp;"|"&amp;16,Índice!$A$4:$A$1000,0)),"")</f>
        <v/>
      </c>
      <c r="H19" s="5" t="str">
        <f aca="false">IFERROR(INDEX(Catálogo!H$4:H$1000,MATCH($A$1&amp;"|"&amp;16,Índice!$A$4:$A$1000,0)),"")</f>
        <v/>
      </c>
      <c r="I19" s="6" t="str">
        <f aca="false">IFERROR(INDEX(Catálogo!I$4:I$1000,MATCH($A$1&amp;"|"&amp;16,Índice!$A$4:$A$1000,0)),"")</f>
        <v/>
      </c>
      <c r="J19" s="6" t="str">
        <f aca="false">IFERROR(INDEX(Catálogo!J$4:J$1000,MATCH($A$1&amp;"|"&amp;16,Índice!$A$4:$A$1000,0)),"")</f>
        <v/>
      </c>
      <c r="K19" s="6" t="str">
        <f aca="false">IFERROR(INDEX(Catálogo!K$4:K$1000,MATCH($A$1&amp;"|"&amp;16,Índice!$A$4:$A$1000,0)),"")</f>
        <v/>
      </c>
      <c r="L19" s="6" t="str">
        <f aca="false">IFERROR(INDEX(Catálogo!L$4:L$1000,MATCH($A$1&amp;"|"&amp;16,Índice!$A$4:$A$1000,0)),"")</f>
        <v/>
      </c>
      <c r="M19" s="7" t="str">
        <f aca="false">IFERROR(INDEX(Catálogo!M$4:M$1000,MATCH($A$1&amp;"|"&amp;16,Índice!$A$4:$A$1000,0)),"")</f>
        <v/>
      </c>
    </row>
    <row r="20" customFormat="false" ht="42" hidden="false" customHeight="true" outlineLevel="0" collapsed="false">
      <c r="A20" s="5" t="str">
        <f aca="false">IFERROR(INDEX(Catálogo!A$4:A$1000,MATCH($A$1&amp;"|"&amp;17,Índice!$A$4:$A$1000,0)),"")</f>
        <v/>
      </c>
      <c r="B20" s="6" t="str">
        <f aca="false">IFERROR(INDEX(Catálogo!B$4:B$1000,MATCH($A$1&amp;"|"&amp;17,Índice!$A$4:$A$1000,0)),"")</f>
        <v/>
      </c>
      <c r="C20" s="6" t="str">
        <f aca="false">IFERROR(INDEX(Catálogo!C$4:C$1000,MATCH($A$1&amp;"|"&amp;17,Índice!$A$4:$A$1000,0)),"")</f>
        <v/>
      </c>
      <c r="D20" s="6" t="str">
        <f aca="false">IFERROR(INDEX(Catálogo!D$4:D$1000,MATCH($A$1&amp;"|"&amp;17,Índice!$A$4:$A$1000,0)),"")</f>
        <v/>
      </c>
      <c r="E20" s="6" t="str">
        <f aca="false">IFERROR(INDEX(Catálogo!E$4:E$1000,MATCH($A$1&amp;"|"&amp;17,Índice!$A$4:$A$1000,0)),"")</f>
        <v/>
      </c>
      <c r="F20" s="5" t="str">
        <f aca="false">IFERROR(INDEX(Catálogo!F$4:F$1000,MATCH($A$1&amp;"|"&amp;17,Índice!$A$4:$A$1000,0)),"")</f>
        <v/>
      </c>
      <c r="G20" s="5" t="str">
        <f aca="false">IFERROR(INDEX(Catálogo!G$4:G$1000,MATCH($A$1&amp;"|"&amp;17,Índice!$A$4:$A$1000,0)),"")</f>
        <v/>
      </c>
      <c r="H20" s="5" t="str">
        <f aca="false">IFERROR(INDEX(Catálogo!H$4:H$1000,MATCH($A$1&amp;"|"&amp;17,Índice!$A$4:$A$1000,0)),"")</f>
        <v/>
      </c>
      <c r="I20" s="6" t="str">
        <f aca="false">IFERROR(INDEX(Catálogo!I$4:I$1000,MATCH($A$1&amp;"|"&amp;17,Índice!$A$4:$A$1000,0)),"")</f>
        <v/>
      </c>
      <c r="J20" s="6" t="str">
        <f aca="false">IFERROR(INDEX(Catálogo!J$4:J$1000,MATCH($A$1&amp;"|"&amp;17,Índice!$A$4:$A$1000,0)),"")</f>
        <v/>
      </c>
      <c r="K20" s="6" t="str">
        <f aca="false">IFERROR(INDEX(Catálogo!K$4:K$1000,MATCH($A$1&amp;"|"&amp;17,Índice!$A$4:$A$1000,0)),"")</f>
        <v/>
      </c>
      <c r="L20" s="6" t="str">
        <f aca="false">IFERROR(INDEX(Catálogo!L$4:L$1000,MATCH($A$1&amp;"|"&amp;17,Índice!$A$4:$A$1000,0)),"")</f>
        <v/>
      </c>
      <c r="M20" s="7" t="str">
        <f aca="false">IFERROR(INDEX(Catálogo!M$4:M$1000,MATCH($A$1&amp;"|"&amp;17,Índice!$A$4:$A$1000,0)),"")</f>
        <v/>
      </c>
    </row>
  </sheetData>
  <autoFilter ref="A3:M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208</v>
      </c>
      <c r="I1" s="17" t="str">
        <f aca="false">COUNTIF(Catálogo!$C$4:$C$1000,$A$1)&amp;IF(COUNTIF(Catálogo!$C$4:$C$1000,$A$1)=1," instrumento nesta área"," instrumentos nesta área")</f>
        <v>22 instrumentos nesta área</v>
      </c>
    </row>
    <row r="2" customFormat="false" ht="15" hidden="false" customHeight="true" outlineLevel="0" collapsed="false">
      <c r="A2" s="18" t="s">
        <v>1488</v>
      </c>
      <c r="I2" s="19" t="str">
        <f aca="false">IF(COUNTIF(Catálogo!$C$4:$C$1000,$A$1)&gt;22,"⚠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28</v>
      </c>
      <c r="B4" s="6" t="str">
        <f aca="false">IFERROR(INDEX(Catálogo!B$4:B$1000,MATCH($A$1&amp;"|"&amp;1,Índice!$A$4:$A$1000,0)),"")</f>
        <v>CCBQ — Comportamentos de Coping em Crianças</v>
      </c>
      <c r="C4" s="6" t="str">
        <f aca="false">IFERROR(INDEX(Catálogo!C$4:C$1000,MATCH($A$1&amp;"|"&amp;1,Índice!$A$4:$A$1000,0)),"")</f>
        <v>Regulação Emocional &amp; Coping</v>
      </c>
      <c r="D4" s="6" t="str">
        <f aca="false">IFERROR(INDEX(Catálogo!D$4:D$1000,MATCH($A$1&amp;"|"&amp;1,Índice!$A$4:$A$1000,0)),"")</f>
        <v>Paciente, Criança avaliada, Jovem avaliado</v>
      </c>
      <c r="E4" s="6" t="str">
        <f aca="false">IFERROR(INDEX(Catálogo!E$4:E$1000,MATCH($A$1&amp;"|"&amp;1,Índice!$A$4:$A$1000,0)),"")</f>
        <v>≥ 6 anos</v>
      </c>
      <c r="F4" s="5" t="n">
        <f aca="false">IFERROR(INDEX(Catálogo!F$4:F$1000,MATCH($A$1&amp;"|"&amp;1,Índice!$A$4:$A$1000,0)),"")</f>
        <v>6</v>
      </c>
      <c r="G4" s="5" t="n">
        <f aca="false">IFERROR(INDEX(Catálogo!G$4:G$1000,MATCH($A$1&amp;"|"&amp;1,Índice!$A$4:$A$1000,0)),"")</f>
        <v>99</v>
      </c>
      <c r="H4" s="5" t="n">
        <f aca="false">IFERROR(INDEX(Catálogo!H$4:H$1000,MATCH($A$1&amp;"|"&amp;1,Índice!$A$4:$A$1000,0)),"")</f>
        <v>4</v>
      </c>
      <c r="I4" s="6" t="str">
        <f aca="false">IFERROR(INDEX(Catálogo!I$4:I$1000,MATCH($A$1&amp;"|"&amp;1,Índice!$A$4:$A$1000,0)),"")</f>
        <v>Avalia a frequência de utilização de três padrões de coping perante acontecimentos stressantes — Diversão (F-I), Amelioratório (F-II) e Destrutivo (F-III) (Hernandez, 2008 — adaptação PT exploratória)</v>
      </c>
      <c r="J4" s="6" t="str">
        <f aca="false">IFERROR(INDEX(Catálogo!J$4:J$1000,MATCH($A$1&amp;"|"&amp;1,Índice!$A$4:$A$1000,0)),"")</f>
        <v>F-I Diversão; F-II Amelioratório; F-III Destrutivo; Compósito</v>
      </c>
      <c r="K4" s="6" t="str">
        <f aca="false">IFERROR(INDEX(Catálogo!K$4:K$1000,MATCH($A$1&amp;"|"&amp;1,Índice!$A$4:$A$1000,0)),"")</f>
        <v>ccbq</v>
      </c>
      <c r="L4" s="6" t="str">
        <f aca="false">IFERROR(INDEX(Catálogo!L$4:L$1000,MATCH($A$1&amp;"|"&amp;1,Índice!$A$4:$A$1000,0)),"")</f>
        <v>q_ccbq</v>
      </c>
      <c r="M4" s="7" t="str">
        <f aca="false">IFERROR(INDEX(Catálogo!M$4:M$1000,MATCH($A$1&amp;"|"&amp;1,Índice!$A$4:$A$1000,0)),"")</f>
        <v>https://correiaricardina-ui.github.io/questionarios/CCBQ_v1.html</v>
      </c>
    </row>
    <row r="5" customFormat="false" ht="42" hidden="false" customHeight="true" outlineLevel="0" collapsed="false">
      <c r="A5" s="5" t="n">
        <f aca="false">IFERROR(INDEX(Catálogo!A$4:A$1000,MATCH($A$1&amp;"|"&amp;2,Índice!$A$4:$A$1000,0)),"")</f>
        <v>30</v>
      </c>
      <c r="B5" s="6" t="str">
        <f aca="false">IFERROR(INDEX(Catálogo!B$4:B$1000,MATCH($A$1&amp;"|"&amp;2,Índice!$A$4:$A$1000,0)),"")</f>
        <v>CERQ-18 — Versão Curta</v>
      </c>
      <c r="C5" s="6" t="str">
        <f aca="false">IFERROR(INDEX(Catálogo!C$4:C$1000,MATCH($A$1&amp;"|"&amp;2,Índice!$A$4:$A$1000,0)),"")</f>
        <v>Regulação Emocional &amp; Coping</v>
      </c>
      <c r="D5" s="6" t="str">
        <f aca="false">IFERROR(INDEX(Catálogo!D$4:D$1000,MATCH($A$1&amp;"|"&amp;2,Índice!$A$4:$A$1000,0)),"")</f>
        <v>Paciente</v>
      </c>
      <c r="E5" s="6" t="str">
        <f aca="false">IFERROR(INDEX(Catálogo!E$4:E$1000,MATCH($A$1&amp;"|"&amp;2,Índice!$A$4:$A$1000,0)),"")</f>
        <v>≥ 13 anos</v>
      </c>
      <c r="F5" s="5" t="n">
        <f aca="false">IFERROR(INDEX(Catálogo!F$4:F$1000,MATCH($A$1&amp;"|"&amp;2,Índice!$A$4:$A$1000,0)),"")</f>
        <v>13</v>
      </c>
      <c r="G5" s="5" t="n">
        <f aca="false">IFERROR(INDEX(Catálogo!G$4:G$1000,MATCH($A$1&amp;"|"&amp;2,Índice!$A$4:$A$1000,0)),"")</f>
        <v>99</v>
      </c>
      <c r="H5" s="5" t="n">
        <f aca="false">IFERROR(INDEX(Catálogo!H$4:H$1000,MATCH($A$1&amp;"|"&amp;2,Índice!$A$4:$A$1000,0)),"")</f>
        <v>10</v>
      </c>
      <c r="I5" s="6" t="str">
        <f aca="false">IFERROR(INDEX(Catálogo!I$4:I$1000,MATCH($A$1&amp;"|"&amp;2,Índice!$A$4:$A$1000,0)),"")</f>
        <v>Auto-relato adolescente/adulto de estratégias cognitivas de regulação emocional — versão curta (18 itens) com normativos portugueses (Soares &amp; Amaral, 2024). 8 estratégias (4 adaptativas + 4 maladaptativas, com Reavaliação+Planeamento fundidas). Tempo de aplicação ~5-8 min.</v>
      </c>
      <c r="J5" s="6" t="str">
        <f aca="false">IFERROR(INDEX(Catálogo!J$4:J$1000,MATCH($A$1&amp;"|"&amp;2,Índice!$A$4:$A$1000,0)),"")</f>
        <v>Auto-culpabilização; Aceitação; Ruminação; Refocalização Positiva; Reavaliação Positiva e Planeamento; Colocar em Perspetiva; Catastrofização; Culpabilização dos Outros; CERQ-Positivo; CERQ-Negativo</v>
      </c>
      <c r="K5" s="6" t="str">
        <f aca="false">IFERROR(INDEX(Catálogo!K$4:K$1000,MATCH($A$1&amp;"|"&amp;2,Índice!$A$4:$A$1000,0)),"")</f>
        <v>cerq18</v>
      </c>
      <c r="L5" s="6" t="str">
        <f aca="false">IFERROR(INDEX(Catálogo!L$4:L$1000,MATCH($A$1&amp;"|"&amp;2,Índice!$A$4:$A$1000,0)),"")</f>
        <v>q_cerq_18</v>
      </c>
      <c r="M5" s="7" t="str">
        <f aca="false">IFERROR(INDEX(Catálogo!M$4:M$1000,MATCH($A$1&amp;"|"&amp;2,Índice!$A$4:$A$1000,0)),"")</f>
        <v>https://correiaricardina-ui.github.io/questionarios/CERQ_18_v1.html</v>
      </c>
    </row>
    <row r="6" customFormat="false" ht="42" hidden="false" customHeight="true" outlineLevel="0" collapsed="false">
      <c r="A6" s="5" t="n">
        <f aca="false">IFERROR(INDEX(Catálogo!A$4:A$1000,MATCH($A$1&amp;"|"&amp;3,Índice!$A$4:$A$1000,0)),"")</f>
        <v>31</v>
      </c>
      <c r="B6" s="6" t="str">
        <f aca="false">IFERROR(INDEX(Catálogo!B$4:B$1000,MATCH($A$1&amp;"|"&amp;3,Índice!$A$4:$A$1000,0)),"")</f>
        <v>CERQ-36 — Versão Completa</v>
      </c>
      <c r="C6" s="6" t="str">
        <f aca="false">IFERROR(INDEX(Catálogo!C$4:C$1000,MATCH($A$1&amp;"|"&amp;3,Índice!$A$4:$A$1000,0)),"")</f>
        <v>Regulação Emocional &amp; Coping</v>
      </c>
      <c r="D6" s="6" t="str">
        <f aca="false">IFERROR(INDEX(Catálogo!D$4:D$1000,MATCH($A$1&amp;"|"&amp;3,Índice!$A$4:$A$1000,0)),"")</f>
        <v>Paciente</v>
      </c>
      <c r="E6" s="6" t="str">
        <f aca="false">IFERROR(INDEX(Catálogo!E$4:E$1000,MATCH($A$1&amp;"|"&amp;3,Índice!$A$4:$A$1000,0)),"")</f>
        <v>≥ 12 anos</v>
      </c>
      <c r="F6" s="5" t="n">
        <f aca="false">IFERROR(INDEX(Catálogo!F$4:F$1000,MATCH($A$1&amp;"|"&amp;3,Índice!$A$4:$A$1000,0)),"")</f>
        <v>12</v>
      </c>
      <c r="G6" s="5" t="n">
        <f aca="false">IFERROR(INDEX(Catálogo!G$4:G$1000,MATCH($A$1&amp;"|"&amp;3,Índice!$A$4:$A$1000,0)),"")</f>
        <v>99</v>
      </c>
      <c r="H6" s="5" t="n">
        <f aca="false">IFERROR(INDEX(Catálogo!H$4:H$1000,MATCH($A$1&amp;"|"&amp;3,Índice!$A$4:$A$1000,0)),"")</f>
        <v>11</v>
      </c>
      <c r="I6" s="6" t="str">
        <f aca="false">IFERROR(INDEX(Catálogo!I$4:I$1000,MATCH($A$1&amp;"|"&amp;3,Índice!$A$4:$A$1000,0)),"")</f>
        <v>Auto-relato adolescente/adulto de estratégias cognitivas de regulação emocional — versão completa (36 itens, Garnefski &amp; Kraaij, 2006; adaptação PT Castro et al., 2013). 9 estratégias com normativos por subescala. Resolução clínica máxima — preferir em investigação ou perfis individuais detalhados.</v>
      </c>
      <c r="J6" s="6" t="str">
        <f aca="false">IFERROR(INDEX(Catálogo!J$4:J$1000,MATCH($A$1&amp;"|"&amp;3,Índice!$A$4:$A$1000,0)),"")</f>
        <v>Auto-culpabilização; Aceitação; Ruminação; Refocalização Positiva; Planeamento; Reavaliação Positiva; Colocar em Perspetiva; Catastrofização; Culpabilização dos Outros; CERQ-Positivo; CERQ-Negativo</v>
      </c>
      <c r="K6" s="6" t="str">
        <f aca="false">IFERROR(INDEX(Catálogo!K$4:K$1000,MATCH($A$1&amp;"|"&amp;3,Índice!$A$4:$A$1000,0)),"")</f>
        <v>cerq36</v>
      </c>
      <c r="L6" s="6" t="str">
        <f aca="false">IFERROR(INDEX(Catálogo!L$4:L$1000,MATCH($A$1&amp;"|"&amp;3,Índice!$A$4:$A$1000,0)),"")</f>
        <v>q_cerq_36</v>
      </c>
      <c r="M6" s="7" t="str">
        <f aca="false">IFERROR(INDEX(Catálogo!M$4:M$1000,MATCH($A$1&amp;"|"&amp;3,Índice!$A$4:$A$1000,0)),"")</f>
        <v>https://correiaricardina-ui.github.io/questionarios/CERQ_36_v1.html</v>
      </c>
    </row>
    <row r="7" customFormat="false" ht="42" hidden="false" customHeight="true" outlineLevel="0" collapsed="false">
      <c r="A7" s="5" t="n">
        <f aca="false">IFERROR(INDEX(Catálogo!A$4:A$1000,MATCH($A$1&amp;"|"&amp;4,Índice!$A$4:$A$1000,0)),"")</f>
        <v>32</v>
      </c>
      <c r="B7" s="6" t="str">
        <f aca="false">IFERROR(INDEX(Catálogo!B$4:B$1000,MATCH($A$1&amp;"|"&amp;4,Índice!$A$4:$A$1000,0)),"")</f>
        <v>CERQ-K — Crianças</v>
      </c>
      <c r="C7" s="6" t="str">
        <f aca="false">IFERROR(INDEX(Catálogo!C$4:C$1000,MATCH($A$1&amp;"|"&amp;4,Índice!$A$4:$A$1000,0)),"")</f>
        <v>Regulação Emocional &amp; Coping</v>
      </c>
      <c r="D7" s="6" t="str">
        <f aca="false">IFERROR(INDEX(Catálogo!D$4:D$1000,MATCH($A$1&amp;"|"&amp;4,Índice!$A$4:$A$1000,0)),"")</f>
        <v>Paciente</v>
      </c>
      <c r="E7" s="6" t="str">
        <f aca="false">IFERROR(INDEX(Catálogo!E$4:E$1000,MATCH($A$1&amp;"|"&amp;4,Índice!$A$4:$A$1000,0)),"")</f>
        <v>9–11 anos</v>
      </c>
      <c r="F7" s="5" t="n">
        <f aca="false">IFERROR(INDEX(Catálogo!F$4:F$1000,MATCH($A$1&amp;"|"&amp;4,Índice!$A$4:$A$1000,0)),"")</f>
        <v>9</v>
      </c>
      <c r="G7" s="5" t="n">
        <f aca="false">IFERROR(INDEX(Catálogo!G$4:G$1000,MATCH($A$1&amp;"|"&amp;4,Índice!$A$4:$A$1000,0)),"")</f>
        <v>11.9</v>
      </c>
      <c r="H7" s="5" t="n">
        <f aca="false">IFERROR(INDEX(Catálogo!H$4:H$1000,MATCH($A$1&amp;"|"&amp;4,Índice!$A$4:$A$1000,0)),"")</f>
        <v>11</v>
      </c>
      <c r="I7" s="6" t="str">
        <f aca="false">IFERROR(INDEX(Catálogo!I$4:I$1000,MATCH($A$1&amp;"|"&amp;4,Índice!$A$4:$A$1000,0)),"")</f>
        <v>Auto-relato infantil de estratégias cognitivas de regulação emocional após acontecimentos de vida desagradáveis (Garnefski et al., 2007). 9 estratégias (5 adaptativas + 4 maladaptativas) e 2 factores 2.ª ordem (CERQ-Positivo, CERQ-Negativo). Versão validada para 9-11 anos.</v>
      </c>
      <c r="J7" s="6" t="str">
        <f aca="false">IFERROR(INDEX(Catálogo!J$4:J$1000,MATCH($A$1&amp;"|"&amp;4,Índice!$A$4:$A$1000,0)),"")</f>
        <v>Auto-culpabilização; Aceitação; Ruminação; Refocalização Positiva; Planeamento; Reavaliação Positiva; Colocar em Perspetiva; Catastrofização; Culpabilização dos Outros; CERQ-Positivo; CERQ-Negativo</v>
      </c>
      <c r="K7" s="6" t="str">
        <f aca="false">IFERROR(INDEX(Catálogo!K$4:K$1000,MATCH($A$1&amp;"|"&amp;4,Índice!$A$4:$A$1000,0)),"")</f>
        <v>cerqk</v>
      </c>
      <c r="L7" s="6" t="str">
        <f aca="false">IFERROR(INDEX(Catálogo!L$4:L$1000,MATCH($A$1&amp;"|"&amp;4,Índice!$A$4:$A$1000,0)),"")</f>
        <v>q_cerq_k</v>
      </c>
      <c r="M7" s="7" t="str">
        <f aca="false">IFERROR(INDEX(Catálogo!M$4:M$1000,MATCH($A$1&amp;"|"&amp;4,Índice!$A$4:$A$1000,0)),"")</f>
        <v>https://correiaricardina-ui.github.io/questionarios/CERQ_K_v1.html</v>
      </c>
    </row>
    <row r="8" customFormat="false" ht="42" hidden="false" customHeight="true" outlineLevel="0" collapsed="false">
      <c r="A8" s="5" t="n">
        <f aca="false">IFERROR(INDEX(Catálogo!A$4:A$1000,MATCH($A$1&amp;"|"&amp;5,Índice!$A$4:$A$1000,0)),"")</f>
        <v>52</v>
      </c>
      <c r="B8" s="6" t="str">
        <f aca="false">IFERROR(INDEX(Catálogo!B$4:B$1000,MATCH($A$1&amp;"|"&amp;5,Índice!$A$4:$A$1000,0)),"")</f>
        <v>DERS — Dificuldades de Regulação Emocional</v>
      </c>
      <c r="C8" s="6" t="str">
        <f aca="false">IFERROR(INDEX(Catálogo!C$4:C$1000,MATCH($A$1&amp;"|"&amp;5,Índice!$A$4:$A$1000,0)),"")</f>
        <v>Regulação Emocional &amp; Coping</v>
      </c>
      <c r="D8" s="6" t="str">
        <f aca="false">IFERROR(INDEX(Catálogo!D$4:D$1000,MATCH($A$1&amp;"|"&amp;5,Índice!$A$4:$A$1000,0)),"")</f>
        <v>Paciente</v>
      </c>
      <c r="E8" s="6" t="str">
        <f aca="false">IFERROR(INDEX(Catálogo!E$4:E$1000,MATCH($A$1&amp;"|"&amp;5,Índice!$A$4:$A$1000,0)),"")</f>
        <v>14 anos+</v>
      </c>
      <c r="F8" s="5" t="n">
        <f aca="false">IFERROR(INDEX(Catálogo!F$4:F$1000,MATCH($A$1&amp;"|"&amp;5,Índice!$A$4:$A$1000,0)),"")</f>
        <v>14</v>
      </c>
      <c r="G8" s="5" t="n">
        <f aca="false">IFERROR(INDEX(Catálogo!G$4:G$1000,MATCH($A$1&amp;"|"&amp;5,Índice!$A$4:$A$1000,0)),"")</f>
        <v>99</v>
      </c>
      <c r="H8" s="5" t="n">
        <f aca="false">IFERROR(INDEX(Catálogo!H$4:H$1000,MATCH($A$1&amp;"|"&amp;5,Índice!$A$4:$A$1000,0)),"")</f>
        <v>7</v>
      </c>
      <c r="I8" s="6" t="str">
        <f aca="false">IFERROR(INDEX(Catálogo!I$4:I$1000,MATCH($A$1&amp;"|"&amp;5,Índice!$A$4:$A$1000,0)),"")</f>
        <v>Avalia dificuldades multidimensionais na regulação emocional — auto-relato (adolescentes 14–17 e adultos)</v>
      </c>
      <c r="J8" s="6" t="str">
        <f aca="false">IFERROR(INDEX(Catálogo!J$4:J$1000,MATCH($A$1&amp;"|"&amp;5,Índice!$A$4:$A$1000,0)),"")</f>
        <v>Não-Aceitação; Objetivos; Impulsos; Consciência; Estratégias; Clareza; Total</v>
      </c>
      <c r="K8" s="6" t="str">
        <f aca="false">IFERROR(INDEX(Catálogo!K$4:K$1000,MATCH($A$1&amp;"|"&amp;5,Índice!$A$4:$A$1000,0)),"")</f>
        <v>ders</v>
      </c>
      <c r="L8" s="6" t="str">
        <f aca="false">IFERROR(INDEX(Catálogo!L$4:L$1000,MATCH($A$1&amp;"|"&amp;5,Índice!$A$4:$A$1000,0)),"")</f>
        <v>q_ders</v>
      </c>
      <c r="M8" s="7" t="str">
        <f aca="false">IFERROR(INDEX(Catálogo!M$4:M$1000,MATCH($A$1&amp;"|"&amp;5,Índice!$A$4:$A$1000,0)),"")</f>
        <v>https://correiaricardina-ui.github.io/questionarios/DERS_v1.html</v>
      </c>
    </row>
    <row r="9" customFormat="false" ht="42" hidden="false" customHeight="true" outlineLevel="0" collapsed="false">
      <c r="A9" s="5" t="n">
        <f aca="false">IFERROR(INDEX(Catálogo!A$4:A$1000,MATCH($A$1&amp;"|"&amp;6,Índice!$A$4:$A$1000,0)),"")</f>
        <v>63</v>
      </c>
      <c r="B9" s="6" t="str">
        <f aca="false">IFERROR(INDEX(Catálogo!B$4:B$1000,MATCH($A$1&amp;"|"&amp;6,Índice!$A$4:$A$1000,0)),"")</f>
        <v>ERC — Pais/Cuidadores</v>
      </c>
      <c r="C9" s="6" t="str">
        <f aca="false">IFERROR(INDEX(Catálogo!C$4:C$1000,MATCH($A$1&amp;"|"&amp;6,Índice!$A$4:$A$1000,0)),"")</f>
        <v>Regulação Emocional &amp; Coping</v>
      </c>
      <c r="D9" s="6" t="str">
        <f aca="false">IFERROR(INDEX(Catálogo!D$4:D$1000,MATCH($A$1&amp;"|"&amp;6,Índice!$A$4:$A$1000,0)),"")</f>
        <v>Mãe, Pai, Enc. Educação</v>
      </c>
      <c r="E9" s="6" t="str">
        <f aca="false">IFERROR(INDEX(Catálogo!E$4:E$1000,MATCH($A$1&amp;"|"&amp;6,Índice!$A$4:$A$1000,0)),"")</f>
        <v>3–18 anos</v>
      </c>
      <c r="F9" s="5" t="n">
        <f aca="false">IFERROR(INDEX(Catálogo!F$4:F$1000,MATCH($A$1&amp;"|"&amp;6,Índice!$A$4:$A$1000,0)),"")</f>
        <v>3</v>
      </c>
      <c r="G9" s="5" t="n">
        <f aca="false">IFERROR(INDEX(Catálogo!G$4:G$1000,MATCH($A$1&amp;"|"&amp;6,Índice!$A$4:$A$1000,0)),"")</f>
        <v>17.9</v>
      </c>
      <c r="H9" s="5" t="n">
        <f aca="false">IFERROR(INDEX(Catálogo!H$4:H$1000,MATCH($A$1&amp;"|"&amp;6,Índice!$A$4:$A$1000,0)),"")</f>
        <v>3</v>
      </c>
      <c r="I9" s="6" t="str">
        <f aca="false">IFERROR(INDEX(Catálogo!I$4:I$1000,MATCH($A$1&amp;"|"&amp;6,Índice!$A$4:$A$1000,0)),"")</f>
        <v>Avalia a regulação emocional da criança — versão pais/cuidadores</v>
      </c>
      <c r="J9" s="6" t="str">
        <f aca="false">IFERROR(INDEX(Catálogo!J$4:J$1000,MATCH($A$1&amp;"|"&amp;6,Índice!$A$4:$A$1000,0)),"")</f>
        <v>Labilidade/Negatividade (L/N); Regulação Emocional (RE); Total ERC</v>
      </c>
      <c r="K9" s="6" t="str">
        <f aca="false">IFERROR(INDEX(Catálogo!K$4:K$1000,MATCH($A$1&amp;"|"&amp;6,Índice!$A$4:$A$1000,0)),"")</f>
        <v>erc_pais</v>
      </c>
      <c r="L9" s="6" t="str">
        <f aca="false">IFERROR(INDEX(Catálogo!L$4:L$1000,MATCH($A$1&amp;"|"&amp;6,Índice!$A$4:$A$1000,0)),"")</f>
        <v>q_erc_pais</v>
      </c>
      <c r="M9" s="7" t="str">
        <f aca="false">IFERROR(INDEX(Catálogo!M$4:M$1000,MATCH($A$1&amp;"|"&amp;6,Índice!$A$4:$A$1000,0)),"")</f>
        <v>https://correiaricardina-ui.github.io/questionarios/ERC_Pais_v1.html</v>
      </c>
    </row>
    <row r="10" customFormat="false" ht="42" hidden="false" customHeight="true" outlineLevel="0" collapsed="false">
      <c r="A10" s="5" t="n">
        <f aca="false">IFERROR(INDEX(Catálogo!A$4:A$1000,MATCH($A$1&amp;"|"&amp;7,Índice!$A$4:$A$1000,0)),"")</f>
        <v>64</v>
      </c>
      <c r="B10" s="6" t="str">
        <f aca="false">IFERROR(INDEX(Catálogo!B$4:B$1000,MATCH($A$1&amp;"|"&amp;7,Índice!$A$4:$A$1000,0)),"")</f>
        <v>ERC — Professores</v>
      </c>
      <c r="C10" s="6" t="str">
        <f aca="false">IFERROR(INDEX(Catálogo!C$4:C$1000,MATCH($A$1&amp;"|"&amp;7,Índice!$A$4:$A$1000,0)),"")</f>
        <v>Regulação Emocional &amp; Coping</v>
      </c>
      <c r="D10" s="6" t="str">
        <f aca="false">IFERROR(INDEX(Catálogo!D$4:D$1000,MATCH($A$1&amp;"|"&amp;7,Índice!$A$4:$A$1000,0)),"")</f>
        <v>Professor(a), Educador(a)</v>
      </c>
      <c r="E10" s="6" t="str">
        <f aca="false">IFERROR(INDEX(Catálogo!E$4:E$1000,MATCH($A$1&amp;"|"&amp;7,Índice!$A$4:$A$1000,0)),"")</f>
        <v>3–18 anos</v>
      </c>
      <c r="F10" s="5" t="n">
        <f aca="false">IFERROR(INDEX(Catálogo!F$4:F$1000,MATCH($A$1&amp;"|"&amp;7,Índice!$A$4:$A$1000,0)),"")</f>
        <v>3</v>
      </c>
      <c r="G10" s="5" t="n">
        <f aca="false">IFERROR(INDEX(Catálogo!G$4:G$1000,MATCH($A$1&amp;"|"&amp;7,Índice!$A$4:$A$1000,0)),"")</f>
        <v>17.9</v>
      </c>
      <c r="H10" s="5" t="n">
        <f aca="false">IFERROR(INDEX(Catálogo!H$4:H$1000,MATCH($A$1&amp;"|"&amp;7,Índice!$A$4:$A$1000,0)),"")</f>
        <v>3</v>
      </c>
      <c r="I10" s="6" t="str">
        <f aca="false">IFERROR(INDEX(Catálogo!I$4:I$1000,MATCH($A$1&amp;"|"&amp;7,Índice!$A$4:$A$1000,0)),"")</f>
        <v>Avalia a regulação emocional da criança — versão professor/educador</v>
      </c>
      <c r="J10" s="6" t="str">
        <f aca="false">IFERROR(INDEX(Catálogo!J$4:J$1000,MATCH($A$1&amp;"|"&amp;7,Índice!$A$4:$A$1000,0)),"")</f>
        <v>Labilidade/Negatividade (L/N); Regulação Emocional (RE); Total ERC</v>
      </c>
      <c r="K10" s="6" t="str">
        <f aca="false">IFERROR(INDEX(Catálogo!K$4:K$1000,MATCH($A$1&amp;"|"&amp;7,Índice!$A$4:$A$1000,0)),"")</f>
        <v>erc_prof</v>
      </c>
      <c r="L10" s="6" t="str">
        <f aca="false">IFERROR(INDEX(Catálogo!L$4:L$1000,MATCH($A$1&amp;"|"&amp;7,Índice!$A$4:$A$1000,0)),"")</f>
        <v>q_erc_prof</v>
      </c>
      <c r="M10" s="7" t="str">
        <f aca="false">IFERROR(INDEX(Catálogo!M$4:M$1000,MATCH($A$1&amp;"|"&amp;7,Índice!$A$4:$A$1000,0)),"")</f>
        <v>https://correiaricardina-ui.github.io/questionarios/ERC_Professores_v1.html</v>
      </c>
    </row>
    <row r="11" customFormat="false" ht="42" hidden="false" customHeight="true" outlineLevel="0" collapsed="false">
      <c r="A11" s="5" t="n">
        <f aca="false">IFERROR(INDEX(Catálogo!A$4:A$1000,MATCH($A$1&amp;"|"&amp;8,Índice!$A$4:$A$1000,0)),"")</f>
        <v>65</v>
      </c>
      <c r="B11" s="6" t="str">
        <f aca="false">IFERROR(INDEX(Catálogo!B$4:B$1000,MATCH($A$1&amp;"|"&amp;8,Índice!$A$4:$A$1000,0)),"")</f>
        <v>ERICA — Índice de Regulação Emocional (Crianças e Adolescentes)</v>
      </c>
      <c r="C11" s="6" t="str">
        <f aca="false">IFERROR(INDEX(Catálogo!C$4:C$1000,MATCH($A$1&amp;"|"&amp;8,Índice!$A$4:$A$1000,0)),"")</f>
        <v>Regulação Emocional &amp; Coping</v>
      </c>
      <c r="D11" s="6" t="str">
        <f aca="false">IFERROR(INDEX(Catálogo!D$4:D$1000,MATCH($A$1&amp;"|"&amp;8,Índice!$A$4:$A$1000,0)),"")</f>
        <v>Paciente</v>
      </c>
      <c r="E11" s="6" t="str">
        <f aca="false">IFERROR(INDEX(Catálogo!E$4:E$1000,MATCH($A$1&amp;"|"&amp;8,Índice!$A$4:$A$1000,0)),"")</f>
        <v>9–16 anos</v>
      </c>
      <c r="F11" s="5" t="n">
        <f aca="false">IFERROR(INDEX(Catálogo!F$4:F$1000,MATCH($A$1&amp;"|"&amp;8,Índice!$A$4:$A$1000,0)),"")</f>
        <v>9</v>
      </c>
      <c r="G11" s="5" t="n">
        <f aca="false">IFERROR(INDEX(Catálogo!G$4:G$1000,MATCH($A$1&amp;"|"&amp;8,Índice!$A$4:$A$1000,0)),"")</f>
        <v>17</v>
      </c>
      <c r="H11" s="5" t="n">
        <f aca="false">IFERROR(INDEX(Catálogo!H$4:H$1000,MATCH($A$1&amp;"|"&amp;8,Índice!$A$4:$A$1000,0)),"")</f>
        <v>4</v>
      </c>
      <c r="I11" s="6" t="str">
        <f aca="false">IFERROR(INDEX(Catálogo!I$4:I$1000,MATCH($A$1&amp;"|"&amp;8,Índice!$A$4:$A$1000,0)),"")</f>
        <v>Avaliação multidimensional da qualidade da regulação emocional em crianças e adolescentes (MacDermott et al., 2010; adaptação PT Reverendo &amp; Machado, 2010). 16 itens de auto-relato em 3 subescalas com inversão automática de 10 itens. Polaridade simplificada: alta = adaptativo. Tempo de aplicação ~4-6 min.</v>
      </c>
      <c r="J11" s="6" t="str">
        <f aca="false">IFERROR(INDEX(Catálogo!J$4:J$1000,MATCH($A$1&amp;"|"&amp;8,Índice!$A$4:$A$1000,0)),"")</f>
        <v>Controlo Emocional (CE); Autoconsciência Emocional (AE); Responsividade Situacional (RS); ERICA Total</v>
      </c>
      <c r="K11" s="6" t="str">
        <f aca="false">IFERROR(INDEX(Catálogo!K$4:K$1000,MATCH($A$1&amp;"|"&amp;8,Índice!$A$4:$A$1000,0)),"")</f>
        <v>erica</v>
      </c>
      <c r="L11" s="6" t="str">
        <f aca="false">IFERROR(INDEX(Catálogo!L$4:L$1000,MATCH($A$1&amp;"|"&amp;8,Índice!$A$4:$A$1000,0)),"")</f>
        <v>q_erica</v>
      </c>
      <c r="M11" s="7" t="str">
        <f aca="false">IFERROR(INDEX(Catálogo!M$4:M$1000,MATCH($A$1&amp;"|"&amp;8,Índice!$A$4:$A$1000,0)),"")</f>
        <v>https://correiaricardina-ui.github.io/questionarios/ERICA_v1.html</v>
      </c>
    </row>
    <row r="12" customFormat="false" ht="42" hidden="false" customHeight="true" outlineLevel="0" collapsed="false">
      <c r="A12" s="5" t="n">
        <f aca="false">IFERROR(INDEX(Catálogo!A$4:A$1000,MATCH($A$1&amp;"|"&amp;9,Índice!$A$4:$A$1000,0)),"")</f>
        <v>66</v>
      </c>
      <c r="B12" s="6" t="str">
        <f aca="false">IFERROR(INDEX(Catálogo!B$4:B$1000,MATCH($A$1&amp;"|"&amp;9,Índice!$A$4:$A$1000,0)),"")</f>
        <v>ERQ-CA — Questionário de Regulação Emocional (Crianças e Adolescentes)</v>
      </c>
      <c r="C12" s="6" t="str">
        <f aca="false">IFERROR(INDEX(Catálogo!C$4:C$1000,MATCH($A$1&amp;"|"&amp;9,Índice!$A$4:$A$1000,0)),"")</f>
        <v>Regulação Emocional &amp; Coping</v>
      </c>
      <c r="D12" s="6" t="str">
        <f aca="false">IFERROR(INDEX(Catálogo!D$4:D$1000,MATCH($A$1&amp;"|"&amp;9,Índice!$A$4:$A$1000,0)),"")</f>
        <v>Paciente</v>
      </c>
      <c r="E12" s="6" t="str">
        <f aca="false">IFERROR(INDEX(Catálogo!E$4:E$1000,MATCH($A$1&amp;"|"&amp;9,Índice!$A$4:$A$1000,0)),"")</f>
        <v>10–18 anos</v>
      </c>
      <c r="F12" s="5" t="n">
        <f aca="false">IFERROR(INDEX(Catálogo!F$4:F$1000,MATCH($A$1&amp;"|"&amp;9,Índice!$A$4:$A$1000,0)),"")</f>
        <v>10</v>
      </c>
      <c r="G12" s="5" t="n">
        <f aca="false">IFERROR(INDEX(Catálogo!G$4:G$1000,MATCH($A$1&amp;"|"&amp;9,Índice!$A$4:$A$1000,0)),"")</f>
        <v>19</v>
      </c>
      <c r="H12" s="5" t="n">
        <f aca="false">IFERROR(INDEX(Catálogo!H$4:H$1000,MATCH($A$1&amp;"|"&amp;9,Índice!$A$4:$A$1000,0)),"")</f>
        <v>2</v>
      </c>
      <c r="I12" s="6" t="str">
        <f aca="false">IFERROR(INDEX(Catálogo!I$4:I$1000,MATCH($A$1&amp;"|"&amp;9,Índice!$A$4:$A$1000,0)),"")</f>
        <v>Auto-relato breve (10 itens, ~3-5 min) de duas estratégias do modelo processual de regulação emocional de Gross (1998): Reavaliação Cognitiva (adaptativa, antecedente) e Supressão Expressiva (menos adaptativa, focada na resposta). Adaptação Gullone &amp; Taffe (2012); tradução PT Ana Nunes (sem validação psicométrica formal — uso restrito a investigação). Painel clínico permite alternar entre 6 grupos normativos (Global / etário / sexo).</v>
      </c>
      <c r="J12" s="6" t="str">
        <f aca="false">IFERROR(INDEX(Catálogo!J$4:J$1000,MATCH($A$1&amp;"|"&amp;9,Índice!$A$4:$A$1000,0)),"")</f>
        <v>Reavaliação Cognitiva (RC); Supressão Expressiva (SE)</v>
      </c>
      <c r="K12" s="6" t="str">
        <f aca="false">IFERROR(INDEX(Catálogo!K$4:K$1000,MATCH($A$1&amp;"|"&amp;9,Índice!$A$4:$A$1000,0)),"")</f>
        <v>erqca</v>
      </c>
      <c r="L12" s="6" t="str">
        <f aca="false">IFERROR(INDEX(Catálogo!L$4:L$1000,MATCH($A$1&amp;"|"&amp;9,Índice!$A$4:$A$1000,0)),"")</f>
        <v>q_erq_ca</v>
      </c>
      <c r="M12" s="7" t="str">
        <f aca="false">IFERROR(INDEX(Catálogo!M$4:M$1000,MATCH($A$1&amp;"|"&amp;9,Índice!$A$4:$A$1000,0)),"")</f>
        <v>https://correiaricardina-ui.github.io/questionarios/ERQ_CA_v1.html</v>
      </c>
    </row>
    <row r="13" customFormat="false" ht="42" hidden="false" customHeight="true" outlineLevel="0" collapsed="false">
      <c r="A13" s="5" t="n">
        <f aca="false">IFERROR(INDEX(Catálogo!A$4:A$1000,MATCH($A$1&amp;"|"&amp;10,Índice!$A$4:$A$1000,0)),"")</f>
        <v>84</v>
      </c>
      <c r="B13" s="6" t="str">
        <f aca="false">IFERROR(INDEX(Catálogo!B$4:B$1000,MATCH($A$1&amp;"|"&amp;10,Índice!$A$4:$A$1000,0)),"")</f>
        <v>ISC-24 — Somatização</v>
      </c>
      <c r="C13" s="6" t="str">
        <f aca="false">IFERROR(INDEX(Catálogo!C$4:C$1000,MATCH($A$1&amp;"|"&amp;10,Índice!$A$4:$A$1000,0)),"")</f>
        <v>Regulação Emocional &amp; Coping</v>
      </c>
      <c r="D13" s="6" t="str">
        <f aca="false">IFERROR(INDEX(Catálogo!D$4:D$1000,MATCH($A$1&amp;"|"&amp;10,Índice!$A$4:$A$1000,0)),"")</f>
        <v>Paciente, Criança avaliada, Jovem avaliado, Mãe, Pai, Enc. Educação</v>
      </c>
      <c r="E13" s="6" t="str">
        <f aca="false">IFERROR(INDEX(Catálogo!E$4:E$1000,MATCH($A$1&amp;"|"&amp;10,Índice!$A$4:$A$1000,0)),"")</f>
        <v>8–18 anos</v>
      </c>
      <c r="F13" s="5" t="n">
        <f aca="false">IFERROR(INDEX(Catálogo!F$4:F$1000,MATCH($A$1&amp;"|"&amp;10,Índice!$A$4:$A$1000,0)),"")</f>
        <v>8</v>
      </c>
      <c r="G13" s="5" t="n">
        <f aca="false">IFERROR(INDEX(Catálogo!G$4:G$1000,MATCH($A$1&amp;"|"&amp;10,Índice!$A$4:$A$1000,0)),"")</f>
        <v>18.9</v>
      </c>
      <c r="H13" s="5" t="n">
        <f aca="false">IFERROR(INDEX(Catálogo!H$4:H$1000,MATCH($A$1&amp;"|"&amp;10,Índice!$A$4:$A$1000,0)),"")</f>
        <v>5</v>
      </c>
      <c r="I13" s="6" t="str">
        <f aca="false">IFERROR(INDEX(Catálogo!I$4:I$1000,MATCH($A$1&amp;"|"&amp;10,Índice!$A$4:$A$1000,0)),"")</f>
        <v>Avalia presença e intensidade de sintomas somáticos nas últimas 2 semanas (24 itens; Ferreira, Martins, Monteiro &amp; Pereira, 2014 — adaptação portuguesa do CSI-24)</v>
      </c>
      <c r="J13" s="6" t="str">
        <f aca="false">IFERROR(INDEX(Catálogo!J$4:J$1000,MATCH($A$1&amp;"|"&amp;10,Índice!$A$4:$A$1000,0)),"")</f>
        <v>Pontuação Total; Cardiopulmonar; Pseudoneurológico; Gastrointestinal; Dor</v>
      </c>
      <c r="K13" s="6" t="str">
        <f aca="false">IFERROR(INDEX(Catálogo!K$4:K$1000,MATCH($A$1&amp;"|"&amp;10,Índice!$A$4:$A$1000,0)),"")</f>
        <v>isc24</v>
      </c>
      <c r="L13" s="6" t="str">
        <f aca="false">IFERROR(INDEX(Catálogo!L$4:L$1000,MATCH($A$1&amp;"|"&amp;10,Índice!$A$4:$A$1000,0)),"")</f>
        <v>q_isc24</v>
      </c>
      <c r="M13" s="7" t="str">
        <f aca="false">IFERROR(INDEX(Catálogo!M$4:M$1000,MATCH($A$1&amp;"|"&amp;10,Índice!$A$4:$A$1000,0)),"")</f>
        <v>https://correiaricardina-ui.github.io/questionarios/ISC24.html</v>
      </c>
    </row>
    <row r="14" customFormat="false" ht="42" hidden="false" customHeight="true" outlineLevel="0" collapsed="false">
      <c r="A14" s="5" t="n">
        <f aca="false">IFERROR(INDEX(Catálogo!A$4:A$1000,MATCH($A$1&amp;"|"&amp;11,Índice!$A$4:$A$1000,0)),"")</f>
        <v>88</v>
      </c>
      <c r="B14" s="6" t="str">
        <f aca="false">IFERROR(INDEX(Catálogo!B$4:B$1000,MATCH($A$1&amp;"|"&amp;11,Índice!$A$4:$A$1000,0)),"")</f>
        <v>Kidcope — Adolescentes (13–18 anos)</v>
      </c>
      <c r="C14" s="6" t="str">
        <f aca="false">IFERROR(INDEX(Catálogo!C$4:C$1000,MATCH($A$1&amp;"|"&amp;11,Índice!$A$4:$A$1000,0)),"")</f>
        <v>Regulação Emocional &amp; Coping</v>
      </c>
      <c r="D14" s="6" t="str">
        <f aca="false">IFERROR(INDEX(Catálogo!D$4:D$1000,MATCH($A$1&amp;"|"&amp;11,Índice!$A$4:$A$1000,0)),"")</f>
        <v>Paciente, Jovem avaliado</v>
      </c>
      <c r="E14" s="6" t="str">
        <f aca="false">IFERROR(INDEX(Catálogo!E$4:E$1000,MATCH($A$1&amp;"|"&amp;11,Índice!$A$4:$A$1000,0)),"")</f>
        <v>13–18 anos</v>
      </c>
      <c r="F14" s="5" t="n">
        <f aca="false">IFERROR(INDEX(Catálogo!F$4:F$1000,MATCH($A$1&amp;"|"&amp;11,Índice!$A$4:$A$1000,0)),"")</f>
        <v>13</v>
      </c>
      <c r="G14" s="5" t="n">
        <f aca="false">IFERROR(INDEX(Catálogo!G$4:G$1000,MATCH($A$1&amp;"|"&amp;11,Índice!$A$4:$A$1000,0)),"")</f>
        <v>18.9</v>
      </c>
      <c r="H14" s="5" t="n">
        <f aca="false">IFERROR(INDEX(Catálogo!H$4:H$1000,MATCH($A$1&amp;"|"&amp;11,Índice!$A$4:$A$1000,0)),"")</f>
        <v>6</v>
      </c>
      <c r="I14" s="6" t="str">
        <f aca="false">IFERROR(INDEX(Catálogo!I$4:I$1000,MATCH($A$1&amp;"|"&amp;11,Índice!$A$4:$A$1000,0)),"")</f>
        <v>Avalia frequência (0–3) e eficácia percebida (0–4) de estratégias de coping; inclui flags de discrepância Frequência-Eficácia e perfil integrado A-E-D (Spirito, Stark &amp; Williams, 1988)</v>
      </c>
      <c r="J14" s="6" t="str">
        <f aca="false">IFERROR(INDEX(Catálogo!J$4:J$1000,MATCH($A$1&amp;"|"&amp;11,Índice!$A$4:$A$1000,0)),"")</f>
        <v>Estilo Adaptativo; Estilo Evitativo; Estilo Disfuncional; Índice Global; Flags F-E; Perfil A-E-D</v>
      </c>
      <c r="K14" s="6" t="str">
        <f aca="false">IFERROR(INDEX(Catálogo!K$4:K$1000,MATCH($A$1&amp;"|"&amp;11,Índice!$A$4:$A$1000,0)),"")</f>
        <v>kidcope_ad</v>
      </c>
      <c r="L14" s="6" t="str">
        <f aca="false">IFERROR(INDEX(Catálogo!L$4:L$1000,MATCH($A$1&amp;"|"&amp;11,Índice!$A$4:$A$1000,0)),"")</f>
        <v>q_kidcope_ad</v>
      </c>
      <c r="M14" s="7" t="str">
        <f aca="false">IFERROR(INDEX(Catálogo!M$4:M$1000,MATCH($A$1&amp;"|"&amp;11,Índice!$A$4:$A$1000,0)),"")</f>
        <v>https://correiaricardina-ui.github.io/questionarios/Kidcope_Adolescentes_v1.html</v>
      </c>
    </row>
    <row r="15" customFormat="false" ht="42" hidden="false" customHeight="true" outlineLevel="0" collapsed="false">
      <c r="A15" s="5" t="n">
        <f aca="false">IFERROR(INDEX(Catálogo!A$4:A$1000,MATCH($A$1&amp;"|"&amp;12,Índice!$A$4:$A$1000,0)),"")</f>
        <v>89</v>
      </c>
      <c r="B15" s="6" t="str">
        <f aca="false">IFERROR(INDEX(Catálogo!B$4:B$1000,MATCH($A$1&amp;"|"&amp;12,Índice!$A$4:$A$1000,0)),"")</f>
        <v>Kidcope — Crianças (7–12 anos)</v>
      </c>
      <c r="C15" s="6" t="str">
        <f aca="false">IFERROR(INDEX(Catálogo!C$4:C$1000,MATCH($A$1&amp;"|"&amp;12,Índice!$A$4:$A$1000,0)),"")</f>
        <v>Regulação Emocional &amp; Coping</v>
      </c>
      <c r="D15" s="6" t="str">
        <f aca="false">IFERROR(INDEX(Catálogo!D$4:D$1000,MATCH($A$1&amp;"|"&amp;12,Índice!$A$4:$A$1000,0)),"")</f>
        <v>Paciente, Criança avaliada</v>
      </c>
      <c r="E15" s="6" t="str">
        <f aca="false">IFERROR(INDEX(Catálogo!E$4:E$1000,MATCH($A$1&amp;"|"&amp;12,Índice!$A$4:$A$1000,0)),"")</f>
        <v>7–12 anos</v>
      </c>
      <c r="F15" s="5" t="n">
        <f aca="false">IFERROR(INDEX(Catálogo!F$4:F$1000,MATCH($A$1&amp;"|"&amp;12,Índice!$A$4:$A$1000,0)),"")</f>
        <v>7</v>
      </c>
      <c r="G15" s="5" t="n">
        <f aca="false">IFERROR(INDEX(Catálogo!G$4:G$1000,MATCH($A$1&amp;"|"&amp;12,Índice!$A$4:$A$1000,0)),"")</f>
        <v>12.9</v>
      </c>
      <c r="H15" s="5" t="n">
        <f aca="false">IFERROR(INDEX(Catálogo!H$4:H$1000,MATCH($A$1&amp;"|"&amp;12,Índice!$A$4:$A$1000,0)),"")</f>
        <v>5</v>
      </c>
      <c r="I15" s="6" t="str">
        <f aca="false">IFERROR(INDEX(Catálogo!I$4:I$1000,MATCH($A$1&amp;"|"&amp;12,Índice!$A$4:$A$1000,0)),"")</f>
        <v>Avalia estratégias de coping face a situações de stress (uso binário Sim/Não + eficácia 0–2); perfil integrado A-E-D com 27 combinações clínicas (Spirito, Stark &amp; Williams, 1988)</v>
      </c>
      <c r="J15" s="6" t="str">
        <f aca="false">IFERROR(INDEX(Catálogo!J$4:J$1000,MATCH($A$1&amp;"|"&amp;12,Índice!$A$4:$A$1000,0)),"")</f>
        <v>Estilo Adaptativo; Estilo Evitativo; Estilo Disfuncional; Índice Global; Perfil A-E-D</v>
      </c>
      <c r="K15" s="6" t="str">
        <f aca="false">IFERROR(INDEX(Catálogo!K$4:K$1000,MATCH($A$1&amp;"|"&amp;12,Índice!$A$4:$A$1000,0)),"")</f>
        <v>kidcope_cr</v>
      </c>
      <c r="L15" s="6" t="str">
        <f aca="false">IFERROR(INDEX(Catálogo!L$4:L$1000,MATCH($A$1&amp;"|"&amp;12,Índice!$A$4:$A$1000,0)),"")</f>
        <v>q_kidcope_cr</v>
      </c>
      <c r="M15" s="7" t="str">
        <f aca="false">IFERROR(INDEX(Catálogo!M$4:M$1000,MATCH($A$1&amp;"|"&amp;12,Índice!$A$4:$A$1000,0)),"")</f>
        <v>https://correiaricardina-ui.github.io/questionarios/Kidcope_Criancas_v1.html</v>
      </c>
    </row>
    <row r="16" customFormat="false" ht="42" hidden="false" customHeight="true" outlineLevel="0" collapsed="false">
      <c r="A16" s="5" t="n">
        <f aca="false">IFERROR(INDEX(Catálogo!A$4:A$1000,MATCH($A$1&amp;"|"&amp;13,Índice!$A$4:$A$1000,0)),"")</f>
        <v>151</v>
      </c>
      <c r="B16" s="6" t="str">
        <f aca="false">IFERROR(INDEX(Catálogo!B$4:B$1000,MATCH($A$1&amp;"|"&amp;13,Índice!$A$4:$A$1000,0)),"")</f>
        <v>TAS-20</v>
      </c>
      <c r="C16" s="6" t="str">
        <f aca="false">IFERROR(INDEX(Catálogo!C$4:C$1000,MATCH($A$1&amp;"|"&amp;13,Índice!$A$4:$A$1000,0)),"")</f>
        <v>Regulação Emocional &amp; Coping</v>
      </c>
      <c r="D16" s="6" t="str">
        <f aca="false">IFERROR(INDEX(Catálogo!D$4:D$1000,MATCH($A$1&amp;"|"&amp;13,Índice!$A$4:$A$1000,0)),"")</f>
        <v>Paciente</v>
      </c>
      <c r="E16" s="6" t="str">
        <f aca="false">IFERROR(INDEX(Catálogo!E$4:E$1000,MATCH($A$1&amp;"|"&amp;13,Índice!$A$4:$A$1000,0)),"")</f>
        <v>Adultos</v>
      </c>
      <c r="F16" s="5" t="n">
        <f aca="false">IFERROR(INDEX(Catálogo!F$4:F$1000,MATCH($A$1&amp;"|"&amp;13,Índice!$A$4:$A$1000,0)),"")</f>
        <v>16</v>
      </c>
      <c r="G16" s="5" t="n">
        <f aca="false">IFERROR(INDEX(Catálogo!G$4:G$1000,MATCH($A$1&amp;"|"&amp;13,Índice!$A$4:$A$1000,0)),"")</f>
        <v>99</v>
      </c>
      <c r="H16" s="5" t="n">
        <f aca="false">IFERROR(INDEX(Catálogo!H$4:H$1000,MATCH($A$1&amp;"|"&amp;13,Índice!$A$4:$A$1000,0)),"")</f>
        <v>4</v>
      </c>
      <c r="I16" s="6" t="str">
        <f aca="false">IFERROR(INDEX(Catálogo!I$4:I$1000,MATCH($A$1&amp;"|"&amp;13,Índice!$A$4:$A$1000,0)),"")</f>
        <v>Avaliar alexitimia (dificuldade em identificar e descrever emoções)</v>
      </c>
      <c r="J16" s="6" t="str">
        <f aca="false">IFERROR(INDEX(Catálogo!J$4:J$1000,MATCH($A$1&amp;"|"&amp;13,Índice!$A$4:$A$1000,0)),"")</f>
        <v>Dificuldade em Identificar Sentimentos (F1); Dificuldade em Descrever Sentimentos (F2); Pensamento Orientado para o Exterior (F3); Total</v>
      </c>
      <c r="K16" s="6" t="str">
        <f aca="false">IFERROR(INDEX(Catálogo!K$4:K$1000,MATCH($A$1&amp;"|"&amp;13,Índice!$A$4:$A$1000,0)),"")</f>
        <v>tas20</v>
      </c>
      <c r="L16" s="6" t="str">
        <f aca="false">IFERROR(INDEX(Catálogo!L$4:L$1000,MATCH($A$1&amp;"|"&amp;13,Índice!$A$4:$A$1000,0)),"")</f>
        <v>q_tas20</v>
      </c>
      <c r="M16" s="7" t="str">
        <f aca="false">IFERROR(INDEX(Catálogo!M$4:M$1000,MATCH($A$1&amp;"|"&amp;13,Índice!$A$4:$A$1000,0)),"")</f>
        <v>https://correiaricardina-ui.github.io/questionarios/TAS20_v7.html</v>
      </c>
    </row>
    <row r="17" customFormat="false" ht="42" hidden="false" customHeight="true" outlineLevel="0" collapsed="false">
      <c r="A17" s="5" t="n">
        <f aca="false">IFERROR(INDEX(Catálogo!A$4:A$1000,MATCH($A$1&amp;"|"&amp;14,Índice!$A$4:$A$1000,0)),"")</f>
        <v>169</v>
      </c>
      <c r="B17" s="6" t="str">
        <f aca="false">IFERROR(INDEX(Catálogo!B$4:B$1000,MATCH($A$1&amp;"|"&amp;14,Índice!$A$4:$A$1000,0)),"")</f>
        <v>CBQ-SF — Children’s Behavior Questionnaire (Forma Breve)</v>
      </c>
      <c r="C17" s="6" t="str">
        <f aca="false">IFERROR(INDEX(Catálogo!C$4:C$1000,MATCH($A$1&amp;"|"&amp;14,Índice!$A$4:$A$1000,0)),"")</f>
        <v>Regulação Emocional &amp; Coping</v>
      </c>
      <c r="D17" s="6" t="str">
        <f aca="false">IFERROR(INDEX(Catálogo!D$4:D$1000,MATCH($A$1&amp;"|"&amp;14,Índice!$A$4:$A$1000,0)),"")</f>
        <v>Mãe, Pai, Enc. Educação</v>
      </c>
      <c r="E17" s="6" t="str">
        <f aca="false">IFERROR(INDEX(Catálogo!E$4:E$1000,MATCH($A$1&amp;"|"&amp;14,Índice!$A$4:$A$1000,0)),"")</f>
        <v>3–7 anos</v>
      </c>
      <c r="F17" s="5" t="n">
        <f aca="false">IFERROR(INDEX(Catálogo!F$4:F$1000,MATCH($A$1&amp;"|"&amp;14,Índice!$A$4:$A$1000,0)),"")</f>
        <v>3</v>
      </c>
      <c r="G17" s="5" t="n">
        <f aca="false">IFERROR(INDEX(Catálogo!G$4:G$1000,MATCH($A$1&amp;"|"&amp;14,Índice!$A$4:$A$1000,0)),"")</f>
        <v>7</v>
      </c>
      <c r="H17" s="5" t="n">
        <f aca="false">IFERROR(INDEX(Catálogo!H$4:H$1000,MATCH($A$1&amp;"|"&amp;14,Índice!$A$4:$A$1000,0)),"")</f>
        <v>18</v>
      </c>
      <c r="I17" s="6" t="str">
        <f aca="false">IFERROR(INDEX(Catálogo!I$4:I$1000,MATCH($A$1&amp;"|"&amp;14,Índice!$A$4:$A$1000,0)),"")</f>
        <v>Avalia o temperamento infantil em 15 escalas e 3 dimensões, por hétero-relato do cuidador principal (94 itens, Likert 1–7 com opção NA). Sem normas portuguesas — leitura descritiva e ipsativa, sem valor diagnóstico autónomo. ⚠ «Não aplicável» (NA) e omissos são tratados como dados em falta e excluídos do denominador, nunca cotados 0: divergência deliberada face a Lopes (2011), que cotou NA com o valor 0 e assim enviesou sistematicamente as médias para baixo (anomalia A-03 do livro de cotação). Consequência: os resultados obtidos por esta via NÃO são directamente comparáveis com os do estudo português de validação. ⚠ Item 50 — a versão portuguesa lê «Prefere atividades calmas E jogos ativos», quando o original é «prefers quiet activities TO active games»: a conjunção inverte o sentido da afirmação. Item invertido da escala Nível de Atividade, mantido fiel ao protocolo traduzido (sem correcção unilateral, à semelhança das anomalias A-01 a A-05); ponderar esta limitação na leitura isolada do item e da escala.</v>
      </c>
      <c r="J17" s="6" t="str">
        <f aca="false">IFERROR(INDEX(Catálogo!J$4:J$1000,MATCH($A$1&amp;"|"&amp;14,Índice!$A$4:$A$1000,0)),"")</f>
        <v>Extroversão / Surgência (dimensão, Modelo A: NA + AE + EIP + IM + SG − TI). Afetividade Negativa (IF + DE + ME + TR − SLR). Controlo por Esforço (FA + CI + BIP + SP). Extroversão variante restrita, 4 escalas (Putnam &amp; Rothbart, 2006). Modelo B português (Lopes, 2011), complementar: Extroversão PT, Afetividade Negativa PT, Controlo por Esforço PT. 15 escalas: Nível de Atividade (7 itens); Irritação / Frustração (6); Aproximação / Entusiasmo (6); Foco Atencional (6); Desconforto (6); Sensibilidade / Limiar de Resposta (6); Medo (6); Elevada Intensidade de Prazer (6); Impulsividade (6); Controlo Inibido (6); Baixa Intensidade de Prazer (8); Sensibilidade Percetiva (6); Tristeza (7); Timidez (6); Sorrisos / Gargalhadas (6). Cotação por MÉDIA na métrica 1–7 (ponto neutro = 4); NA e omissos excluídos do denominador. SEM normas portuguesas: bandas descritivas, leitura preferencial por perfil ipsativo intraindividual.</v>
      </c>
      <c r="K17" s="6" t="str">
        <f aca="false">IFERROR(INDEX(Catálogo!K$4:K$1000,MATCH($A$1&amp;"|"&amp;14,Índice!$A$4:$A$1000,0)),"")</f>
        <v>cbqsf</v>
      </c>
      <c r="L17" s="6" t="str">
        <f aca="false">IFERROR(INDEX(Catálogo!L$4:L$1000,MATCH($A$1&amp;"|"&amp;14,Índice!$A$4:$A$1000,0)),"")</f>
        <v>q_cbqsf</v>
      </c>
      <c r="M17" s="7" t="str">
        <f aca="false">IFERROR(INDEX(Catálogo!M$4:M$1000,MATCH($A$1&amp;"|"&amp;14,Índice!$A$4:$A$1000,0)),"")</f>
        <v>https://correiaricardina-ui.github.io/questionarios/CBQ_SF_v1.html</v>
      </c>
    </row>
    <row r="18" customFormat="false" ht="42" hidden="false" customHeight="true" outlineLevel="0" collapsed="false">
      <c r="A18" s="5" t="n">
        <f aca="false">IFERROR(INDEX(Catálogo!A$4:A$1000,MATCH($A$1&amp;"|"&amp;15,Índice!$A$4:$A$1000,0)),"")</f>
        <v>197</v>
      </c>
      <c r="B18" s="6" t="str">
        <f aca="false">IFERROR(INDEX(Catálogo!B$4:B$1000,MATCH($A$1&amp;"|"&amp;15,Índice!$A$4:$A$1000,0)),"")</f>
        <v>RDP-RC — Registo Diário Prospetivo</v>
      </c>
      <c r="C18" s="6" t="str">
        <f aca="false">IFERROR(INDEX(Catálogo!C$4:C$1000,MATCH($A$1&amp;"|"&amp;15,Índice!$A$4:$A$1000,0)),"")</f>
        <v>Regulação Emocional &amp; Coping</v>
      </c>
      <c r="D18" s="6" t="str">
        <f aca="false">IFERROR(INDEX(Catálogo!D$4:D$1000,MATCH($A$1&amp;"|"&amp;15,Índice!$A$4:$A$1000,0)),"")</f>
        <v>Próprio</v>
      </c>
      <c r="E18" s="6" t="str">
        <f aca="false">IFERROR(INDEX(Catálogo!E$4:E$1000,MATCH($A$1&amp;"|"&amp;15,Índice!$A$4:$A$1000,0)),"")</f>
        <v>12–99 anos</v>
      </c>
      <c r="F18" s="5" t="n">
        <f aca="false">IFERROR(INDEX(Catálogo!F$4:F$1000,MATCH($A$1&amp;"|"&amp;15,Índice!$A$4:$A$1000,0)),"")</f>
        <v>12</v>
      </c>
      <c r="G18" s="5" t="n">
        <f aca="false">IFERROR(INDEX(Catálogo!G$4:G$1000,MATCH($A$1&amp;"|"&amp;15,Índice!$A$4:$A$1000,0)),"")</f>
        <v>99</v>
      </c>
      <c r="H18" s="5" t="n">
        <f aca="false">IFERROR(INDEX(Catálogo!H$4:H$1000,MATCH($A$1&amp;"|"&amp;15,Índice!$A$4:$A$1000,0)),"")</f>
        <v>15</v>
      </c>
      <c r="I18" s="6" t="str">
        <f aca="false">IFERROR(INDEX(Catálogo!I$4:I$1000,MATCH($A$1&amp;"|"&amp;15,Índice!$A$4:$A$1000,0)),"")</f>
        <v>Regista PROSPETIVAMENTE, dia a dia, a variação sintomática ao longo do ciclo menstrual, para testar se o agravamento se concentra na FASE LÚTEA TARDIA. Instrumento de CONSTRUÇÃO PRÓPRIA, em português europeu, SEM validação psicométrica, sem normas e sem estudo de fidelidade: é um dispositivo de OBSERVAÇÃO ESTRUTURADA, não um teste. Cada registo diário cobre 11 itens de critério numa escala 0–3 (0 nada · 1 um pouco · 2 bastante · 3 muito) — 4 NUCLEARES (labilidade do humor, irritabilidade, humor deprimido, ansiedade) e 7 ADICIONAIS (interesse, concentração, fadiga, apetite, sono, sobrecarga, sintomas físicos) —, devolvendo um Total de critério 0–33, mais um item de INTERFERÊNCIA no dia (0–3) e dois sinalizadores binários (dia de fluxo menstrual; toma de medicação em SOS). Corre ainda, EM PARALELO, um bloco de três sintomas específicos do caso (sintomas digestivos, cefaleia, acordar sem descanso) e as horas de sono — que NÃO entram no Total de critério nem em qualquer critério do DSM-5-TR e servem apenas de leitura ecológica acompanhante. ⚠ A FASE NÃO É CALCULADA A PARTIR DO INÍCIO DO CICLO: em ciclos de 35–40 dias a fase lútea não é contável para a frente, pelo que é atribuída RETROSPETIVAMENTE a partir do início da menstruação SEGUINTE — lútea tardia = os 7 dias anteriores ao início do fluxo; folicular = dias 3 a 9 após o início do fluxo; os restantes ficam intermédios e não entram na comparação. Por isso a classificação de um dia pode mudar quando chega o ciclo seguinte, e só estabiliza no fim. ⚠ O DSM-5-TR exige DOIS ciclos prospetivos completos: abaixo disso o padrão devolvido é R0 e nenhuma leitura substantiva é admissível. ⚠ A leitura primária é o CONTRASTE lútea vs folicular, nunca o valor absoluto de um dia: considera-se agravamento assinalável uma variação ≥ 30% da média lútea sobre a média folicular, e um item conta como presente quando atinge 2 ou mais em pelo menos metade dos dias lúteos. ⚠ A DISSOCIAÇÃO entre PMDD e exacerbação pré-menstrual (PME) faz-se pelo NÍVEL BASAL folicular: com média por item ≥ 1,0 na fase folicular, o quadro é de agravamento de sintomatologia já presente, e o DSM-5-TR EXCLUI o diagnóstico de PMDD — a implicação clínica é tratar o quadro de base, com atenção acrescida na janela lútea. Padrões devolvidos: R0 registo insuficiente · R1 sem agravamento assinalável · R2 exacerbação pré-menstrual de quadro preexistente · R3 compatível com PMDD · R4 agravamento lúteo subclínico. ⚠ R3 é uma COMPATIBILIDADE DE PADRÃO, nunca um diagnóstico: a confirmação diagnóstica e a decisão terapêutica são da PSIQUIATRIA. ⚠ Ausência de agravamento cíclico (R1) é informação clínica de pleno direito: exclui o ciclo como fator de manutenção e remete a procura para outro eixo. ⚠ Registo DIÁRIO — uma linha por dia e por utente, não um protocolo único; a adesão ao registo é ela própria dado clínico, e falhas sistemáticas numa das fases enviesam a comparação</v>
      </c>
      <c r="J18" s="6" t="str">
        <f aca="false">IFERROR(INDEX(Catálogo!J$4:J$1000,MATCH($A$1&amp;"|"&amp;15,Índice!$A$4:$A$1000,0)),"")</f>
        <v>Total de critério (11 itens, 0–33) — soma dos 4 nucleares com os 7 adicionais; é a pontuação que entra na comparação entre fases | Sintomas nucleares (4 itens, 0–12) — labilidade do humor, irritabilidade, humor deprimido e ansiedade; o DSM-5-TR exige pelo menos UM presente | Sintomas adicionais (7 itens, 0–21) — interesse, concentração, fadiga, apetite, sono, sobrecarga e sintomas físicos | Interferência no dia (1 item, 0–3) — impacto declarado no funcionamento desse dia, seguido em paralelo às médias de fase | Bloco específico do caso (sintomas digestivos, cefaleia, acordar sem descanso) — corre EM PARALELO e NÃO entra no Total de critério nem em qualquer critério do DSM-5-TR | Horas de sono declaradas — indicador ecológico externo a qualquer pontuação; média comparada entre fases | Sinalizador de fluxo menstrual (0/1) — não é sintoma: é o marcador que delimita retrospetivamente as fases | Sinalizador de medicação em SOS (0/1) — proporção de dias com recurso a SOS, comparada entre fases | Atribuição RETROSPETIVA de fase — lútea tardia (7 dias anteriores ao início do fluxo) · folicular (dias 3 a 9 após o início do fluxo) · intermédia (excluída da comparação); a classificação de um dia só estabiliza quando chega o ciclo seguinte | Médias por fase — média do Total de critério nos dias lúteos e nos dias foliculares, com o número de dias efetivamente disponíveis em cada uma | Variação lútea-folicular (%) — agravamento assinalável a partir de 30%; com média folicular inferior a 1,0 a variação é truncada em 200% e lida como remissão folicular | Itens presentes em pelo menos metade dos dias lúteos — item conta como presente a partir de 2; critério de contagem sintomática (≥ 5 itens, com ≥ 1 nuclear) | Nível basal folicular (média por item) — discriminante entre PMDD e exacerbação pré-menstrual: a partir de 1,0 o DSM-5-TR exclui PMDD por se tratar de agravamento de quadro preexistente | Padrão devolvido — R0 registo insuficiente (menos de dois ciclos completos) · R1 sem agravamento assinalável · R2 exacerbação pré-menstrual (PME) · R3 compatível com PMDD · R4 agravamento lúteo subclínico; R3 é compatibilidade de padrão, nunca diagnóstico | Número de ciclos prospetivos completos — o DSM-5-TR exige DOIS; abaixo disso nenhuma leitura substantiva é admissível</v>
      </c>
      <c r="K18" s="6" t="str">
        <f aca="false">IFERROR(INDEX(Catálogo!K$4:K$1000,MATCH($A$1&amp;"|"&amp;15,Índice!$A$4:$A$1000,0)),"")</f>
        <v>rdp_rc</v>
      </c>
      <c r="L18" s="6" t="str">
        <f aca="false">IFERROR(INDEX(Catálogo!L$4:L$1000,MATCH($A$1&amp;"|"&amp;15,Índice!$A$4:$A$1000,0)),"")</f>
        <v>q_rdp_rc</v>
      </c>
      <c r="M18" s="7" t="str">
        <f aca="false">IFERROR(INDEX(Catálogo!M$4:M$1000,MATCH($A$1&amp;"|"&amp;15,Índice!$A$4:$A$1000,0)),"")</f>
        <v>https://correiaricardina-ui.github.io/questionarios/RDP_RC_v1.html</v>
      </c>
    </row>
    <row r="19" customFormat="false" ht="42" hidden="false" customHeight="true" outlineLevel="0" collapsed="false">
      <c r="A19" s="5" t="n">
        <f aca="false">IFERROR(INDEX(Catálogo!A$4:A$1000,MATCH($A$1&amp;"|"&amp;16,Índice!$A$4:$A$1000,0)),"")</f>
        <v>211</v>
      </c>
      <c r="B19" s="6" t="str">
        <f aca="false">IFERROR(INDEX(Catálogo!B$4:B$1000,MATCH($A$1&amp;"|"&amp;16,Índice!$A$4:$A$1000,0)),"")</f>
        <v>EBIP-7 — Escala Breve de Irritabilidade Pediátrica (Cuidador)</v>
      </c>
      <c r="C19" s="6" t="str">
        <f aca="false">IFERROR(INDEX(Catálogo!C$4:C$1000,MATCH($A$1&amp;"|"&amp;16,Índice!$A$4:$A$1000,0)),"")</f>
        <v>Regulação Emocional &amp; Coping</v>
      </c>
      <c r="D19" s="6" t="str">
        <f aca="false">IFERROR(INDEX(Catálogo!D$4:D$1000,MATCH($A$1&amp;"|"&amp;16,Índice!$A$4:$A$1000,0)),"")</f>
        <v>Mãe, Pai, Enc. Educação</v>
      </c>
      <c r="E19" s="6" t="str">
        <f aca="false">IFERROR(INDEX(Catálogo!E$4:E$1000,MATCH($A$1&amp;"|"&amp;16,Índice!$A$4:$A$1000,0)),"")</f>
        <v>6–17 anos</v>
      </c>
      <c r="F19" s="5" t="n">
        <f aca="false">IFERROR(INDEX(Catálogo!F$4:F$1000,MATCH($A$1&amp;"|"&amp;16,Índice!$A$4:$A$1000,0)),"")</f>
        <v>6</v>
      </c>
      <c r="G19" s="5" t="n">
        <f aca="false">IFERROR(INDEX(Catálogo!G$4:G$1000,MATCH($A$1&amp;"|"&amp;16,Índice!$A$4:$A$1000,0)),"")</f>
        <v>17</v>
      </c>
      <c r="H19" s="5" t="n">
        <f aca="false">IFERROR(INDEX(Catálogo!H$4:H$1000,MATCH($A$1&amp;"|"&amp;16,Índice!$A$4:$A$1000,0)),"")</f>
        <v>12</v>
      </c>
      <c r="I19" s="6" t="str">
        <f aca="false">IFERROR(INDEX(Catálogo!I$4:I$1000,MATCH($A$1&amp;"|"&amp;16,Índice!$A$4:$A$1000,0)),"")</f>
        <v>Avalia a IRRITABILIDADE pediátrica — limiar reduzido para a experiência de cólera em resposta à frustração — e a incapacidade funcional atribuída, distinguindo a componente TÓNICA (humor irritável persistente) da componente FÁSICA (vagas de cólera desencadeadas pela frustração). Instrumento original de construção própria em português europeu, por equivalência conceptual e psicométrica com o Affective Reactivity Index (ARI; Stringaris et al., 2012, J Child Psychol Psychiatry, 53(11), 1109–1117), cujos itens não são reproduzidos nem traduzidos: NÃO é tradução nem versão autorizada do ARI. Modelo bidimensional tónico/fásico: Brotman, Kircanski &amp; Leibenluft (2017). 7 itens, escala 0–2, 2 a 3 minutos; exclui conteúdo agressivo, antissocial e hiperativo, opção que sustenta a validade discriminante. Duas janelas: 6 MESES (avaliação inicial e caracterização diagnóstica) e 7 DIAS (monitorização de resposta à intervenção, leitura estritamente intraindividual — as faixas descritivas não se aplicam). Aplicar sempre as duas versões no mesmo momento sempre que a idade o permita: o índice de discrepância entre informantes é uma das saídas clinicamente mais informativas. Manter o mesmo informante ao longo de M1 a M4. ATENÇÃO: não existem normas portuguesas — as faixas derivam de parâmetros comunitários publicados do instrumento de referência e são de leitura exploratória, nunca normativa, pelo que se apresentam em paleta azul, sem codificação de gravidade. Medida dimensional e transdiagnóstica: um total elevado sinaliza um domínio a aprofundar e não identifica entidade nosológica; a atribuição diagnóstica (PDDH F34.81 / 6C90.0; POD F91.3 / 6C90; depressão com humor irritável F32.x–F33.x / 6A70–6A71) exige entrevista clínica estruturada. A escala mede o TRAÇO, não o episódio.</v>
      </c>
      <c r="J19" s="6" t="str">
        <f aca="false">IFERROR(INDEX(Catálogo!J$4:J$1000,MATCH($A$1&amp;"|"&amp;16,Índice!$A$4:$A$1000,0)),"")</f>
        <v>Total bruto (0–12): soma dos itens 1 a 6; com 1 item omisso aplica-se prorrateio, com 2 ou mais o protocolo não é cotável (NC); Média total (0–2) e classificação em três níveis: 0 ausente / 1 ligeira a moderada / 2 moderada a grave; Incapacidade funcional (item 7, 0–2): cotada em separado e nunca somada ao total; Índice de Limiar (itens 1 + 6, 0–4): facilidade com que a reação de cólera é desencadeada — agrupamento qualitativo, não subescala validada; Índice de Frequência (itens 2 + 5, 0–4): repetição dos episódios de cólera — agrupamento qualitativo; Índice de Duração (itens 3 + 4, 0–4): persistência do estado irritável, componente tónica — agrupamento qualitativo; Componente predominante: predomínio tónico (articular com humor depressivo), predomínio fásico (articular com tolerância à frustração e controlo inibitório) ou ambas elevadas (maior gravidade); Faixa descritiva do total, por grelhas distintas consoante o informante — cuidador: baixo 0–2 / médio 3–6 / elevado 7–9 / muito elevado 10–12; autorrelato: baixo 0–2 / médio 3–5 / elevado 6–8 / muito elevado 9–12; Posição em desvios-padrão (z) face aos parâmetros comunitários de referência (cuidador M = 3,3 e DP = 3,4; autorrelato M = 3,0 e DP = 3,0); Matriz Sintoma x Incapacidade: cruzamento do total com o item 7, em que as células de incongruência são as clinicamente mais produtivas; Índice de discrepância entre informantes (cuidador menos jovem, −12 a +12): 0 a 2 concordância / 3 a 5 moderada / 6 ou mais marcada, exigindo formulação explícita no relatório; Monitorização serial pelo campo Momento da avaliação (M1 a M4)</v>
      </c>
      <c r="K19" s="6" t="str">
        <f aca="false">IFERROR(INDEX(Catálogo!K$4:K$1000,MATCH($A$1&amp;"|"&amp;16,Índice!$A$4:$A$1000,0)),"")</f>
        <v>ebip7_c</v>
      </c>
      <c r="L19" s="6" t="str">
        <f aca="false">IFERROR(INDEX(Catálogo!L$4:L$1000,MATCH($A$1&amp;"|"&amp;16,Índice!$A$4:$A$1000,0)),"")</f>
        <v>q_ebip7_c</v>
      </c>
      <c r="M19" s="7" t="str">
        <f aca="false">IFERROR(INDEX(Catálogo!M$4:M$1000,MATCH($A$1&amp;"|"&amp;16,Índice!$A$4:$A$1000,0)),"")</f>
        <v>https://correiaricardina-ui.github.io/questionarios/EBIP7_Cuidador_v1.html</v>
      </c>
    </row>
    <row r="20" customFormat="false" ht="42" hidden="false" customHeight="true" outlineLevel="0" collapsed="false">
      <c r="A20" s="5" t="n">
        <f aca="false">IFERROR(INDEX(Catálogo!A$4:A$1000,MATCH($A$1&amp;"|"&amp;17,Índice!$A$4:$A$1000,0)),"")</f>
        <v>212</v>
      </c>
      <c r="B20" s="6" t="str">
        <f aca="false">IFERROR(INDEX(Catálogo!B$4:B$1000,MATCH($A$1&amp;"|"&amp;17,Índice!$A$4:$A$1000,0)),"")</f>
        <v>EBIP-7 — Escala Breve de Irritabilidade Pediátrica (Autorrelato)</v>
      </c>
      <c r="C20" s="6" t="str">
        <f aca="false">IFERROR(INDEX(Catálogo!C$4:C$1000,MATCH($A$1&amp;"|"&amp;17,Índice!$A$4:$A$1000,0)),"")</f>
        <v>Regulação Emocional &amp; Coping</v>
      </c>
      <c r="D20" s="6" t="str">
        <f aca="false">IFERROR(INDEX(Catálogo!D$4:D$1000,MATCH($A$1&amp;"|"&amp;17,Índice!$A$4:$A$1000,0)),"")</f>
        <v>Paciente, Jovem avaliado</v>
      </c>
      <c r="E20" s="6" t="str">
        <f aca="false">IFERROR(INDEX(Catálogo!E$4:E$1000,MATCH($A$1&amp;"|"&amp;17,Índice!$A$4:$A$1000,0)),"")</f>
        <v>11–17 anos</v>
      </c>
      <c r="F20" s="5" t="n">
        <f aca="false">IFERROR(INDEX(Catálogo!F$4:F$1000,MATCH($A$1&amp;"|"&amp;17,Índice!$A$4:$A$1000,0)),"")</f>
        <v>11</v>
      </c>
      <c r="G20" s="5" t="n">
        <f aca="false">IFERROR(INDEX(Catálogo!G$4:G$1000,MATCH($A$1&amp;"|"&amp;17,Índice!$A$4:$A$1000,0)),"")</f>
        <v>17</v>
      </c>
      <c r="H20" s="5" t="n">
        <f aca="false">IFERROR(INDEX(Catálogo!H$4:H$1000,MATCH($A$1&amp;"|"&amp;17,Índice!$A$4:$A$1000,0)),"")</f>
        <v>12</v>
      </c>
      <c r="I20" s="6" t="str">
        <f aca="false">IFERROR(INDEX(Catálogo!I$4:I$1000,MATCH($A$1&amp;"|"&amp;17,Índice!$A$4:$A$1000,0)),"")</f>
        <v>Avalia a IRRITABILIDADE pediátrica — limiar reduzido para a experiência de cólera em resposta à frustração — e a incapacidade funcional atribuída, distinguindo a componente TÓNICA (humor irritável persistente) da componente FÁSICA (vagas de cólera desencadeadas pela frustração). Instrumento original de construção própria em português europeu, por equivalência conceptual e psicométrica com o Affective Reactivity Index (ARI; Stringaris et al., 2012, J Child Psychol Psychiatry, 53(11), 1109–1117), cujos itens não são reproduzidos nem traduzidos: NÃO é tradução nem versão autorizada do ARI. Modelo bidimensional tónico/fásico: Brotman, Kircanski &amp; Leibenluft (2017). 7 itens, escala 0–2, 2 a 3 minutos; exclui conteúdo agressivo, antissocial e hiperativo, opção que sustenta a validade discriminante. Duas janelas: 6 MESES (avaliação inicial e caracterização diagnóstica) e 7 DIAS (monitorização de resposta à intervenção, leitura estritamente intraindividual — as faixas descritivas não se aplicam). Aplicar sempre as duas versões no mesmo momento sempre que a idade o permita: o índice de discrepância entre informantes é uma das saídas clinicamente mais informativas. Manter o mesmo informante ao longo de M1 a M4. ATENÇÃO: não existem normas portuguesas — as faixas derivam de parâmetros comunitários publicados do instrumento de referência e são de leitura exploratória, nunca normativa, pelo que se apresentam em paleta azul, sem codificação de gravidade. Medida dimensional e transdiagnóstica: um total elevado sinaliza um domínio a aprofundar e não identifica entidade nosológica; a atribuição diagnóstica (PDDH F34.81 / 6C90.0; POD F91.3 / 6C90; depressão com humor irritável F32.x–F33.x / 6A70–6A71) exige entrevista clínica estruturada. A escala mede o TRAÇO, não o episódio. Abaixo dos 11 anos a fiabilidade do autorrelato é insuficiente e esta versão não deve ser usada isoladamente.</v>
      </c>
      <c r="J20" s="6" t="str">
        <f aca="false">IFERROR(INDEX(Catálogo!J$4:J$1000,MATCH($A$1&amp;"|"&amp;17,Índice!$A$4:$A$1000,0)),"")</f>
        <v>Total bruto (0–12): soma dos itens 1 a 6; com 1 item omisso aplica-se prorrateio, com 2 ou mais o protocolo não é cotável (NC); Média total (0–2) e classificação em três níveis: 0 ausente / 1 ligeira a moderada / 2 moderada a grave; Incapacidade funcional (item 7, 0–2): cotada em separado e nunca somada ao total; Índice de Limiar (itens 1 + 6, 0–4): facilidade com que a reação de cólera é desencadeada — agrupamento qualitativo, não subescala validada; Índice de Frequência (itens 2 + 5, 0–4): repetição dos episódios de cólera — agrupamento qualitativo; Índice de Duração (itens 3 + 4, 0–4): persistência do estado irritável, componente tónica — agrupamento qualitativo; Componente predominante: predomínio tónico (articular com humor depressivo), predomínio fásico (articular com tolerância à frustração e controlo inibitório) ou ambas elevadas (maior gravidade); Faixa descritiva do total, por grelhas distintas consoante o informante — cuidador: baixo 0–2 / médio 3–6 / elevado 7–9 / muito elevado 10–12; autorrelato: baixo 0–2 / médio 3–5 / elevado 6–8 / muito elevado 9–12; Posição em desvios-padrão (z) face aos parâmetros comunitários de referência (cuidador M = 3,3 e DP = 3,4; autorrelato M = 3,0 e DP = 3,0); Matriz Sintoma x Incapacidade: cruzamento do total com o item 7, em que as células de incongruência são as clinicamente mais produtivas; Índice de discrepância entre informantes (cuidador menos jovem, −12 a +12): 0 a 2 concordância / 3 a 5 moderada / 6 ou mais marcada, exigindo formulação explícita no relatório; Monitorização serial pelo campo Momento da avaliação (M1 a M4)</v>
      </c>
      <c r="K20" s="6" t="str">
        <f aca="false">IFERROR(INDEX(Catálogo!K$4:K$1000,MATCH($A$1&amp;"|"&amp;17,Índice!$A$4:$A$1000,0)),"")</f>
        <v>ebip7_j</v>
      </c>
      <c r="L20" s="6" t="str">
        <f aca="false">IFERROR(INDEX(Catálogo!L$4:L$1000,MATCH($A$1&amp;"|"&amp;17,Índice!$A$4:$A$1000,0)),"")</f>
        <v>q_ebip7_j</v>
      </c>
      <c r="M20" s="7" t="str">
        <f aca="false">IFERROR(INDEX(Catálogo!M$4:M$1000,MATCH($A$1&amp;"|"&amp;17,Índice!$A$4:$A$1000,0)),"")</f>
        <v>https://correiaricardina-ui.github.io/questionarios/EBIP7_Jovem_v1.html</v>
      </c>
    </row>
    <row r="21" customFormat="false" ht="42" hidden="false" customHeight="true" outlineLevel="0" collapsed="false">
      <c r="A21" s="5" t="n">
        <f aca="false">IFERROR(INDEX(Catálogo!A$4:A$1000,MATCH($A$1&amp;"|"&amp;18,Índice!$A$4:$A$1000,0)),"")</f>
        <v>213</v>
      </c>
      <c r="B21" s="6" t="str">
        <f aca="false">IFERROR(INDEX(Catálogo!B$4:B$1000,MATCH($A$1&amp;"|"&amp;18,Índice!$A$4:$A$1000,0)),"")</f>
        <v>QAF-CA — Questionário de Ataques de Fúria (Forma P, heterorrelato)</v>
      </c>
      <c r="C21" s="6" t="str">
        <f aca="false">IFERROR(INDEX(Catálogo!C$4:C$1000,MATCH($A$1&amp;"|"&amp;18,Índice!$A$4:$A$1000,0)),"")</f>
        <v>Regulação Emocional &amp; Coping</v>
      </c>
      <c r="D21" s="6" t="str">
        <f aca="false">IFERROR(INDEX(Catálogo!D$4:D$1000,MATCH($A$1&amp;"|"&amp;18,Índice!$A$4:$A$1000,0)),"")</f>
        <v>Mãe, Pai, Enc. Educação, Professor</v>
      </c>
      <c r="E21" s="6" t="str">
        <f aca="false">IFERROR(INDEX(Catálogo!E$4:E$1000,MATCH($A$1&amp;"|"&amp;18,Índice!$A$4:$A$1000,0)),"")</f>
        <v>6–17 anos</v>
      </c>
      <c r="F21" s="5" t="n">
        <f aca="false">IFERROR(INDEX(Catálogo!F$4:F$1000,MATCH($A$1&amp;"|"&amp;18,Índice!$A$4:$A$1000,0)),"")</f>
        <v>6</v>
      </c>
      <c r="G21" s="5" t="n">
        <f aca="false">IFERROR(INDEX(Catálogo!G$4:G$1000,MATCH($A$1&amp;"|"&amp;18,Índice!$A$4:$A$1000,0)),"")</f>
        <v>17</v>
      </c>
      <c r="H21" s="5" t="n">
        <f aca="false">IFERROR(INDEX(Catálogo!H$4:H$1000,MATCH($A$1&amp;"|"&amp;18,Índice!$A$4:$A$1000,0)),"")</f>
        <v>14</v>
      </c>
      <c r="I21" s="6" t="str">
        <f aca="false">IFERROR(INDEX(Catálogo!I$4:I$1000,MATCH($A$1&amp;"|"&amp;18,Índice!$A$4:$A$1000,0)),"")</f>
        <v>Quantifica a gravidade dos ATAQUES DE FÚRIA (rage attacks) em idade pediátrica e a sua repercussão funcional e relacional, por relato do cuidador. Ataque de fúria: reação emocional súbita, breve, intensa e impulsiva, desencadeada por estímulos cuja magnitude não justifica a resposta e que o próprio não consegue controlar depois de iniciada; o elemento definidor é a natureza EGODISTÓNICA do episódio, com reconhecimento crítico posterior e sofrimento associado. Instrumento ORIGINAL de construção própria em português europeu (Via B), edificado por equivalência conceptual com o Rage Attacks Questionnaire (Budman et al., 1998, 2003) e com a métrica do RAQ-R (Müller-Vahl et al., 2020; validação em Palm et al., 2021), cujos itens são protegidos e NÃO são reproduzidos nem traduzidos: NÃO constitui versão portuguesa do RAQ nem do RAQ-R. 22 itens, escala 0–3 com dupla ancoragem de frequência e intensidade, total 0–66, janela dos ÚLTIMOS TRÊS MESES, 5 a 8 minutos, sem itens invertidos. Estrutura unifatorial quanto à pontuação, com quatro facetas DESCRITIVAS que orientam a leitura do perfil e não são subescalas autónomas. DUAS FORMAS PARALELAS: Forma P (heterorrelato, 6–17 anos) e Forma A (autorrelato, ≥11 anos) — aplicar primeiro a Forma A, para que o adolescente não seja influenciado pela perceção do cuidador; a Forma P admite segundo informante (outro cuidador ou diretor de turma), adaptando a leitura dos itens 17, 18 e 21 ao contexto escolar. ⚠ NÃO EXISTEM NORMAS: limiares EXPLORATÓRIOS, derivados da distribuição de referência do RAQ-R em ADULTOS alemães (controlos M = 10,09; DP = 9,33) cruzada com as médias das amostras clínicas — transposição assumida e não equivalência demonstrada; leitura em paleta AZUL, sem codificação de gravidade por cores. ⚠ SEM estudos psicométricos próprios. ⚠ NÃO estabelece diagnóstico: o ataque de fúria não é entidade nosológica e o resultado é indicador dimensional a integrar com anamnese, observação, informação escolar e restantes instrumentos (PEI 312.34 / 6C71 · PDDH 296.99 / 6C90.1 · POD 313.81 / 6C90 · PHDA 314.0x / 6A05 · Tourette 307.23 / 8A05.00). ⚠ A SINALIZAÇÃO dos itens 8, 9 e 10 é deliberadamente INDEPENDENTE da pontuação total: um jovem com poucos episódios mas com agressão física em cada um obtém total moderado e exige, ainda assim, apreciação de segurança imediata. Não é instrumento de avaliação de risco — a sua ativação obriga a apreciação clínica específica e a plano de segurança.</v>
      </c>
      <c r="J21" s="6" t="str">
        <f aca="false">IFERROR(INDEX(Catálogo!J$4:J$1000,MATCH($A$1&amp;"|"&amp;18,Índice!$A$4:$A$1000,0)),"")</f>
        <v>Pontuação total (0–66): soma dos 22 itens; com 1 a 3 omissões aplica-se prorrateio (média dos respondidos × 22, arredondada), com 4 ou mais o protocolo é INVÁLIDO e não é cotado | Níveis exploratórios do total: 0–9 ausente/mínimo · 10–19 ligeiro (até +1 DP) · 20–28 moderado (+1 a +2 DP; média das amostras clínicas mistas M = 21,75) · 29–40 elevado (acima da média em síndrome de Tourette, M = 25,00) · 41–66 muito elevado (acima da média em PHDA, M = 35,00) | D1 · Frequência, imprevisibilidade e limiar de desencadeamento (itens 1–5): carácter súbito, desproporção face ao estímulo, imprevisibilidade e densidade dos episódios | D2 · Intensidade e expressão comportamental (itens 6–11): gradiente de escalada — descarga verbal, conteúdo ofensivo, dano a objetos, agressão a pessoas, comportamento de risco e ativação fisiológica | D3 · Controlo, consciência e recuperação (itens 12–16): incapacidade de interromper, irredutibilidade à intervenção do adulto, duração, exaustão e consciência crítica posterior (item 16 cotado de forma DIRETA, porque a egodistonia é critério definidor) | D4 · Repercussão funcional e relacional (itens 17–22): tensão familiar, acomodação da rotina, impacto relacional e escolar, restrição de contextos e sofrimento do próprio | Média por item de cada faceta (0–3): único indicador de comparação entre facetas, dada a composição desigual (5/6/5/6); níveis proporcionalmente equivalentes aos do total — &lt;0,46 ausente/mínimo · 0,46–0,89 ligeiro · 0,90–1,29 moderado · 1,30–1,81 elevado · ≥1,82 muito elevado | Índice de gravidade global: total em percentagem do máximo; indicador auxiliar de leitura, não classificativo | Dispersão interfacetária (máximo menos mínimo das quatro médias por item): ≥0,75 perfil heterogéneo, expressão SELETIVA do fenómeno, caso em que a média total subestima a gravidade; &lt;0,75 perfil homogéneo, expressão generalizada | Sinalização clínica prioritária (itens 8 dano a objetos, 9 agressão a pessoas, 10 comportamento de risco): ATIVA quando pelo menos um é cotado ≥2, independentemente da pontuação total | Dissociações interfacetárias: D2 elevada com D3 baixa põe em causa o critério de egodistonia e obriga a diferencial com perturbação de oposição e desafio ou do comportamento; D3 elevada com D2 baixa traduz desregulação de expressão predominantemente interna, com ponderação de componente ansiosa ou sobrecarga sensorial; D4 elevada com total inferior a 29 indica repercussão desproporcionada e obriga a avaliar acomodação familiar e escolar como fator de manutenção | Índice de discrepância entre informantes (|diferença| de totais): 0–7 convergência · 8–15 divergência ligeira a moderada · ≥16 divergência marcada; heterorrelato superior sugere menor reconhecimento pelo próprio ou maior visibilidade no contexto familiar, e em adolescentes também minimização defensiva; autorrelato superior sinaliza sofrimento interno não percecionado pelo adulto | Caracterização NÃO COTADA dos episódios (Secção I): idade de início, número de episódios no último mês, duração média, desencadeantes, contextos, sinais de aviso, o que ajuda a terminar o episódio e descrição de um episódio típico recente | Monitorização serial pelo campo Momento da avaliação, mantendo o MESMO informante ao longo dos momentos</v>
      </c>
      <c r="K21" s="6" t="str">
        <f aca="false">IFERROR(INDEX(Catálogo!K$4:K$1000,MATCH($A$1&amp;"|"&amp;18,Índice!$A$4:$A$1000,0)),"")</f>
        <v>qafca_p</v>
      </c>
      <c r="L21" s="6" t="str">
        <f aca="false">IFERROR(INDEX(Catálogo!L$4:L$1000,MATCH($A$1&amp;"|"&amp;18,Índice!$A$4:$A$1000,0)),"")</f>
        <v>q_qafca_p</v>
      </c>
      <c r="M21" s="7" t="str">
        <f aca="false">IFERROR(INDEX(Catálogo!M$4:M$1000,MATCH($A$1&amp;"|"&amp;18,Índice!$A$4:$A$1000,0)),"")</f>
        <v>https://correiaricardina-ui.github.io/questionarios/QAFCA_P_v1.html</v>
      </c>
    </row>
    <row r="22" customFormat="false" ht="42" hidden="false" customHeight="true" outlineLevel="0" collapsed="false">
      <c r="A22" s="5" t="n">
        <f aca="false">IFERROR(INDEX(Catálogo!A$4:A$1000,MATCH($A$1&amp;"|"&amp;19,Índice!$A$4:$A$1000,0)),"")</f>
        <v>215</v>
      </c>
      <c r="B22" s="6" t="str">
        <f aca="false">IFERROR(INDEX(Catálogo!B$4:B$1000,MATCH($A$1&amp;"|"&amp;19,Índice!$A$4:$A$1000,0)),"")</f>
        <v>EAIR — Escala de Avaliação da Ira e da sua Regulação (Forma Infantil, autorrelato)</v>
      </c>
      <c r="C22" s="6" t="str">
        <f aca="false">IFERROR(INDEX(Catálogo!C$4:C$1000,MATCH($A$1&amp;"|"&amp;19,Índice!$A$4:$A$1000,0)),"")</f>
        <v>Regulação Emocional &amp; Coping</v>
      </c>
      <c r="D22" s="6" t="str">
        <f aca="false">IFERROR(INDEX(Catálogo!D$4:D$1000,MATCH($A$1&amp;"|"&amp;19,Índice!$A$4:$A$1000,0)),"")</f>
        <v>Criança/Jovem (paciente)</v>
      </c>
      <c r="E22" s="6" t="str">
        <f aca="false">IFERROR(INDEX(Catálogo!E$4:E$1000,MATCH($A$1&amp;"|"&amp;19,Índice!$A$4:$A$1000,0)),"")</f>
        <v>8–12 anos</v>
      </c>
      <c r="F22" s="5" t="n">
        <f aca="false">IFERROR(INDEX(Catálogo!F$4:F$1000,MATCH($A$1&amp;"|"&amp;19,Índice!$A$4:$A$1000,0)),"")</f>
        <v>8</v>
      </c>
      <c r="G22" s="5" t="n">
        <f aca="false">IFERROR(INDEX(Catálogo!G$4:G$1000,MATCH($A$1&amp;"|"&amp;19,Índice!$A$4:$A$1000,0)),"")</f>
        <v>12</v>
      </c>
      <c r="H22" s="5" t="n">
        <f aca="false">IFERROR(INDEX(Catálogo!H$4:H$1000,MATCH($A$1&amp;"|"&amp;19,Índice!$A$4:$A$1000,0)),"")</f>
        <v>12</v>
      </c>
      <c r="I22" s="6" t="str">
        <f aca="false">IFERROR(INDEX(Catálogo!I$4:I$1000,MATCH($A$1&amp;"|"&amp;19,Índice!$A$4:$A$1000,0)),"")</f>
        <v>Avalia a IRA enquanto construto MULTIDIMENSIONAL, distinguindo a experiência subjetiva das modalidades através das quais é expressa e regulada. Instrumento ORIGINAL de construção própria em português europeu (Via B), edificado por equivalência conceptual com a tradição de avaliação da ira — modelo estado-traço (Spielberger, 1988, 1999), modelo de Deffenbacher (1999, 2011), modelo processual de regulação emocional (Gross, 1998, 2015), perspetiva desenvolvimental da regulação (Jacobs, Phelps &amp; Rohrs, 1989; Zelazo &amp; Carlson, 2012) e distinção entre irritabilidade TÓNICA e FÁSICA (Leibenluft, 2017) —, cujos itens são protegidos e NÃO são reproduzidos nem traduzidos: NÃO constitui versão portuguesa do STAXI nem de qualquer instrumento comercial. 24 itens, escala de quatro pontos sem ponto médio (1 quase nunca · 2 às vezes · 3 muitas vezes · 4 quase sempre), 7 a 10 minutos. Quatro itens invertidos, um por dimensão, nas posições 5, 12, 14 e 19, recodificados como 5 menos o valor assinalado. QUATRO FORMAS ISOMÓRFICAS — Infantil (8–12), Juvenil (13–18), Adulto (18+) e Heteroavaliação — em que a mesma posição corresponde à mesma faceta, com redação calibrada por idade e por perspetiva, o que permite comparação longitudinal e entre informantes. Âncora temporal dupla: instrução de traço no rastreio e janela de DUAS SEMANAS na monitorização, partilhando itens e regras de cotação. ⚠ NÃO PRODUZ PONTUAÇÃO TOTAL, por decisão do instrumento: as dimensões não são somáveis entre si por terem VALÊNCIAS DISTINTAS — valor elevado na dimensão IV traduz recurso preservado, valor elevado em I, II ou III traduz maior expressão de ira. ⚠ NÃO EXISTEM NORMAS PORTUGUESAS nem estudos psicométricos publicados: o Índice Dimensional Padronizado (IDP) exprime a POSIÇÃO NA AMPLITUDE TEÓRICA e NÃO constitui percentil normativo; os limiares de 25, 50 e 75 ancoram-se na métrica de resposta e não em amostra normativa, pelo que a leitura vai em paleta AZUL, sem codificação de gravidade por cores, e o vermelho fica reservado aos dois sinalizadores binários (défice regulatório, IDP IV &lt; 25, e ICR ≥ 3). ⚠ NÃO ESTABELECE DIAGNÓSTICO: a ira e a irritabilidade são manifestações transdiagnósticas — a informação é pertinente, entre outros, na PDDH (296.99 / F34.81 · 6A72), na POD na dimensão de humor irritável e zangado (313.81 / F91.3 · 6C90) e na Perturbação Explosiva Intermitente (312.34 / F63.81 · 6C70), mas a identificação depende sempre da avaliação clínica integrada. Forma INFANTIL, autorrelato dos 8 aos 12 anos, de administração individual, com leitura em voz alta sempre que a competência leitora o justifique. ⚠ A faceta IV-3 (reavaliação cognitiva) tem validade de constructo limitada abaixo dos 10 anos: a redação foi comportamentalizada, mas a limitação mantém-se e deve ser ponderada na leitura da dimensão IV (anomalia A-04).</v>
      </c>
      <c r="J22" s="6" t="str">
        <f aca="false">IFERROR(INDEX(Catálogo!J$4:J$1000,MATCH($A$1&amp;"|"&amp;19,Índice!$A$4:$A$1000,0)),"")</f>
        <v>Dimensão I · Experiência e Reatividade da Ira (itens 1, 5*, 9, 13, 17, 21): frequência subjetiva, limiar e rapidez de ativação, intensidade máxima, irritabilidade difusa (tónica), reatividade a crítica ou correção e tolerância à frustração e à espera | Dimensão II · Expressão Externa (itens 2, 6, 10, 14*, 18, 22): elevação vocal, verbalização hostil, agressão a objetos, agressão a pessoas, descarga motora e contenção da manifestação externa — corresponde à irritabilidade fásica (explosões de ira) | Dimensão III · Expressão Interna e Contenção (itens 3, 7, 11, 15, 19*, 23): supressão da manifestação, ruminação, ressentimento mantido em segredo, retirada e isolamento, tensão corporal e somatização e resolução espontânea rápida | Dimensão IV · Regulação e Controlo (itens 4, 8, 12*, 16, 20, 24): modificação da situação, redireccionamento atencional, reavaliação cognitiva, modulação fisiológica, resolução de problema e diálogo e ausência percebida de recursos reguladores — VALÊNCIA INVERSA | Pontuação bruta por dimensão (6 a 24) e IDP = (bruto − 6) / 18 × 100, amplitude 0 a 100; faixas 0–24,9 baixo · 25–49,9 médio-baixo · 50–74,9 médio-alto · 75–100 elevado, e na dimensão IV recurso muito reduzido · limitado · adequado · consolidado | Omissões: uma por dimensão é imputada pela média dos itens respondidos (soma × 6 / n); duas ou mais tornam a dimensão NÃO COTÁVEL, com bruto e IDP a gravar o literal n.c. e nunca zero | Índice de Expressão da Ira (IEI) = bruto II + bruto III − bruto IV + 24, amplitude 12 a 66; só é interpretado quando o IDP da dimensão I é ≥ 50 (anomalia A-05) | Índice de Direccionalidade da Ira (IDI) = bruto II − bruto III, amplitude −18 a +18; ≥ 3 predomínio externalizante · ≤ −3 predomínio internalizante · entre ambos expressão equilibrada | Indicador de Coerência de Resposta (ICR), 0 a 4: dimensões em que o item invertido recodificado se afasta em 2 ou mais pontos da média dos cinco diretos; ≥ 3 exige cautela interpretativa | Sinalizador de défice regulatório: IDP da dimensão IV &lt; 25, alvo prioritário de intervenção | Configuração expressiva por precedência fixa: P3 expressão mista com sobrecarga · P1 expressão externalizante desregulada · P2 contenção hostil · P4 reatividade com regulação preservada · P5 sem configuração dominante · P0 perfil incompleto | Concordância entre informantes por dimensão (diferença absoluta de IDP): até 15 convergente · 16 a 30 divergência moderada · mais de 30 divergência acentuada</v>
      </c>
      <c r="K22" s="6" t="str">
        <f aca="false">IFERROR(INDEX(Catálogo!K$4:K$1000,MATCH($A$1&amp;"|"&amp;19,Índice!$A$4:$A$1000,0)),"")</f>
        <v>eair_i</v>
      </c>
      <c r="L22" s="6" t="str">
        <f aca="false">IFERROR(INDEX(Catálogo!L$4:L$1000,MATCH($A$1&amp;"|"&amp;19,Índice!$A$4:$A$1000,0)),"")</f>
        <v>q_eair_i</v>
      </c>
      <c r="M22" s="7" t="str">
        <f aca="false">IFERROR(INDEX(Catálogo!M$4:M$1000,MATCH($A$1&amp;"|"&amp;19,Índice!$A$4:$A$1000,0)),"")</f>
        <v>https://correiaricardina-ui.github.io/questionarios/EAIR_I_v1.html</v>
      </c>
    </row>
    <row r="23" customFormat="false" ht="42" hidden="false" customHeight="true" outlineLevel="0" collapsed="false">
      <c r="A23" s="5" t="n">
        <f aca="false">IFERROR(INDEX(Catálogo!A$4:A$1000,MATCH($A$1&amp;"|"&amp;20,Índice!$A$4:$A$1000,0)),"")</f>
        <v>216</v>
      </c>
      <c r="B23" s="6" t="str">
        <f aca="false">IFERROR(INDEX(Catálogo!B$4:B$1000,MATCH($A$1&amp;"|"&amp;20,Índice!$A$4:$A$1000,0)),"")</f>
        <v>EAIR — Escala de Avaliação da Ira e da sua Regulação (Forma Juvenil, autorrelato)</v>
      </c>
      <c r="C23" s="6" t="str">
        <f aca="false">IFERROR(INDEX(Catálogo!C$4:C$1000,MATCH($A$1&amp;"|"&amp;20,Índice!$A$4:$A$1000,0)),"")</f>
        <v>Regulação Emocional &amp; Coping</v>
      </c>
      <c r="D23" s="6" t="str">
        <f aca="false">IFERROR(INDEX(Catálogo!D$4:D$1000,MATCH($A$1&amp;"|"&amp;20,Índice!$A$4:$A$1000,0)),"")</f>
        <v>Criança/Jovem (paciente)</v>
      </c>
      <c r="E23" s="6" t="str">
        <f aca="false">IFERROR(INDEX(Catálogo!E$4:E$1000,MATCH($A$1&amp;"|"&amp;20,Índice!$A$4:$A$1000,0)),"")</f>
        <v>13–18 anos</v>
      </c>
      <c r="F23" s="5" t="n">
        <f aca="false">IFERROR(INDEX(Catálogo!F$4:F$1000,MATCH($A$1&amp;"|"&amp;20,Índice!$A$4:$A$1000,0)),"")</f>
        <v>13</v>
      </c>
      <c r="G23" s="5" t="n">
        <f aca="false">IFERROR(INDEX(Catálogo!G$4:G$1000,MATCH($A$1&amp;"|"&amp;20,Índice!$A$4:$A$1000,0)),"")</f>
        <v>18</v>
      </c>
      <c r="H23" s="5" t="n">
        <f aca="false">IFERROR(INDEX(Catálogo!H$4:H$1000,MATCH($A$1&amp;"|"&amp;20,Índice!$A$4:$A$1000,0)),"")</f>
        <v>12</v>
      </c>
      <c r="I23" s="6" t="str">
        <f aca="false">IFERROR(INDEX(Catálogo!I$4:I$1000,MATCH($A$1&amp;"|"&amp;20,Índice!$A$4:$A$1000,0)),"")</f>
        <v>Avalia a IRA enquanto construto MULTIDIMENSIONAL, distinguindo a experiência subjetiva das modalidades através das quais é expressa e regulada. Instrumento ORIGINAL de construção própria em português europeu (Via B), edificado por equivalência conceptual com a tradição de avaliação da ira — modelo estado-traço (Spielberger, 1988, 1999), modelo de Deffenbacher (1999, 2011), modelo processual de regulação emocional (Gross, 1998, 2015), perspetiva desenvolvimental da regulação (Jacobs, Phelps &amp; Rohrs, 1989; Zelazo &amp; Carlson, 2012) e distinção entre irritabilidade TÓNICA e FÁSICA (Leibenluft, 2017) —, cujos itens são protegidos e NÃO são reproduzidos nem traduzidos: NÃO constitui versão portuguesa do STAXI nem de qualquer instrumento comercial. 24 itens, escala de quatro pontos sem ponto médio (1 quase nunca · 2 às vezes · 3 muitas vezes · 4 quase sempre), 7 a 10 minutos. Quatro itens invertidos, um por dimensão, nas posições 5, 12, 14 e 19, recodificados como 5 menos o valor assinalado. QUATRO FORMAS ISOMÓRFICAS — Infantil (8–12), Juvenil (13–18), Adulto (18+) e Heteroavaliação — em que a mesma posição corresponde à mesma faceta, com redação calibrada por idade e por perspetiva, o que permite comparação longitudinal e entre informantes. Âncora temporal dupla: instrução de traço no rastreio e janela de DUAS SEMANAS na monitorização, partilhando itens e regras de cotação. ⚠ NÃO PRODUZ PONTUAÇÃO TOTAL, por decisão do instrumento: as dimensões não são somáveis entre si por terem VALÊNCIAS DISTINTAS — valor elevado na dimensão IV traduz recurso preservado, valor elevado em I, II ou III traduz maior expressão de ira. ⚠ NÃO EXISTEM NORMAS PORTUGUESAS nem estudos psicométricos publicados: o Índice Dimensional Padronizado (IDP) exprime a POSIÇÃO NA AMPLITUDE TEÓRICA e NÃO constitui percentil normativo; os limiares de 25, 50 e 75 ancoram-se na métrica de resposta e não em amostra normativa, pelo que a leitura vai em paleta AZUL, sem codificação de gravidade por cores, e o vermelho fica reservado aos dois sinalizadores binários (défice regulatório, IDP IV &lt; 25, e ICR ≥ 3). ⚠ NÃO ESTABELECE DIAGNÓSTICO: a ira e a irritabilidade são manifestações transdiagnósticas — a informação é pertinente, entre outros, na PDDH (296.99 / F34.81 · 6A72), na POD na dimensão de humor irritável e zangado (313.81 / F91.3 · 6C90) e na Perturbação Explosiva Intermitente (312.34 / F63.81 · 6C70), mas a identificação depende sempre da avaliação clínica integrada. Forma JUVENIL, autorrelato dos 13 aos 18 anos, de administração individual ou coletiva. É a forma em que a distinção entre SUPRESSÃO (dimensão III, evitamento experiencial associado a pior prognóstico) e REGULAÇÃO (dimensão IV, ação orientada por valores) tem maior rendimento clínico.</v>
      </c>
      <c r="J23" s="6" t="str">
        <f aca="false">IFERROR(INDEX(Catálogo!J$4:J$1000,MATCH($A$1&amp;"|"&amp;20,Índice!$A$4:$A$1000,0)),"")</f>
        <v>Dimensão I · Experiência e Reatividade da Ira (itens 1, 5*, 9, 13, 17, 21): frequência subjetiva, limiar e rapidez de ativação, intensidade máxima, irritabilidade difusa (tónica), reatividade a crítica ou correção e tolerância à frustração e à espera | Dimensão II · Expressão Externa (itens 2, 6, 10, 14*, 18, 22): elevação vocal, verbalização hostil, agressão a objetos, agressão a pessoas, descarga motora e contenção da manifestação externa — corresponde à irritabilidade fásica (explosões de ira) | Dimensão III · Expressão Interna e Contenção (itens 3, 7, 11, 15, 19*, 23): supressão da manifestação, ruminação, ressentimento mantido em segredo, retirada e isolamento, tensão corporal e somatização e resolução espontânea rápida | Dimensão IV · Regulação e Controlo (itens 4, 8, 12*, 16, 20, 24): modificação da situação, redireccionamento atencional, reavaliação cognitiva, modulação fisiológica, resolução de problema e diálogo e ausência percebida de recursos reguladores — VALÊNCIA INVERSA | Pontuação bruta por dimensão (6 a 24) e IDP = (bruto − 6) / 18 × 100, amplitude 0 a 100; faixas 0–24,9 baixo · 25–49,9 médio-baixo · 50–74,9 médio-alto · 75–100 elevado, e na dimensão IV recurso muito reduzido · limitado · adequado · consolidado | Omissões: uma por dimensão é imputada pela média dos itens respondidos (soma × 6 / n); duas ou mais tornam a dimensão NÃO COTÁVEL, com bruto e IDP a gravar o literal n.c. e nunca zero | Índice de Expressão da Ira (IEI) = bruto II + bruto III − bruto IV + 24, amplitude 12 a 66; só é interpretado quando o IDP da dimensão I é ≥ 50 (anomalia A-05) | Índice de Direccionalidade da Ira (IDI) = bruto II − bruto III, amplitude −18 a +18; ≥ 3 predomínio externalizante · ≤ −3 predomínio internalizante · entre ambos expressão equilibrada | Indicador de Coerência de Resposta (ICR), 0 a 4: dimensões em que o item invertido recodificado se afasta em 2 ou mais pontos da média dos cinco diretos; ≥ 3 exige cautela interpretativa | Sinalizador de défice regulatório: IDP da dimensão IV &lt; 25, alvo prioritário de intervenção | Configuração expressiva por precedência fixa: P3 expressão mista com sobrecarga · P1 expressão externalizante desregulada · P2 contenção hostil · P4 reatividade com regulação preservada · P5 sem configuração dominante · P0 perfil incompleto | Concordância entre informantes por dimensão (diferença absoluta de IDP): até 15 convergente · 16 a 30 divergência moderada · mais de 30 divergência acentuada</v>
      </c>
      <c r="K23" s="6" t="str">
        <f aca="false">IFERROR(INDEX(Catálogo!K$4:K$1000,MATCH($A$1&amp;"|"&amp;20,Índice!$A$4:$A$1000,0)),"")</f>
        <v>eair_ja</v>
      </c>
      <c r="L23" s="6" t="str">
        <f aca="false">IFERROR(INDEX(Catálogo!L$4:L$1000,MATCH($A$1&amp;"|"&amp;20,Índice!$A$4:$A$1000,0)),"")</f>
        <v>q_eair_ja</v>
      </c>
      <c r="M23" s="7" t="str">
        <f aca="false">IFERROR(INDEX(Catálogo!M$4:M$1000,MATCH($A$1&amp;"|"&amp;20,Índice!$A$4:$A$1000,0)),"")</f>
        <v>https://correiaricardina-ui.github.io/questionarios/EAIR_JA_v1.html</v>
      </c>
    </row>
    <row r="24" customFormat="false" ht="42" hidden="false" customHeight="true" outlineLevel="0" collapsed="false">
      <c r="A24" s="5" t="n">
        <f aca="false">IFERROR(INDEX(Catálogo!A$4:A$1000,MATCH($A$1&amp;"|"&amp;21,Índice!$A$4:$A$1000,0)),"")</f>
        <v>217</v>
      </c>
      <c r="B24" s="6" t="str">
        <f aca="false">IFERROR(INDEX(Catálogo!B$4:B$1000,MATCH($A$1&amp;"|"&amp;21,Índice!$A$4:$A$1000,0)),"")</f>
        <v>EAIR — Escala de Avaliação da Ira e da sua Regulação (Forma Adulto, autorrelato)</v>
      </c>
      <c r="C24" s="6" t="str">
        <f aca="false">IFERROR(INDEX(Catálogo!C$4:C$1000,MATCH($A$1&amp;"|"&amp;21,Índice!$A$4:$A$1000,0)),"")</f>
        <v>Regulação Emocional &amp; Coping</v>
      </c>
      <c r="D24" s="6" t="str">
        <f aca="false">IFERROR(INDEX(Catálogo!D$4:D$1000,MATCH($A$1&amp;"|"&amp;21,Índice!$A$4:$A$1000,0)),"")</f>
        <v>Paciente</v>
      </c>
      <c r="E24" s="6" t="str">
        <f aca="false">IFERROR(INDEX(Catálogo!E$4:E$1000,MATCH($A$1&amp;"|"&amp;21,Índice!$A$4:$A$1000,0)),"")</f>
        <v>18 ou mais anos</v>
      </c>
      <c r="F24" s="5" t="n">
        <f aca="false">IFERROR(INDEX(Catálogo!F$4:F$1000,MATCH($A$1&amp;"|"&amp;21,Índice!$A$4:$A$1000,0)),"")</f>
        <v>18</v>
      </c>
      <c r="G24" s="5" t="n">
        <f aca="false">IFERROR(INDEX(Catálogo!G$4:G$1000,MATCH($A$1&amp;"|"&amp;21,Índice!$A$4:$A$1000,0)),"")</f>
        <v>99</v>
      </c>
      <c r="H24" s="5" t="n">
        <f aca="false">IFERROR(INDEX(Catálogo!H$4:H$1000,MATCH($A$1&amp;"|"&amp;21,Índice!$A$4:$A$1000,0)),"")</f>
        <v>12</v>
      </c>
      <c r="I24" s="6" t="str">
        <f aca="false">IFERROR(INDEX(Catálogo!I$4:I$1000,MATCH($A$1&amp;"|"&amp;21,Índice!$A$4:$A$1000,0)),"")</f>
        <v>Avalia a IRA enquanto construto MULTIDIMENSIONAL, distinguindo a experiência subjetiva das modalidades através das quais é expressa e regulada. Instrumento ORIGINAL de construção própria em português europeu (Via B), edificado por equivalência conceptual com a tradição de avaliação da ira — modelo estado-traço (Spielberger, 1988, 1999), modelo de Deffenbacher (1999, 2011), modelo processual de regulação emocional (Gross, 1998, 2015), perspetiva desenvolvimental da regulação (Jacobs, Phelps &amp; Rohrs, 1989; Zelazo &amp; Carlson, 2012) e distinção entre irritabilidade TÓNICA e FÁSICA (Leibenluft, 2017) —, cujos itens são protegidos e NÃO são reproduzidos nem traduzidos: NÃO constitui versão portuguesa do STAXI nem de qualquer instrumento comercial. 24 itens, escala de quatro pontos sem ponto médio (1 quase nunca · 2 às vezes · 3 muitas vezes · 4 quase sempre), 7 a 10 minutos. Quatro itens invertidos, um por dimensão, nas posições 5, 12, 14 e 19, recodificados como 5 menos o valor assinalado. QUATRO FORMAS ISOMÓRFICAS — Infantil (8–12), Juvenil (13–18), Adulto (18+) e Heteroavaliação — em que a mesma posição corresponde à mesma faceta, com redação calibrada por idade e por perspetiva, o que permite comparação longitudinal e entre informantes. Âncora temporal dupla: instrução de traço no rastreio e janela de DUAS SEMANAS na monitorização, partilhando itens e regras de cotação. ⚠ NÃO PRODUZ PONTUAÇÃO TOTAL, por decisão do instrumento: as dimensões não são somáveis entre si por terem VALÊNCIAS DISTINTAS — valor elevado na dimensão IV traduz recurso preservado, valor elevado em I, II ou III traduz maior expressão de ira. ⚠ NÃO EXISTEM NORMAS PORTUGUESAS nem estudos psicométricos publicados: o Índice Dimensional Padronizado (IDP) exprime a POSIÇÃO NA AMPLITUDE TEÓRICA e NÃO constitui percentil normativo; os limiares de 25, 50 e 75 ancoram-se na métrica de resposta e não em amostra normativa, pelo que a leitura vai em paleta AZUL, sem codificação de gravidade por cores, e o vermelho fica reservado aos dois sinalizadores binários (défice regulatório, IDP IV &lt; 25, e ICR ≥ 3). ⚠ NÃO ESTABELECE DIAGNÓSTICO: a ira e a irritabilidade são manifestações transdiagnósticas — a informação é pertinente, entre outros, na PDDH (296.99 / F34.81 · 6A72), na POD na dimensão de humor irritável e zangado (313.81 / F91.3 · 6C90) e na Perturbação Explosiva Intermitente (312.34 / F63.81 · 6C70), mas a identificação depende sempre da avaliação clínica integrada. Forma ADULTO, autorrelato a partir dos 18 anos, de administração individual ou coletiva. Útil também na avaliação de cuidadores e na articulação parental.</v>
      </c>
      <c r="J24" s="6" t="str">
        <f aca="false">IFERROR(INDEX(Catálogo!J$4:J$1000,MATCH($A$1&amp;"|"&amp;21,Índice!$A$4:$A$1000,0)),"")</f>
        <v>Dimensão I · Experiência e Reatividade da Ira (itens 1, 5*, 9, 13, 17, 21): frequência subjetiva, limiar e rapidez de ativação, intensidade máxima, irritabilidade difusa (tónica), reatividade a crítica ou correção e tolerância à frustração e à espera | Dimensão II · Expressão Externa (itens 2, 6, 10, 14*, 18, 22): elevação vocal, verbalização hostil, agressão a objetos, agressão a pessoas, descarga motora e contenção da manifestação externa — corresponde à irritabilidade fásica (explosões de ira) | Dimensão III · Expressão Interna e Contenção (itens 3, 7, 11, 15, 19*, 23): supressão da manifestação, ruminação, ressentimento mantido em segredo, retirada e isolamento, tensão corporal e somatização e resolução espontânea rápida | Dimensão IV · Regulação e Controlo (itens 4, 8, 12*, 16, 20, 24): modificação da situação, redireccionamento atencional, reavaliação cognitiva, modulação fisiológica, resolução de problema e diálogo e ausência percebida de recursos reguladores — VALÊNCIA INVERSA | Pontuação bruta por dimensão (6 a 24) e IDP = (bruto − 6) / 18 × 100, amplitude 0 a 100; faixas 0–24,9 baixo · 25–49,9 médio-baixo · 50–74,9 médio-alto · 75–100 elevado, e na dimensão IV recurso muito reduzido · limitado · adequado · consolidado | Omissões: uma por dimensão é imputada pela média dos itens respondidos (soma × 6 / n); duas ou mais tornam a dimensão NÃO COTÁVEL, com bruto e IDP a gravar o literal n.c. e nunca zero | Índice de Expressão da Ira (IEI) = bruto II + bruto III − bruto IV + 24, amplitude 12 a 66; só é interpretado quando o IDP da dimensão I é ≥ 50 (anomalia A-05) | Índice de Direccionalidade da Ira (IDI) = bruto II − bruto III, amplitude −18 a +18; ≥ 3 predomínio externalizante · ≤ −3 predomínio internalizante · entre ambos expressão equilibrada | Indicador de Coerência de Resposta (ICR), 0 a 4: dimensões em que o item invertido recodificado se afasta em 2 ou mais pontos da média dos cinco diretos; ≥ 3 exige cautela interpretativa | Sinalizador de défice regulatório: IDP da dimensão IV &lt; 25, alvo prioritário de intervenção | Configuração expressiva por precedência fixa: P3 expressão mista com sobrecarga · P1 expressão externalizante desregulada · P2 contenção hostil · P4 reatividade com regulação preservada · P5 sem configuração dominante · P0 perfil incompleto | Concordância entre informantes por dimensão (diferença absoluta de IDP): até 15 convergente · 16 a 30 divergência moderada · mais de 30 divergência acentuada</v>
      </c>
      <c r="K24" s="6" t="str">
        <f aca="false">IFERROR(INDEX(Catálogo!K$4:K$1000,MATCH($A$1&amp;"|"&amp;21,Índice!$A$4:$A$1000,0)),"")</f>
        <v>eair_a</v>
      </c>
      <c r="L24" s="6" t="str">
        <f aca="false">IFERROR(INDEX(Catálogo!L$4:L$1000,MATCH($A$1&amp;"|"&amp;21,Índice!$A$4:$A$1000,0)),"")</f>
        <v>q_eair_a</v>
      </c>
      <c r="M24" s="7" t="str">
        <f aca="false">IFERROR(INDEX(Catálogo!M$4:M$1000,MATCH($A$1&amp;"|"&amp;21,Índice!$A$4:$A$1000,0)),"")</f>
        <v>https://correiaricardina-ui.github.io/questionarios/EAIR_A_v1.html</v>
      </c>
    </row>
    <row r="25" customFormat="false" ht="42" hidden="false" customHeight="true" outlineLevel="0" collapsed="false">
      <c r="A25" s="5" t="n">
        <f aca="false">IFERROR(INDEX(Catálogo!A$4:A$1000,MATCH($A$1&amp;"|"&amp;22,Índice!$A$4:$A$1000,0)),"")</f>
        <v>218</v>
      </c>
      <c r="B25" s="6" t="str">
        <f aca="false">IFERROR(INDEX(Catálogo!B$4:B$1000,MATCH($A$1&amp;"|"&amp;22,Índice!$A$4:$A$1000,0)),"")</f>
        <v>EAIR — Escala de Avaliação da Ira e da sua Regulação (Forma de Heteroavaliação)</v>
      </c>
      <c r="C25" s="6" t="str">
        <f aca="false">IFERROR(INDEX(Catálogo!C$4:C$1000,MATCH($A$1&amp;"|"&amp;22,Índice!$A$4:$A$1000,0)),"")</f>
        <v>Regulação Emocional &amp; Coping</v>
      </c>
      <c r="D25" s="6" t="str">
        <f aca="false">IFERROR(INDEX(Catálogo!D$4:D$1000,MATCH($A$1&amp;"|"&amp;22,Índice!$A$4:$A$1000,0)),"")</f>
        <v>Mãe, Pai, Enc. Educação, Professor</v>
      </c>
      <c r="E25" s="6" t="str">
        <f aca="false">IFERROR(INDEX(Catálogo!E$4:E$1000,MATCH($A$1&amp;"|"&amp;22,Índice!$A$4:$A$1000,0)),"")</f>
        <v>8–18 anos</v>
      </c>
      <c r="F25" s="5" t="n">
        <f aca="false">IFERROR(INDEX(Catálogo!F$4:F$1000,MATCH($A$1&amp;"|"&amp;22,Índice!$A$4:$A$1000,0)),"")</f>
        <v>8</v>
      </c>
      <c r="G25" s="5" t="n">
        <f aca="false">IFERROR(INDEX(Catálogo!G$4:G$1000,MATCH($A$1&amp;"|"&amp;22,Índice!$A$4:$A$1000,0)),"")</f>
        <v>18</v>
      </c>
      <c r="H25" s="5" t="n">
        <f aca="false">IFERROR(INDEX(Catálogo!H$4:H$1000,MATCH($A$1&amp;"|"&amp;22,Índice!$A$4:$A$1000,0)),"")</f>
        <v>12</v>
      </c>
      <c r="I25" s="6" t="str">
        <f aca="false">IFERROR(INDEX(Catálogo!I$4:I$1000,MATCH($A$1&amp;"|"&amp;22,Índice!$A$4:$A$1000,0)),"")</f>
        <v>Avalia a IRA enquanto construto MULTIDIMENSIONAL, distinguindo a experiência subjetiva das modalidades através das quais é expressa e regulada. Instrumento ORIGINAL de construção própria em português europeu (Via B), edificado por equivalência conceptual com a tradição de avaliação da ira — modelo estado-traço (Spielberger, 1988, 1999), modelo de Deffenbacher (1999, 2011), modelo processual de regulação emocional (Gross, 1998, 2015), perspetiva desenvolvimental da regulação (Jacobs, Phelps &amp; Rohrs, 1989; Zelazo &amp; Carlson, 2012) e distinção entre irritabilidade TÓNICA e FÁSICA (Leibenluft, 2017) —, cujos itens são protegidos e NÃO são reproduzidos nem traduzidos: NÃO constitui versão portuguesa do STAXI nem de qualquer instrumento comercial. 24 itens, escala de quatro pontos sem ponto médio (1 quase nunca · 2 às vezes · 3 muitas vezes · 4 quase sempre), 7 a 10 minutos. Quatro itens invertidos, um por dimensão, nas posições 5, 12, 14 e 19, recodificados como 5 menos o valor assinalado. QUATRO FORMAS ISOMÓRFICAS — Infantil (8–12), Juvenil (13–18), Adulto (18+) e Heteroavaliação — em que a mesma posição corresponde à mesma faceta, com redação calibrada por idade e por perspetiva, o que permite comparação longitudinal e entre informantes. Âncora temporal dupla: instrução de traço no rastreio e janela de DUAS SEMANAS na monitorização, partilhando itens e regras de cotação. ⚠ NÃO PRODUZ PONTUAÇÃO TOTAL, por decisão do instrumento: as dimensões não são somáveis entre si por terem VALÊNCIAS DISTINTAS — valor elevado na dimensão IV traduz recurso preservado, valor elevado em I, II ou III traduz maior expressão de ira. ⚠ NÃO EXISTEM NORMAS PORTUGUESAS nem estudos psicométricos publicados: o Índice Dimensional Padronizado (IDP) exprime a POSIÇÃO NA AMPLITUDE TEÓRICA e NÃO constitui percentil normativo; os limiares de 25, 50 e 75 ancoram-se na métrica de resposta e não em amostra normativa, pelo que a leitura vai em paleta AZUL, sem codificação de gravidade por cores, e o vermelho fica reservado aos dois sinalizadores binários (défice regulatório, IDP IV &lt; 25, e ICR ≥ 3). ⚠ NÃO ESTABELECE DIAGNÓSTICO: a ira e a irritabilidade são manifestações transdiagnósticas — a informação é pertinente, entre outros, na PDDH (296.99 / F34.81 · 6A72), na POD na dimensão de humor irritável e zangado (313.81 / F91.3 · 6C90) e na Perturbação Explosiva Intermitente (312.34 / F63.81 · 6C70), mas a identificação depende sempre da avaliação clínica integrada. Forma de HETEROAVALIAÇÃO, para encarregado de educação ou professor, com registo de informante, de contexto de observação e de período observado. Única forma que admite omissão deliberada («Sem informação»). ⚠ A dimensão III é intrinsecamente pouco observável por terceiros: as facetas III-1 a III-5 foram ancoradas em indicadores comportamentais indiretos e a fidelidade desta dimensão em heterorrelato é reduzida — uma divergência acentuada é ESPERADA e não deve, por si só, ser lida como distorção de resposta do avaliado (anomalia A-03).</v>
      </c>
      <c r="J25" s="6" t="str">
        <f aca="false">IFERROR(INDEX(Catálogo!J$4:J$1000,MATCH($A$1&amp;"|"&amp;22,Índice!$A$4:$A$1000,0)),"")</f>
        <v>Dimensão I · Experiência e Reatividade da Ira (itens 1, 5*, 9, 13, 17, 21): frequência subjetiva, limiar e rapidez de ativação, intensidade máxima, irritabilidade difusa (tónica), reatividade a crítica ou correção e tolerância à frustração e à espera | Dimensão II · Expressão Externa (itens 2, 6, 10, 14*, 18, 22): elevação vocal, verbalização hostil, agressão a objetos, agressão a pessoas, descarga motora e contenção da manifestação externa — corresponde à irritabilidade fásica (explosões de ira) | Dimensão III · Expressão Interna e Contenção (itens 3, 7, 11, 15, 19*, 23): supressão da manifestação, ruminação, ressentimento mantido em segredo, retirada e isolamento, tensão corporal e somatização e resolução espontânea rápida | Dimensão IV · Regulação e Controlo (itens 4, 8, 12*, 16, 20, 24): modificação da situação, redireccionamento atencional, reavaliação cognitiva, modulação fisiológica, resolução de problema e diálogo e ausência percebida de recursos reguladores — VALÊNCIA INVERSA | Pontuação bruta por dimensão (6 a 24) e IDP = (bruto − 6) / 18 × 100, amplitude 0 a 100; faixas 0–24,9 baixo · 25–49,9 médio-baixo · 50–74,9 médio-alto · 75–100 elevado, e na dimensão IV recurso muito reduzido · limitado · adequado · consolidado | Omissões: uma por dimensão é imputada pela média dos itens respondidos (soma × 6 / n); duas ou mais tornam a dimensão NÃO COTÁVEL, com bruto e IDP a gravar o literal n.c. e nunca zero | Índice de Expressão da Ira (IEI) = bruto II + bruto III − bruto IV + 24, amplitude 12 a 66; só é interpretado quando o IDP da dimensão I é ≥ 50 (anomalia A-05) | Índice de Direccionalidade da Ira (IDI) = bruto II − bruto III, amplitude −18 a +18; ≥ 3 predomínio externalizante · ≤ −3 predomínio internalizante · entre ambos expressão equilibrada | Indicador de Coerência de Resposta (ICR), 0 a 4: dimensões em que o item invertido recodificado se afasta em 2 ou mais pontos da média dos cinco diretos; ≥ 3 exige cautela interpretativa | Sinalizador de défice regulatório: IDP da dimensão IV &lt; 25, alvo prioritário de intervenção | Configuração expressiva por precedência fixa: P3 expressão mista com sobrecarga · P1 expressão externalizante desregulada · P2 contenção hostil · P4 reatividade com regulação preservada · P5 sem configuração dominante · P0 perfil incompleto | Concordância entre informantes por dimensão (diferença absoluta de IDP): até 15 convergente · 16 a 30 divergência moderada · mais de 30 divergência acentuada</v>
      </c>
      <c r="K25" s="6" t="str">
        <f aca="false">IFERROR(INDEX(Catálogo!K$4:K$1000,MATCH($A$1&amp;"|"&amp;22,Índice!$A$4:$A$1000,0)),"")</f>
        <v>eair_h</v>
      </c>
      <c r="L25" s="6" t="str">
        <f aca="false">IFERROR(INDEX(Catálogo!L$4:L$1000,MATCH($A$1&amp;"|"&amp;22,Índice!$A$4:$A$1000,0)),"")</f>
        <v>q_eair_h</v>
      </c>
      <c r="M25" s="7" t="str">
        <f aca="false">IFERROR(INDEX(Catálogo!M$4:M$1000,MATCH($A$1&amp;"|"&amp;22,Índice!$A$4:$A$1000,0)),"")</f>
        <v>https://correiaricardina-ui.github.io/questionarios/EAIR_H_v1.html</v>
      </c>
    </row>
  </sheetData>
  <autoFilter ref="A3:M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122</v>
      </c>
      <c r="I1" s="17" t="str">
        <f aca="false">COUNTIF(Catálogo!$C$4:$C$1000,$A$1)&amp;IF(COUNTIF(Catálogo!$C$4:$C$1000,$A$1)=1," instrumento nesta área"," instrumentos nesta área")</f>
        <v>10 instrumentos nesta área</v>
      </c>
    </row>
    <row r="2" customFormat="false" ht="15" hidden="false" customHeight="true" outlineLevel="0" collapsed="false">
      <c r="A2" s="18" t="s">
        <v>1488</v>
      </c>
      <c r="I2" s="19" t="str">
        <f aca="false">IF(COUNTIF(Catálogo!$C$4:$C$1000,$A$1)&gt;18,"⚠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16</v>
      </c>
      <c r="B4" s="6" t="str">
        <f aca="false">IFERROR(INDEX(Catálogo!B$4:B$1000,MATCH($A$1&amp;"|"&amp;1,Índice!$A$4:$A$1000,0)),"")</f>
        <v>BESAA — Escala de Estima Corporal</v>
      </c>
      <c r="C4" s="6" t="str">
        <f aca="false">IFERROR(INDEX(Catálogo!C$4:C$1000,MATCH($A$1&amp;"|"&amp;1,Índice!$A$4:$A$1000,0)),"")</f>
        <v>Alimentação &amp; Imagem Corporal</v>
      </c>
      <c r="D4" s="6" t="str">
        <f aca="false">IFERROR(INDEX(Catálogo!D$4:D$1000,MATCH($A$1&amp;"|"&amp;1,Índice!$A$4:$A$1000,0)),"")</f>
        <v>Paciente, Adolescente, Jovem avaliado</v>
      </c>
      <c r="E4" s="6" t="str">
        <f aca="false">IFERROR(INDEX(Catálogo!E$4:E$1000,MATCH($A$1&amp;"|"&amp;1,Índice!$A$4:$A$1000,0)),"")</f>
        <v>12+ anos</v>
      </c>
      <c r="F4" s="5" t="n">
        <f aca="false">IFERROR(INDEX(Catálogo!F$4:F$1000,MATCH($A$1&amp;"|"&amp;1,Índice!$A$4:$A$1000,0)),"")</f>
        <v>12</v>
      </c>
      <c r="G4" s="5" t="n">
        <f aca="false">IFERROR(INDEX(Catálogo!G$4:G$1000,MATCH($A$1&amp;"|"&amp;1,Índice!$A$4:$A$1000,0)),"")</f>
        <v>99</v>
      </c>
      <c r="H4" s="5" t="n">
        <f aca="false">IFERROR(INDEX(Catálogo!H$4:H$1000,MATCH($A$1&amp;"|"&amp;1,Índice!$A$4:$A$1000,0)),"")</f>
        <v>3</v>
      </c>
      <c r="I4" s="6" t="str">
        <f aca="false">IFERROR(INDEX(Catálogo!I$4:I$1000,MATCH($A$1&amp;"|"&amp;1,Índice!$A$4:$A$1000,0)),"")</f>
        <v>Avalia a auto-estima corporal em três dimensões: aparência geral, satisfação com o peso e avaliações atribuídas por outros (Mendelson et al., 2001)</v>
      </c>
      <c r="J4" s="6" t="str">
        <f aca="false">IFERROR(INDEX(Catálogo!J$4:J$1000,MATCH($A$1&amp;"|"&amp;1,Índice!$A$4:$A$1000,0)),"")</f>
        <v>BE-Aparência; BE-Peso; BE-Atribuição</v>
      </c>
      <c r="K4" s="6" t="str">
        <f aca="false">IFERROR(INDEX(Catálogo!K$4:K$1000,MATCH($A$1&amp;"|"&amp;1,Índice!$A$4:$A$1000,0)),"")</f>
        <v>besaa</v>
      </c>
      <c r="L4" s="6" t="str">
        <f aca="false">IFERROR(INDEX(Catálogo!L$4:L$1000,MATCH($A$1&amp;"|"&amp;1,Índice!$A$4:$A$1000,0)),"")</f>
        <v>q_besaa</v>
      </c>
      <c r="M4" s="7" t="str">
        <f aca="false">IFERROR(INDEX(Catálogo!M$4:M$1000,MATCH($A$1&amp;"|"&amp;1,Índice!$A$4:$A$1000,0)),"")</f>
        <v>https://correiaricardina-ui.github.io/questionarios/BESAA_v1.html</v>
      </c>
    </row>
    <row r="5" customFormat="false" ht="42" hidden="false" customHeight="true" outlineLevel="0" collapsed="false">
      <c r="A5" s="5" t="n">
        <f aca="false">IFERROR(INDEX(Catálogo!A$4:A$1000,MATCH($A$1&amp;"|"&amp;2,Índice!$A$4:$A$1000,0)),"")</f>
        <v>33</v>
      </c>
      <c r="B5" s="6" t="str">
        <f aca="false">IFERROR(INDEX(Catálogo!B$4:B$1000,MATCH($A$1&amp;"|"&amp;2,Índice!$A$4:$A$1000,0)),"")</f>
        <v>ChEAT — Atitudes Alimentares (Crianças)</v>
      </c>
      <c r="C5" s="6" t="str">
        <f aca="false">IFERROR(INDEX(Catálogo!C$4:C$1000,MATCH($A$1&amp;"|"&amp;2,Índice!$A$4:$A$1000,0)),"")</f>
        <v>Alimentação &amp; Imagem Corporal</v>
      </c>
      <c r="D5" s="6" t="str">
        <f aca="false">IFERROR(INDEX(Catálogo!D$4:D$1000,MATCH($A$1&amp;"|"&amp;2,Índice!$A$4:$A$1000,0)),"")</f>
        <v>Paciente</v>
      </c>
      <c r="E5" s="6" t="str">
        <f aca="false">IFERROR(INDEX(Catálogo!E$4:E$1000,MATCH($A$1&amp;"|"&amp;2,Índice!$A$4:$A$1000,0)),"")</f>
        <v>8–13 anos</v>
      </c>
      <c r="F5" s="5" t="n">
        <f aca="false">IFERROR(INDEX(Catálogo!F$4:F$1000,MATCH($A$1&amp;"|"&amp;2,Índice!$A$4:$A$1000,0)),"")</f>
        <v>8</v>
      </c>
      <c r="G5" s="5" t="n">
        <f aca="false">IFERROR(INDEX(Catálogo!G$4:G$1000,MATCH($A$1&amp;"|"&amp;2,Índice!$A$4:$A$1000,0)),"")</f>
        <v>12.9</v>
      </c>
      <c r="H5" s="5" t="n">
        <f aca="false">IFERROR(INDEX(Catálogo!H$4:H$1000,MATCH($A$1&amp;"|"&amp;2,Índice!$A$4:$A$1000,0)),"")</f>
        <v>4</v>
      </c>
      <c r="I5" s="6" t="str">
        <f aca="false">IFERROR(INDEX(Catálogo!I$4:I$1000,MATCH($A$1&amp;"|"&amp;2,Índice!$A$4:$A$1000,0)),"")</f>
        <v>Rastreio de atitudes e comportamentos alimentares de risco em crianças (Maloney et al., 1988; versão portuguesa Barillari et al., 2011). Auto-resposta de 26 itens (~10 min) com escala de 6 pontos (Sempre/Mto.Freq./Freq.=3, Às Vezes=2, Raramente=1, Nunca=0). Itens 19 e 25 invertidos (0/1/2/2/2/3). Três subescalas: Dieta/Restrição (10 itens, máx 30), Preocupação Alimentar (12 itens, máx 36), Bulimia/Controlo (4 itens, máx 12). Ponto de corte clínico: Total ≥ 20 (risco clínico de perturbação alimentar) — recomenda avaliação especializada. 10–19 = preocupações subclínicas (monitorizar). NUNCA constitui diagnóstico — instrumento de rastreio. Scores e classificações não são visíveis à criança durante o preenchimento.</v>
      </c>
      <c r="J5" s="6" t="str">
        <f aca="false">IFERROR(INDEX(Catálogo!J$4:J$1000,MATCH($A$1&amp;"|"&amp;2,Índice!$A$4:$A$1000,0)),"")</f>
        <v>Dieta/Restrição; Preocupação Alimentar; Bulimia/Controlo; Total ChEAT</v>
      </c>
      <c r="K5" s="6" t="str">
        <f aca="false">IFERROR(INDEX(Catálogo!K$4:K$1000,MATCH($A$1&amp;"|"&amp;2,Índice!$A$4:$A$1000,0)),"")</f>
        <v>cheat</v>
      </c>
      <c r="L5" s="6" t="str">
        <f aca="false">IFERROR(INDEX(Catálogo!L$4:L$1000,MATCH($A$1&amp;"|"&amp;2,Índice!$A$4:$A$1000,0)),"")</f>
        <v>q_cheat</v>
      </c>
      <c r="M5" s="7" t="str">
        <f aca="false">IFERROR(INDEX(Catálogo!M$4:M$1000,MATCH($A$1&amp;"|"&amp;2,Índice!$A$4:$A$1000,0)),"")</f>
        <v>https://correiaricardina-ui.github.io/questionarios/ChEAT_v1.html</v>
      </c>
    </row>
    <row r="6" customFormat="false" ht="42" hidden="false" customHeight="true" outlineLevel="0" collapsed="false">
      <c r="A6" s="5" t="n">
        <f aca="false">IFERROR(INDEX(Catálogo!A$4:A$1000,MATCH($A$1&amp;"|"&amp;3,Índice!$A$4:$A$1000,0)),"")</f>
        <v>37</v>
      </c>
      <c r="B6" s="6" t="str">
        <f aca="false">IFERROR(INDEX(Catálogo!B$4:B$1000,MATCH($A$1&amp;"|"&amp;3,Índice!$A$4:$A$1000,0)),"")</f>
        <v>Collins — Silhuetas Corporais</v>
      </c>
      <c r="C6" s="6" t="str">
        <f aca="false">IFERROR(INDEX(Catálogo!C$4:C$1000,MATCH($A$1&amp;"|"&amp;3,Índice!$A$4:$A$1000,0)),"")</f>
        <v>Alimentação &amp; Imagem Corporal</v>
      </c>
      <c r="D6" s="6" t="str">
        <f aca="false">IFERROR(INDEX(Catálogo!D$4:D$1000,MATCH($A$1&amp;"|"&amp;3,Índice!$A$4:$A$1000,0)),"")</f>
        <v>Paciente, Jovem avaliado</v>
      </c>
      <c r="E6" s="6" t="str">
        <f aca="false">IFERROR(INDEX(Catálogo!E$4:E$1000,MATCH($A$1&amp;"|"&amp;3,Índice!$A$4:$A$1000,0)),"")</f>
        <v>Crianças / Adolescentes</v>
      </c>
      <c r="F6" s="5" t="n">
        <f aca="false">IFERROR(INDEX(Catálogo!F$4:F$1000,MATCH($A$1&amp;"|"&amp;3,Índice!$A$4:$A$1000,0)),"")</f>
        <v>6</v>
      </c>
      <c r="G6" s="5" t="n">
        <f aca="false">IFERROR(INDEX(Catálogo!G$4:G$1000,MATCH($A$1&amp;"|"&amp;3,Índice!$A$4:$A$1000,0)),"")</f>
        <v>17.9</v>
      </c>
      <c r="H6" s="5" t="n">
        <f aca="false">IFERROR(INDEX(Catálogo!H$4:H$1000,MATCH($A$1&amp;"|"&amp;3,Índice!$A$4:$A$1000,0)),"")</f>
        <v>4</v>
      </c>
      <c r="I6" s="6" t="str">
        <f aca="false">IFERROR(INDEX(Catálogo!I$4:I$1000,MATCH($A$1&amp;"|"&amp;3,Índice!$A$4:$A$1000,0)),"")</f>
        <v>Avalia a insatisfação com a imagem corporal através de silhuetas — percepção real vs. ideal (Collins, 1991)</v>
      </c>
      <c r="J6" s="6" t="str">
        <f aca="false">IFERROR(INDEX(Catálogo!J$4:J$1000,MATCH($A$1&amp;"|"&amp;3,Índice!$A$4:$A$1000,0)),"")</f>
        <v>Silhueta Real; Silhueta Ideal; Insatisfação; Índice de Massa Corporal (IMC)</v>
      </c>
      <c r="K6" s="6" t="str">
        <f aca="false">IFERROR(INDEX(Catálogo!K$4:K$1000,MATCH($A$1&amp;"|"&amp;3,Índice!$A$4:$A$1000,0)),"")</f>
        <v>collins</v>
      </c>
      <c r="L6" s="6" t="str">
        <f aca="false">IFERROR(INDEX(Catálogo!L$4:L$1000,MATCH($A$1&amp;"|"&amp;3,Índice!$A$4:$A$1000,0)),"")</f>
        <v>q_collins</v>
      </c>
      <c r="M6" s="7" t="str">
        <f aca="false">IFERROR(INDEX(Catálogo!M$4:M$1000,MATCH($A$1&amp;"|"&amp;3,Índice!$A$4:$A$1000,0)),"")</f>
        <v>https://correiaricardina-ui.github.io/questionarios/Collins_Silhuetas.html</v>
      </c>
    </row>
    <row r="7" customFormat="false" ht="42" hidden="false" customHeight="true" outlineLevel="0" collapsed="false">
      <c r="A7" s="5" t="n">
        <f aca="false">IFERROR(INDEX(Catálogo!A$4:A$1000,MATCH($A$1&amp;"|"&amp;4,Índice!$A$4:$A$1000,0)),"")</f>
        <v>57</v>
      </c>
      <c r="B7" s="6" t="str">
        <f aca="false">IFERROR(INDEX(Catálogo!B$4:B$1000,MATCH($A$1&amp;"|"&amp;4,Índice!$A$4:$A$1000,0)),"")</f>
        <v>EAT-26</v>
      </c>
      <c r="C7" s="6" t="str">
        <f aca="false">IFERROR(INDEX(Catálogo!C$4:C$1000,MATCH($A$1&amp;"|"&amp;4,Índice!$A$4:$A$1000,0)),"")</f>
        <v>Alimentação &amp; Imagem Corporal</v>
      </c>
      <c r="D7" s="6" t="str">
        <f aca="false">IFERROR(INDEX(Catálogo!D$4:D$1000,MATCH($A$1&amp;"|"&amp;4,Índice!$A$4:$A$1000,0)),"")</f>
        <v>Paciente</v>
      </c>
      <c r="E7" s="6" t="str">
        <f aca="false">IFERROR(INDEX(Catálogo!E$4:E$1000,MATCH($A$1&amp;"|"&amp;4,Índice!$A$4:$A$1000,0)),"")</f>
        <v>Adolescentes / Adultos</v>
      </c>
      <c r="F7" s="5" t="n">
        <f aca="false">IFERROR(INDEX(Catálogo!F$4:F$1000,MATCH($A$1&amp;"|"&amp;4,Índice!$A$4:$A$1000,0)),"")</f>
        <v>11</v>
      </c>
      <c r="G7" s="5" t="n">
        <f aca="false">IFERROR(INDEX(Catálogo!G$4:G$1000,MATCH($A$1&amp;"|"&amp;4,Índice!$A$4:$A$1000,0)),"")</f>
        <v>99</v>
      </c>
      <c r="H7" s="5" t="n">
        <f aca="false">IFERROR(INDEX(Catálogo!H$4:H$1000,MATCH($A$1&amp;"|"&amp;4,Índice!$A$4:$A$1000,0)),"")</f>
        <v>4</v>
      </c>
      <c r="I7" s="6" t="str">
        <f aca="false">IFERROR(INDEX(Catálogo!I$4:I$1000,MATCH($A$1&amp;"|"&amp;4,Índice!$A$4:$A$1000,0)),"")</f>
        <v>Rastreio de atitudes e comportamentos alimentares de risco (Garner et al., 1982)</v>
      </c>
      <c r="J7" s="6" t="str">
        <f aca="false">IFERROR(INDEX(Catálogo!J$4:J$1000,MATCH($A$1&amp;"|"&amp;4,Índice!$A$4:$A$1000,0)),"")</f>
        <v>Dieta (D); Bulimia e Preocupação Alimentar (B); Controlo Oral (OC); Score Total (Total)</v>
      </c>
      <c r="K7" s="6" t="str">
        <f aca="false">IFERROR(INDEX(Catálogo!K$4:K$1000,MATCH($A$1&amp;"|"&amp;4,Índice!$A$4:$A$1000,0)),"")</f>
        <v>eat26</v>
      </c>
      <c r="L7" s="6" t="str">
        <f aca="false">IFERROR(INDEX(Catálogo!L$4:L$1000,MATCH($A$1&amp;"|"&amp;4,Índice!$A$4:$A$1000,0)),"")</f>
        <v>q_eat26</v>
      </c>
      <c r="M7" s="7" t="str">
        <f aca="false">IFERROR(INDEX(Catálogo!M$4:M$1000,MATCH($A$1&amp;"|"&amp;4,Índice!$A$4:$A$1000,0)),"")</f>
        <v>https://correiaricardina-ui.github.io/questionarios/EAT26_v2.html</v>
      </c>
    </row>
    <row r="8" customFormat="false" ht="42" hidden="false" customHeight="true" outlineLevel="0" collapsed="false">
      <c r="A8" s="5" t="n">
        <f aca="false">IFERROR(INDEX(Catálogo!A$4:A$1000,MATCH($A$1&amp;"|"&amp;5,Índice!$A$4:$A$1000,0)),"")</f>
        <v>58</v>
      </c>
      <c r="B8" s="6" t="str">
        <f aca="false">IFERROR(INDEX(Catálogo!B$4:B$1000,MATCH($A$1&amp;"|"&amp;5,Índice!$A$4:$A$1000,0)),"")</f>
        <v>ECE-FEA</v>
      </c>
      <c r="C8" s="6" t="str">
        <f aca="false">IFERROR(INDEX(Catálogo!C$4:C$1000,MATCH($A$1&amp;"|"&amp;5,Índice!$A$4:$A$1000,0)),"")</f>
        <v>Alimentação &amp; Imagem Corporal</v>
      </c>
      <c r="D8" s="6" t="str">
        <f aca="false">IFERROR(INDEX(Catálogo!D$4:D$1000,MATCH($A$1&amp;"|"&amp;5,Índice!$A$4:$A$1000,0)),"")</f>
        <v>Paciente</v>
      </c>
      <c r="E8" s="6" t="str">
        <f aca="false">IFERROR(INDEX(Catálogo!E$4:E$1000,MATCH($A$1&amp;"|"&amp;5,Índice!$A$4:$A$1000,0)),"")</f>
        <v>≥ 10 anos</v>
      </c>
      <c r="F8" s="5" t="n">
        <f aca="false">IFERROR(INDEX(Catálogo!F$4:F$1000,MATCH($A$1&amp;"|"&amp;5,Índice!$A$4:$A$1000,0)),"")</f>
        <v>10</v>
      </c>
      <c r="G8" s="5" t="n">
        <f aca="false">IFERROR(INDEX(Catálogo!G$4:G$1000,MATCH($A$1&amp;"|"&amp;5,Índice!$A$4:$A$1000,0)),"")</f>
        <v>99</v>
      </c>
      <c r="H8" s="5" t="n">
        <f aca="false">IFERROR(INDEX(Catálogo!H$4:H$1000,MATCH($A$1&amp;"|"&amp;5,Índice!$A$4:$A$1000,0)),"")</f>
        <v>6</v>
      </c>
      <c r="I8" s="6" t="str">
        <f aca="false">IFERROR(INDEX(Catálogo!I$4:I$1000,MATCH($A$1&amp;"|"&amp;5,Índice!$A$4:$A$1000,0)),"")</f>
        <v>Avalia a função emocional da alimentação — ingestão emocional, controlo, fome, regulação e insight</v>
      </c>
      <c r="J8" s="6" t="str">
        <f aca="false">IFERROR(INDEX(Catálogo!J$4:J$1000,MATCH($A$1&amp;"|"&amp;5,Índice!$A$4:$A$1000,0)),"")</f>
        <v>Dom. A — Ingestão Emocional; Dom. B — Perda de Controlo; Dom. C — Ingestão sem Fome; Dom. D — Função Reguladora; Dom. E — Consciência/Insight; Índice Global de Alimentação Emocional (IGAE)</v>
      </c>
      <c r="K8" s="6" t="str">
        <f aca="false">IFERROR(INDEX(Catálogo!K$4:K$1000,MATCH($A$1&amp;"|"&amp;5,Índice!$A$4:$A$1000,0)),"")</f>
        <v>ece_fea</v>
      </c>
      <c r="L8" s="6" t="str">
        <f aca="false">IFERROR(INDEX(Catálogo!L$4:L$1000,MATCH($A$1&amp;"|"&amp;5,Índice!$A$4:$A$1000,0)),"")</f>
        <v>q_ece_fea</v>
      </c>
      <c r="M8" s="7" t="str">
        <f aca="false">IFERROR(INDEX(Catálogo!M$4:M$1000,MATCH($A$1&amp;"|"&amp;5,Índice!$A$4:$A$1000,0)),"")</f>
        <v>https://correiaricardina-ui.github.io/questionarios/ECE-FEA.html</v>
      </c>
    </row>
    <row r="9" customFormat="false" ht="42" hidden="false" customHeight="true" outlineLevel="0" collapsed="false">
      <c r="A9" s="5" t="n">
        <f aca="false">IFERROR(INDEX(Catálogo!A$4:A$1000,MATCH($A$1&amp;"|"&amp;6,Índice!$A$4:$A$1000,0)),"")</f>
        <v>59</v>
      </c>
      <c r="B9" s="6" t="str">
        <f aca="false">IFERROR(INDEX(Catálogo!B$4:B$1000,MATCH($A$1&amp;"|"&amp;6,Índice!$A$4:$A$1000,0)),"")</f>
        <v>EDE-Q 6.0</v>
      </c>
      <c r="C9" s="6" t="str">
        <f aca="false">IFERROR(INDEX(Catálogo!C$4:C$1000,MATCH($A$1&amp;"|"&amp;6,Índice!$A$4:$A$1000,0)),"")</f>
        <v>Alimentação &amp; Imagem Corporal</v>
      </c>
      <c r="D9" s="6" t="str">
        <f aca="false">IFERROR(INDEX(Catálogo!D$4:D$1000,MATCH($A$1&amp;"|"&amp;6,Índice!$A$4:$A$1000,0)),"")</f>
        <v>Paciente</v>
      </c>
      <c r="E9" s="6" t="str">
        <f aca="false">IFERROR(INDEX(Catálogo!E$4:E$1000,MATCH($A$1&amp;"|"&amp;6,Índice!$A$4:$A$1000,0)),"")</f>
        <v>Adolescentes / Adultos</v>
      </c>
      <c r="F9" s="5" t="n">
        <f aca="false">IFERROR(INDEX(Catálogo!F$4:F$1000,MATCH($A$1&amp;"|"&amp;6,Índice!$A$4:$A$1000,0)),"")</f>
        <v>11</v>
      </c>
      <c r="G9" s="5" t="n">
        <f aca="false">IFERROR(INDEX(Catálogo!G$4:G$1000,MATCH($A$1&amp;"|"&amp;6,Índice!$A$4:$A$1000,0)),"")</f>
        <v>99</v>
      </c>
      <c r="H9" s="5" t="n">
        <f aca="false">IFERROR(INDEX(Catálogo!H$4:H$1000,MATCH($A$1&amp;"|"&amp;6,Índice!$A$4:$A$1000,0)),"")</f>
        <v>5</v>
      </c>
      <c r="I9" s="6" t="str">
        <f aca="false">IFERROR(INDEX(Catálogo!I$4:I$1000,MATCH($A$1&amp;"|"&amp;6,Índice!$A$4:$A$1000,0)),"")</f>
        <v>Avalia psicopatologia de perturbações alimentares — restrição, preocupações com alimentação, forma e peso (Fairburn &amp; Beglin, 2008)</v>
      </c>
      <c r="J9" s="6" t="str">
        <f aca="false">IFERROR(INDEX(Catálogo!J$4:J$1000,MATCH($A$1&amp;"|"&amp;6,Índice!$A$4:$A$1000,0)),"")</f>
        <v>Restraint; Eating Concern; Shape Concern; Weight Concern; Global</v>
      </c>
      <c r="K9" s="6" t="str">
        <f aca="false">IFERROR(INDEX(Catálogo!K$4:K$1000,MATCH($A$1&amp;"|"&amp;6,Índice!$A$4:$A$1000,0)),"")</f>
        <v>edeq</v>
      </c>
      <c r="L9" s="6" t="str">
        <f aca="false">IFERROR(INDEX(Catálogo!L$4:L$1000,MATCH($A$1&amp;"|"&amp;6,Índice!$A$4:$A$1000,0)),"")</f>
        <v>q_edeq</v>
      </c>
      <c r="M9" s="7" t="str">
        <f aca="false">IFERROR(INDEX(Catálogo!M$4:M$1000,MATCH($A$1&amp;"|"&amp;6,Índice!$A$4:$A$1000,0)),"")</f>
        <v>https://correiaricardina-ui.github.io/questionarios/EDEQ_v1.html</v>
      </c>
    </row>
    <row r="10" customFormat="false" ht="42" hidden="false" customHeight="true" outlineLevel="0" collapsed="false">
      <c r="A10" s="5" t="n">
        <f aca="false">IFERROR(INDEX(Catálogo!A$4:A$1000,MATCH($A$1&amp;"|"&amp;7,Índice!$A$4:$A$1000,0)),"")</f>
        <v>174</v>
      </c>
      <c r="B10" s="6" t="str">
        <f aca="false">IFERROR(INDEX(Catálogo!B$4:B$1000,MATCH($A$1&amp;"|"&amp;7,Índice!$A$4:$A$1000,0)),"")</f>
        <v>PDRA-9/C — Perfil Diferencial da Restrição Alimentar (Criança)</v>
      </c>
      <c r="C10" s="6" t="str">
        <f aca="false">IFERROR(INDEX(Catálogo!C$4:C$1000,MATCH($A$1&amp;"|"&amp;7,Índice!$A$4:$A$1000,0)),"")</f>
        <v>Alimentação &amp; Imagem Corporal</v>
      </c>
      <c r="D10" s="6" t="str">
        <f aca="false">IFERROR(INDEX(Catálogo!D$4:D$1000,MATCH($A$1&amp;"|"&amp;7,Índice!$A$4:$A$1000,0)),"")</f>
        <v>Paciente</v>
      </c>
      <c r="E10" s="6" t="str">
        <f aca="false">IFERROR(INDEX(Catálogo!E$4:E$1000,MATCH($A$1&amp;"|"&amp;7,Índice!$A$4:$A$1000,0)),"")</f>
        <v>8–14 anos</v>
      </c>
      <c r="F10" s="5" t="n">
        <f aca="false">IFERROR(INDEX(Catálogo!F$4:F$1000,MATCH($A$1&amp;"|"&amp;7,Índice!$A$4:$A$1000,0)),"")</f>
        <v>8</v>
      </c>
      <c r="G10" s="5" t="n">
        <f aca="false">IFERROR(INDEX(Catálogo!G$4:G$1000,MATCH($A$1&amp;"|"&amp;7,Índice!$A$4:$A$1000,0)),"")</f>
        <v>14</v>
      </c>
      <c r="H10" s="5" t="n">
        <f aca="false">IFERROR(INDEX(Catálogo!H$4:H$1000,MATCH($A$1&amp;"|"&amp;7,Índice!$A$4:$A$1000,0)),"")</f>
        <v>9</v>
      </c>
      <c r="I10" s="6" t="str">
        <f aca="false">IFERROR(INDEX(Catálogo!I$4:I$1000,MATCH($A$1&amp;"|"&amp;7,Índice!$A$4:$A$1000,0)),"")</f>
        <v>Traça o perfil diferencial das três apresentações da ARFID em autorrelato: evitação por propriedades sensoriais, desinteresse/apetite reduzido e receio de consequências aversivas (9 itens, 3 por dimensão, escala 0–3). Instrumento ORIGINAL de construção inspirada (Via B): NÃO é a NIAS (Zickgraf &amp; Ellis, 2018), não é tradução da NIAS e os resultados não são comparáveis com dados obtidos com a NIAS. Sem normas portuguesas e sem estudo psicométrico próprio. Cotação em Índice de Endossamento (IE, 0–100 %); a saída primária é a CONFIGURAÇÃO (quantas e quais dimensões salientes), não o nível absoluto. Total calculado mas NÃO interpretado como gravidade. Limiares racionais e exploratórios (saliência 40 %, tendência 12 pp, dominância 23 pp), não pontos de corte. Regra de precedência: o índice de dominância só é leitura diferencial com uma única dimensão saliente. Sem prorrateio — um omisso invalida a dimensão. ASSIMETRIA PROBATÓRIA: uma não-elevação documenta a não-endossação por aquele informante, não a ausência do fenómeno. Sustenta o diferencial ENTRE apresentações da ARFID; não discrimina ARFID de outras perturbações alimentares. Aplicar SEMPRE antes da Forma P.</v>
      </c>
      <c r="J10" s="6" t="str">
        <f aca="false">IFERROR(INDEX(Catálogo!J$4:J$1000,MATCH($A$1&amp;"|"&amp;7,Índice!$A$4:$A$1000,0)),"")</f>
        <v>Seletividade sensorial, S (evitação determinada pelas propriedades sensoriais do alimento; neofobia); Apetite e interesse pelo alimento, A (interesse reduzido, ausência de sinal de fome, saciedade precoce); Receio de consequências aversivas, R (antecipação de engasgamento, vómito ou desconforto gastrintestinal); Índice de Endossamento (IE) por dimensão, 0–100 %; Banda descritiva do IE (mínimo · ligeiro · moderado · acentuado · máximo); Configuração (sem dimensão saliente · isolada · mista) — saída primária; Delta de dominância (IE da seletividade menos o máximo das outras duas dimensões); Total (calculado, não interpretado como gravidade); Validade do protocolo (dimensões invalidadas por omissão)</v>
      </c>
      <c r="K10" s="6" t="str">
        <f aca="false">IFERROR(INDEX(Catálogo!K$4:K$1000,MATCH($A$1&amp;"|"&amp;7,Índice!$A$4:$A$1000,0)),"")</f>
        <v>pdra9_c</v>
      </c>
      <c r="L10" s="6" t="str">
        <f aca="false">IFERROR(INDEX(Catálogo!L$4:L$1000,MATCH($A$1&amp;"|"&amp;7,Índice!$A$4:$A$1000,0)),"")</f>
        <v>q_pdra9_c</v>
      </c>
      <c r="M10" s="7" t="str">
        <f aca="false">IFERROR(INDEX(Catálogo!M$4:M$1000,MATCH($A$1&amp;"|"&amp;7,Índice!$A$4:$A$1000,0)),"")</f>
        <v>https://correiaricardina-ui.github.io/questionarios/PDRA9_C_v1.html</v>
      </c>
    </row>
    <row r="11" customFormat="false" ht="42" hidden="false" customHeight="true" outlineLevel="0" collapsed="false">
      <c r="A11" s="5" t="n">
        <f aca="false">IFERROR(INDEX(Catálogo!A$4:A$1000,MATCH($A$1&amp;"|"&amp;8,Índice!$A$4:$A$1000,0)),"")</f>
        <v>175</v>
      </c>
      <c r="B11" s="6" t="str">
        <f aca="false">IFERROR(INDEX(Catálogo!B$4:B$1000,MATCH($A$1&amp;"|"&amp;8,Índice!$A$4:$A$1000,0)),"")</f>
        <v>PDRA-9/P — Perfil Diferencial da Restrição Alimentar (Parental)</v>
      </c>
      <c r="C11" s="6" t="str">
        <f aca="false">IFERROR(INDEX(Catálogo!C$4:C$1000,MATCH($A$1&amp;"|"&amp;8,Índice!$A$4:$A$1000,0)),"")</f>
        <v>Alimentação &amp; Imagem Corporal</v>
      </c>
      <c r="D11" s="6" t="str">
        <f aca="false">IFERROR(INDEX(Catálogo!D$4:D$1000,MATCH($A$1&amp;"|"&amp;8,Índice!$A$4:$A$1000,0)),"")</f>
        <v>Mãe, Pai, Enc. Educação</v>
      </c>
      <c r="E11" s="6" t="str">
        <f aca="false">IFERROR(INDEX(Catálogo!E$4:E$1000,MATCH($A$1&amp;"|"&amp;8,Índice!$A$4:$A$1000,0)),"")</f>
        <v>6–14 anos</v>
      </c>
      <c r="F11" s="5" t="n">
        <f aca="false">IFERROR(INDEX(Catálogo!F$4:F$1000,MATCH($A$1&amp;"|"&amp;8,Índice!$A$4:$A$1000,0)),"")</f>
        <v>6</v>
      </c>
      <c r="G11" s="5" t="n">
        <f aca="false">IFERROR(INDEX(Catálogo!G$4:G$1000,MATCH($A$1&amp;"|"&amp;8,Índice!$A$4:$A$1000,0)),"")</f>
        <v>14</v>
      </c>
      <c r="H11" s="5" t="n">
        <f aca="false">IFERROR(INDEX(Catálogo!H$4:H$1000,MATCH($A$1&amp;"|"&amp;8,Índice!$A$4:$A$1000,0)),"")</f>
        <v>10</v>
      </c>
      <c r="I11" s="6" t="str">
        <f aca="false">IFERROR(INDEX(Catálogo!I$4:I$1000,MATCH($A$1&amp;"|"&amp;8,Índice!$A$4:$A$1000,0)),"")</f>
        <v>Traça o perfil diferencial das três apresentações da ARFID em heterorrelato parental (9 itens, 3 por dimensão, escala 0–5, referência: últimos 3 meses). Instrumento ORIGINAL de construção inspirada (Via B): NÃO é a NIAS (Zickgraf &amp; Ellis, 2018) nem tradução da NIAS. Sem normas portuguesas e sem estudo psicométrico próprio. Mesma arquitetura de cotação da Forma C. O par C+P produz o ÍNDICE DE DIVERGÊNCIA por dimensão (limiar 25 pp), que é a informação mais sensível do instrumento: na dimensão do receio o conteúdo antecipatório é experiência interna e o heterorrelato parental subestima-o de forma sistemática, pelo que a direção criança &gt; progenitor é teoricamente esperada e constitui informação clínica, não erro de medida. ASSIMETRIA PROBATÓRIA máxima nesta forma na dimensão do receio: um valor baixo documenta a não-observabilidade do receio pelo progenitor, não a sua ausência.</v>
      </c>
      <c r="J11" s="6" t="str">
        <f aca="false">IFERROR(INDEX(Catálogo!J$4:J$1000,MATCH($A$1&amp;"|"&amp;8,Índice!$A$4:$A$1000,0)),"")</f>
        <v>Seletividade sensorial, S (evitação determinada pelas propriedades sensoriais do alimento; neofobia); Apetite e interesse pelo alimento, A (interesse reduzido, ausência de sinal de fome, saciedade precoce); Receio de consequências aversivas, R (antecipação de engasgamento, vómito ou desconforto gastrintestinal); Índice de Endossamento (IE) por dimensão, 0–100 %; Banda descritiva do IE (mínimo · ligeiro · moderado · acentuado · máximo); Configuração (sem dimensão saliente · isolada · mista) — saída primária; Delta de dominância (IE da seletividade menos o máximo das outras duas dimensões); Total (calculado, não interpretado como gravidade); Validade do protocolo (dimensões invalidadas por omissão); Índice de divergência entre informantes (Forma P menos Forma C), calculado por dimensão</v>
      </c>
      <c r="K11" s="6" t="str">
        <f aca="false">IFERROR(INDEX(Catálogo!K$4:K$1000,MATCH($A$1&amp;"|"&amp;8,Índice!$A$4:$A$1000,0)),"")</f>
        <v>pdra9_p</v>
      </c>
      <c r="L11" s="6" t="str">
        <f aca="false">IFERROR(INDEX(Catálogo!L$4:L$1000,MATCH($A$1&amp;"|"&amp;8,Índice!$A$4:$A$1000,0)),"")</f>
        <v>q_pdra9_p</v>
      </c>
      <c r="M11" s="7" t="str">
        <f aca="false">IFERROR(INDEX(Catálogo!M$4:M$1000,MATCH($A$1&amp;"|"&amp;8,Índice!$A$4:$A$1000,0)),"")</f>
        <v>https://correiaricardina-ui.github.io/questionarios/PDRA9_P_v1.html</v>
      </c>
    </row>
    <row r="12" customFormat="false" ht="42" hidden="false" customHeight="true" outlineLevel="0" collapsed="false">
      <c r="A12" s="5" t="n">
        <f aca="false">IFERROR(INDEX(Catálogo!A$4:A$1000,MATCH($A$1&amp;"|"&amp;9,Índice!$A$4:$A$1000,0)),"")</f>
        <v>176</v>
      </c>
      <c r="B12" s="6" t="str">
        <f aca="false">IFERROR(INDEX(Catálogo!B$4:B$1000,MATCH($A$1&amp;"|"&amp;9,Índice!$A$4:$A$1000,0)),"")</f>
        <v>GCSA — Grelha de Caracterização da Seletividade Alimentar</v>
      </c>
      <c r="C12" s="6" t="str">
        <f aca="false">IFERROR(INDEX(Catálogo!C$4:C$1000,MATCH($A$1&amp;"|"&amp;9,Índice!$A$4:$A$1000,0)),"")</f>
        <v>Alimentação &amp; Imagem Corporal</v>
      </c>
      <c r="D12" s="6" t="str">
        <f aca="false">IFERROR(INDEX(Catálogo!D$4:D$1000,MATCH($A$1&amp;"|"&amp;9,Índice!$A$4:$A$1000,0)),"")</f>
        <v>Mãe, Pai, Enc. Educação</v>
      </c>
      <c r="E12" s="6" t="str">
        <f aca="false">IFERROR(INDEX(Catálogo!E$4:E$1000,MATCH($A$1&amp;"|"&amp;9,Índice!$A$4:$A$1000,0)),"")</f>
        <v>3–17 anos</v>
      </c>
      <c r="F12" s="5" t="n">
        <f aca="false">IFERROR(INDEX(Catálogo!F$4:F$1000,MATCH($A$1&amp;"|"&amp;9,Índice!$A$4:$A$1000,0)),"")</f>
        <v>3</v>
      </c>
      <c r="G12" s="5" t="n">
        <f aca="false">IFERROR(INDEX(Catálogo!G$4:G$1000,MATCH($A$1&amp;"|"&amp;9,Índice!$A$4:$A$1000,0)),"")</f>
        <v>17</v>
      </c>
      <c r="H12" s="5" t="n">
        <f aca="false">IFERROR(INDEX(Catálogo!H$4:H$1000,MATCH($A$1&amp;"|"&amp;9,Índice!$A$4:$A$1000,0)),"")</f>
        <v>22</v>
      </c>
      <c r="I12" s="6" t="str">
        <f aca="false">IFERROR(INDEX(Catálogo!I$4:I$1000,MATCH($A$1&amp;"|"&amp;9,Índice!$A$4:$A$1000,0)),"")</f>
        <v>Documenta a fenomenologia da seletividade alimentar, o perfil sensorial extra-alimentar, o impacto participativo e a acomodação familiar (98 itens: 86 em escala de frequência 0–3 e 12 dicotómicos). Instrumento de construção INTERNA (Via C): os itens dos seis blocos de observação foram redigidos de raiz em português europeu a partir dos domínios cobertos pela Escala de Avaliação do Comportamento Alimentar (LABIRINTO), sem reprodução literal de itens, instruções ou material protegido; o sistema de cotação, o modelo interpretativo e a estrutura dimensional são construções originais. SEM aferição normativa, SEM pontuação clínica e SEM pontos de corte. Cotação em dois descritores complementares por subdimensão, ambos 0–100: índice de densidade (intensidade média dos indicadores) e índice de saliência (proporção de indicadores estabelecidos como padrão, descritor primário). As bandas do índice de saliência (0–20, 20–40, 40–65, 65–100) organizam a leitura e NÃO classificam gravidade. SEM índice global: a média das 15 subdimensões achata perfis com elevação isolada, pelo que a saída primária é a CONFIGURAÇÃO relativa entre domínios. Prorrateio de omissos até 20 % por subdimensão; acima do limiar a dimensão é devolvida como não interpretável, e subdimensões com menos de 5 itens não admitem qualquer omisso. Dimensões com 2 ou 3 itens (3B, 4C, 6B, 7A, 7B) têm granularidade grosseira: ler sempre com a contagem absoluta de itens salientes. Nenhum valor é devolvido à família — para quem preenche, a grelha mantém-se o registo qualitativo que declara ser. Cada progenitor preenche um protocolo independente: a grelha convida ao registo de leituras divergentes em vez do consenso prévio, e a divergência é tratada como dado clínico, não como erro de preenchimento.</v>
      </c>
      <c r="J12" s="6" t="str">
        <f aca="false">IFERROR(INDEX(Catálogo!J$4:J$1000,MATCH($A$1&amp;"|"&amp;9,Índice!$A$4:$A$1000,0)),"")</f>
        <v>Exigência de propriedades sensoriais, 3A (marca, temperatura, cor, consistência, ponto de cozedura); Aversão ao contacto e à mistura, 3B (alimentos que se tocam, texturas na mesma garfada); Recusa por categoria e restrição de repertório, 3C (carne, peixe, fruta, legumes, categorias inteiras); Rigidez ritualística, 4A (disposição no prato, lugar fixo, utensílios fixos); Desregulação comportamental à mesa, 4B (cuspir, não permanecer sentado, irritabilidade); Resposta aversiva física, 4C (vómito às refeições, enjoo ao ver comida diferente); Hiper-reatividade e evitação sensorial, 6A (ruído, cheiro, toque, textura, luz — extra-alimentar); Procura sensorial, 6B (mastigar objetos, movimento intenso, pressão profunda) — ortogonal a 6A, nunca somada; Dificuldade instrumental, 7A (talheres, entornar, necessidade de ajuda física); Dependência regulatória, 7B (presença e atenção do adulto durante a refeição); Restrição participativa, 8A (refeitório, visitas de estudo, festas, casa de outros, restaurantes, comida de terceiros, atividades abandonadas); Acomodação — participação direta, ACO-P (refeição diferente, compra específica, remoção do prato, alimentação assistida); Acomodação — modificação de rotinas, ACO-R (horários, ementa, compras, saídas e férias); Acomodação — facilitação da evitação, ACO-E (supressão da oferta de alimentos novos, evitação de contextos); Consequências da não acomodação, ACO-C (resposta da criança à não cedência e cedência subsequente do adulto); Marcadores de preservação, 3D (sabores intensos aceites, apetite e prazer no que aceita) — reportado em separado, indicador de recurso terapêutico; Impacto no cuidador, ACO-D (preocupação, tensão às refeições, discordância entre adultos) — reportado em separado, informação de planeamento; Competência mastigatória, M-COMP e Segurança na deglutição, M-SEG (bloco 02) — relato médico, contagem descritiva sem índice; Sintomatologia digestiva funcional, D-FUNC e Diagnósticos estabelecidos, D-DIAG (bloco 05) — relato médico, contagem descritiva sem índice; Sinalizadores clínicos: segurança na deglutição, ingestão de não alimentos, crescimento e peso, preocupação com a imagem corporal, receio de consequências aversivas; Descritores de configuração do perfil: dimensões interpretáveis, dimensões na banda superior, dimensões sem indicadores salientes, índice de saliência máximo e mínimo, amplitude e dimensão predominante; Índice de divergência entre informantes, por subdimensão e por contagem de itens divergentes</v>
      </c>
      <c r="K12" s="6" t="str">
        <f aca="false">IFERROR(INDEX(Catálogo!K$4:K$1000,MATCH($A$1&amp;"|"&amp;9,Índice!$A$4:$A$1000,0)),"")</f>
        <v>gcsa</v>
      </c>
      <c r="L12" s="6" t="str">
        <f aca="false">IFERROR(INDEX(Catálogo!L$4:L$1000,MATCH($A$1&amp;"|"&amp;9,Índice!$A$4:$A$1000,0)),"")</f>
        <v>q_gcsa</v>
      </c>
      <c r="M12" s="7" t="str">
        <f aca="false">IFERROR(INDEX(Catálogo!M$4:M$1000,MATCH($A$1&amp;"|"&amp;9,Índice!$A$4:$A$1000,0)),"")</f>
        <v>https://correiaricardina-ui.github.io/questionarios/GCSA_v1.html</v>
      </c>
    </row>
    <row r="13" customFormat="false" ht="42" hidden="false" customHeight="true" outlineLevel="0" collapsed="false">
      <c r="A13" s="5" t="n">
        <f aca="false">IFERROR(INDEX(Catálogo!A$4:A$1000,MATCH($A$1&amp;"|"&amp;10,Índice!$A$4:$A$1000,0)),"")</f>
        <v>177</v>
      </c>
      <c r="B13" s="6" t="str">
        <f aca="false">IFERROR(INDEX(Catálogo!B$4:B$1000,MATCH($A$1&amp;"|"&amp;10,Índice!$A$4:$A$1000,0)),"")</f>
        <v>GCSA — Diário de Alimentação de Sete Dias</v>
      </c>
      <c r="C13" s="6" t="str">
        <f aca="false">IFERROR(INDEX(Catálogo!C$4:C$1000,MATCH($A$1&amp;"|"&amp;10,Índice!$A$4:$A$1000,0)),"")</f>
        <v>Alimentação &amp; Imagem Corporal</v>
      </c>
      <c r="D13" s="6" t="str">
        <f aca="false">IFERROR(INDEX(Catálogo!D$4:D$1000,MATCH($A$1&amp;"|"&amp;10,Índice!$A$4:$A$1000,0)),"")</f>
        <v>Mãe, Pai, Enc. Educação</v>
      </c>
      <c r="E13" s="6" t="str">
        <f aca="false">IFERROR(INDEX(Catálogo!E$4:E$1000,MATCH($A$1&amp;"|"&amp;10,Índice!$A$4:$A$1000,0)),"")</f>
        <v>3–17 anos</v>
      </c>
      <c r="F13" s="5" t="n">
        <f aca="false">IFERROR(INDEX(Catálogo!F$4:F$1000,MATCH($A$1&amp;"|"&amp;10,Índice!$A$4:$A$1000,0)),"")</f>
        <v>3</v>
      </c>
      <c r="G13" s="5" t="n">
        <f aca="false">IFERROR(INDEX(Catálogo!G$4:G$1000,MATCH($A$1&amp;"|"&amp;10,Índice!$A$4:$A$1000,0)),"")</f>
        <v>17</v>
      </c>
      <c r="H13" s="5" t="n">
        <f aca="false">IFERROR(INDEX(Catálogo!H$4:H$1000,MATCH($A$1&amp;"|"&amp;10,Índice!$A$4:$A$1000,0)),"")</f>
        <v>9</v>
      </c>
      <c r="I13" s="6" t="str">
        <f aca="false">IFERROR(INDEX(Catálogo!I$4:I$1000,MATCH($A$1&amp;"|"&amp;10,Índice!$A$4:$A$1000,0)),"")</f>
        <v>Registo prospetivo de sete dias das refeições e do repertório alimentar aceite, preenchido no próprio dia (35 slots: 7 dias × 5 refeições, mais o repertório). Módulo de diário da GCSA, e a fonte de informação quantitativa mais robusta do instrumento, por não assentar em estimativa retrospetiva. Produz nove indicadores descritivos de amplitude e de concentração do repertório. A literatura refere com frequência repertórios inferiores a vinte alimentos como marcador de seletividade significativa: esse valor NÃO é operacionalizado como limiar, por não existirem normas portuguesas para amplitude de repertório nesta faixa etária e por a sua conversão em ponto de corte contrariar o estatuto declarado do instrumento. Os indicadores são apresentados como contagens, para leitura clínica integrada. Enviar sempre em conjunto com a grelha principal, pedindo que seja a última secção a preencher, e incluir pelo menos um dia de fim de semana e, se possível, um dia com refeição fora de casa.</v>
      </c>
      <c r="J13" s="6" t="str">
        <f aca="false">IFERROR(INDEX(Catálogo!J$4:J$1000,MATCH($A$1&amp;"|"&amp;10,Índice!$A$4:$A$1000,0)),"")</f>
        <v>Refeições com registo, de 35 possíveis; Refeições com recusa registada; Taxa de recusa, em percentagem das refeições com registo; Refeições fora de casa; Alimentos distintos aceites ao longo dos sete dias (amplitude do repertório); Núcleo estável: alimentos presentes em quatro ou mais dias (componente rígida e previsível do repertório); Proporção do repertório em núcleo estável (grau de concentração; proporção elevada com repertório reduzido caracteriza padrão de rotação fixa); Média de alimentos distintos por dia com registo (variedade diária efetiva, distinta da amplitude acumulada); Distribuição de alimentos distintos por dia, com distinção entre dia de escola e fim de semana</v>
      </c>
      <c r="K13" s="6" t="str">
        <f aca="false">IFERROR(INDEX(Catálogo!K$4:K$1000,MATCH($A$1&amp;"|"&amp;10,Índice!$A$4:$A$1000,0)),"")</f>
        <v>gcsa_diario</v>
      </c>
      <c r="L13" s="6" t="str">
        <f aca="false">IFERROR(INDEX(Catálogo!L$4:L$1000,MATCH($A$1&amp;"|"&amp;10,Índice!$A$4:$A$1000,0)),"")</f>
        <v>q_gcsa_diario</v>
      </c>
      <c r="M13" s="7" t="str">
        <f aca="false">IFERROR(INDEX(Catálogo!M$4:M$1000,MATCH($A$1&amp;"|"&amp;10,Índice!$A$4:$A$1000,0)),"")</f>
        <v>https://correiaricardina-ui.github.io/questionarios/GCSA_Diario_v1.html</v>
      </c>
    </row>
    <row r="14" customFormat="false" ht="42" hidden="false" customHeight="true" outlineLevel="0" collapsed="false">
      <c r="A14" s="5" t="str">
        <f aca="false">IFERROR(INDEX(Catálogo!A$4:A$1000,MATCH($A$1&amp;"|"&amp;11,Índice!$A$4:$A$1000,0)),"")</f>
        <v/>
      </c>
      <c r="B14" s="6" t="str">
        <f aca="false">IFERROR(INDEX(Catálogo!B$4:B$1000,MATCH($A$1&amp;"|"&amp;11,Índice!$A$4:$A$1000,0)),"")</f>
        <v/>
      </c>
      <c r="C14" s="6" t="str">
        <f aca="false">IFERROR(INDEX(Catálogo!C$4:C$1000,MATCH($A$1&amp;"|"&amp;11,Índice!$A$4:$A$1000,0)),"")</f>
        <v/>
      </c>
      <c r="D14" s="6" t="str">
        <f aca="false">IFERROR(INDEX(Catálogo!D$4:D$1000,MATCH($A$1&amp;"|"&amp;11,Índice!$A$4:$A$1000,0)),"")</f>
        <v/>
      </c>
      <c r="E14" s="6" t="str">
        <f aca="false">IFERROR(INDEX(Catálogo!E$4:E$1000,MATCH($A$1&amp;"|"&amp;11,Índice!$A$4:$A$1000,0)),"")</f>
        <v/>
      </c>
      <c r="F14" s="5" t="str">
        <f aca="false">IFERROR(INDEX(Catálogo!F$4:F$1000,MATCH($A$1&amp;"|"&amp;11,Índice!$A$4:$A$1000,0)),"")</f>
        <v/>
      </c>
      <c r="G14" s="5" t="str">
        <f aca="false">IFERROR(INDEX(Catálogo!G$4:G$1000,MATCH($A$1&amp;"|"&amp;11,Índice!$A$4:$A$1000,0)),"")</f>
        <v/>
      </c>
      <c r="H14" s="5" t="str">
        <f aca="false">IFERROR(INDEX(Catálogo!H$4:H$1000,MATCH($A$1&amp;"|"&amp;11,Índice!$A$4:$A$1000,0)),"")</f>
        <v/>
      </c>
      <c r="I14" s="6" t="str">
        <f aca="false">IFERROR(INDEX(Catálogo!I$4:I$1000,MATCH($A$1&amp;"|"&amp;11,Índice!$A$4:$A$1000,0)),"")</f>
        <v/>
      </c>
      <c r="J14" s="6" t="str">
        <f aca="false">IFERROR(INDEX(Catálogo!J$4:J$1000,MATCH($A$1&amp;"|"&amp;11,Índice!$A$4:$A$1000,0)),"")</f>
        <v/>
      </c>
      <c r="K14" s="6" t="str">
        <f aca="false">IFERROR(INDEX(Catálogo!K$4:K$1000,MATCH($A$1&amp;"|"&amp;11,Índice!$A$4:$A$1000,0)),"")</f>
        <v/>
      </c>
      <c r="L14" s="6" t="str">
        <f aca="false">IFERROR(INDEX(Catálogo!L$4:L$1000,MATCH($A$1&amp;"|"&amp;11,Índice!$A$4:$A$1000,0)),"")</f>
        <v/>
      </c>
      <c r="M14" s="7" t="str">
        <f aca="false">IFERROR(INDEX(Catálogo!M$4:M$1000,MATCH($A$1&amp;"|"&amp;11,Índice!$A$4:$A$1000,0)),"")</f>
        <v/>
      </c>
    </row>
    <row r="15" customFormat="false" ht="42" hidden="false" customHeight="true" outlineLevel="0" collapsed="false">
      <c r="A15" s="5" t="str">
        <f aca="false">IFERROR(INDEX(Catálogo!A$4:A$1000,MATCH($A$1&amp;"|"&amp;12,Índice!$A$4:$A$1000,0)),"")</f>
        <v/>
      </c>
      <c r="B15" s="6" t="str">
        <f aca="false">IFERROR(INDEX(Catálogo!B$4:B$1000,MATCH($A$1&amp;"|"&amp;12,Índice!$A$4:$A$1000,0)),"")</f>
        <v/>
      </c>
      <c r="C15" s="6" t="str">
        <f aca="false">IFERROR(INDEX(Catálogo!C$4:C$1000,MATCH($A$1&amp;"|"&amp;12,Índice!$A$4:$A$1000,0)),"")</f>
        <v/>
      </c>
      <c r="D15" s="6" t="str">
        <f aca="false">IFERROR(INDEX(Catálogo!D$4:D$1000,MATCH($A$1&amp;"|"&amp;12,Índice!$A$4:$A$1000,0)),"")</f>
        <v/>
      </c>
      <c r="E15" s="6" t="str">
        <f aca="false">IFERROR(INDEX(Catálogo!E$4:E$1000,MATCH($A$1&amp;"|"&amp;12,Índice!$A$4:$A$1000,0)),"")</f>
        <v/>
      </c>
      <c r="F15" s="5" t="str">
        <f aca="false">IFERROR(INDEX(Catálogo!F$4:F$1000,MATCH($A$1&amp;"|"&amp;12,Índice!$A$4:$A$1000,0)),"")</f>
        <v/>
      </c>
      <c r="G15" s="5" t="str">
        <f aca="false">IFERROR(INDEX(Catálogo!G$4:G$1000,MATCH($A$1&amp;"|"&amp;12,Índice!$A$4:$A$1000,0)),"")</f>
        <v/>
      </c>
      <c r="H15" s="5" t="str">
        <f aca="false">IFERROR(INDEX(Catálogo!H$4:H$1000,MATCH($A$1&amp;"|"&amp;12,Índice!$A$4:$A$1000,0)),"")</f>
        <v/>
      </c>
      <c r="I15" s="6" t="str">
        <f aca="false">IFERROR(INDEX(Catálogo!I$4:I$1000,MATCH($A$1&amp;"|"&amp;12,Índice!$A$4:$A$1000,0)),"")</f>
        <v/>
      </c>
      <c r="J15" s="6" t="str">
        <f aca="false">IFERROR(INDEX(Catálogo!J$4:J$1000,MATCH($A$1&amp;"|"&amp;12,Índice!$A$4:$A$1000,0)),"")</f>
        <v/>
      </c>
      <c r="K15" s="6" t="str">
        <f aca="false">IFERROR(INDEX(Catálogo!K$4:K$1000,MATCH($A$1&amp;"|"&amp;12,Índice!$A$4:$A$1000,0)),"")</f>
        <v/>
      </c>
      <c r="L15" s="6" t="str">
        <f aca="false">IFERROR(INDEX(Catálogo!L$4:L$1000,MATCH($A$1&amp;"|"&amp;12,Índice!$A$4:$A$1000,0)),"")</f>
        <v/>
      </c>
      <c r="M15" s="7" t="str">
        <f aca="false">IFERROR(INDEX(Catálogo!M$4:M$1000,MATCH($A$1&amp;"|"&amp;12,Índice!$A$4:$A$1000,0)),"")</f>
        <v/>
      </c>
    </row>
    <row r="16" customFormat="false" ht="42" hidden="false" customHeight="true" outlineLevel="0" collapsed="false">
      <c r="A16" s="5" t="str">
        <f aca="false">IFERROR(INDEX(Catálogo!A$4:A$1000,MATCH($A$1&amp;"|"&amp;13,Índice!$A$4:$A$1000,0)),"")</f>
        <v/>
      </c>
      <c r="B16" s="6" t="str">
        <f aca="false">IFERROR(INDEX(Catálogo!B$4:B$1000,MATCH($A$1&amp;"|"&amp;13,Índice!$A$4:$A$1000,0)),"")</f>
        <v/>
      </c>
      <c r="C16" s="6" t="str">
        <f aca="false">IFERROR(INDEX(Catálogo!C$4:C$1000,MATCH($A$1&amp;"|"&amp;13,Índice!$A$4:$A$1000,0)),"")</f>
        <v/>
      </c>
      <c r="D16" s="6" t="str">
        <f aca="false">IFERROR(INDEX(Catálogo!D$4:D$1000,MATCH($A$1&amp;"|"&amp;13,Índice!$A$4:$A$1000,0)),"")</f>
        <v/>
      </c>
      <c r="E16" s="6" t="str">
        <f aca="false">IFERROR(INDEX(Catálogo!E$4:E$1000,MATCH($A$1&amp;"|"&amp;13,Índice!$A$4:$A$1000,0)),"")</f>
        <v/>
      </c>
      <c r="F16" s="5" t="str">
        <f aca="false">IFERROR(INDEX(Catálogo!F$4:F$1000,MATCH($A$1&amp;"|"&amp;13,Índice!$A$4:$A$1000,0)),"")</f>
        <v/>
      </c>
      <c r="G16" s="5" t="str">
        <f aca="false">IFERROR(INDEX(Catálogo!G$4:G$1000,MATCH($A$1&amp;"|"&amp;13,Índice!$A$4:$A$1000,0)),"")</f>
        <v/>
      </c>
      <c r="H16" s="5" t="str">
        <f aca="false">IFERROR(INDEX(Catálogo!H$4:H$1000,MATCH($A$1&amp;"|"&amp;13,Índice!$A$4:$A$1000,0)),"")</f>
        <v/>
      </c>
      <c r="I16" s="6" t="str">
        <f aca="false">IFERROR(INDEX(Catálogo!I$4:I$1000,MATCH($A$1&amp;"|"&amp;13,Índice!$A$4:$A$1000,0)),"")</f>
        <v/>
      </c>
      <c r="J16" s="6" t="str">
        <f aca="false">IFERROR(INDEX(Catálogo!J$4:J$1000,MATCH($A$1&amp;"|"&amp;13,Índice!$A$4:$A$1000,0)),"")</f>
        <v/>
      </c>
      <c r="K16" s="6" t="str">
        <f aca="false">IFERROR(INDEX(Catálogo!K$4:K$1000,MATCH($A$1&amp;"|"&amp;13,Índice!$A$4:$A$1000,0)),"")</f>
        <v/>
      </c>
      <c r="L16" s="6" t="str">
        <f aca="false">IFERROR(INDEX(Catálogo!L$4:L$1000,MATCH($A$1&amp;"|"&amp;13,Índice!$A$4:$A$1000,0)),"")</f>
        <v/>
      </c>
      <c r="M16" s="7" t="str">
        <f aca="false">IFERROR(INDEX(Catálogo!M$4:M$1000,MATCH($A$1&amp;"|"&amp;13,Índice!$A$4:$A$1000,0)),"")</f>
        <v/>
      </c>
    </row>
    <row r="17" customFormat="false" ht="42" hidden="false" customHeight="true" outlineLevel="0" collapsed="false">
      <c r="A17" s="5" t="str">
        <f aca="false">IFERROR(INDEX(Catálogo!A$4:A$1000,MATCH($A$1&amp;"|"&amp;14,Índice!$A$4:$A$1000,0)),"")</f>
        <v/>
      </c>
      <c r="B17" s="6" t="str">
        <f aca="false">IFERROR(INDEX(Catálogo!B$4:B$1000,MATCH($A$1&amp;"|"&amp;14,Índice!$A$4:$A$1000,0)),"")</f>
        <v/>
      </c>
      <c r="C17" s="6" t="str">
        <f aca="false">IFERROR(INDEX(Catálogo!C$4:C$1000,MATCH($A$1&amp;"|"&amp;14,Índice!$A$4:$A$1000,0)),"")</f>
        <v/>
      </c>
      <c r="D17" s="6" t="str">
        <f aca="false">IFERROR(INDEX(Catálogo!D$4:D$1000,MATCH($A$1&amp;"|"&amp;14,Índice!$A$4:$A$1000,0)),"")</f>
        <v/>
      </c>
      <c r="E17" s="6" t="str">
        <f aca="false">IFERROR(INDEX(Catálogo!E$4:E$1000,MATCH($A$1&amp;"|"&amp;14,Índice!$A$4:$A$1000,0)),"")</f>
        <v/>
      </c>
      <c r="F17" s="5" t="str">
        <f aca="false">IFERROR(INDEX(Catálogo!F$4:F$1000,MATCH($A$1&amp;"|"&amp;14,Índice!$A$4:$A$1000,0)),"")</f>
        <v/>
      </c>
      <c r="G17" s="5" t="str">
        <f aca="false">IFERROR(INDEX(Catálogo!G$4:G$1000,MATCH($A$1&amp;"|"&amp;14,Índice!$A$4:$A$1000,0)),"")</f>
        <v/>
      </c>
      <c r="H17" s="5" t="str">
        <f aca="false">IFERROR(INDEX(Catálogo!H$4:H$1000,MATCH($A$1&amp;"|"&amp;14,Índice!$A$4:$A$1000,0)),"")</f>
        <v/>
      </c>
      <c r="I17" s="6" t="str">
        <f aca="false">IFERROR(INDEX(Catálogo!I$4:I$1000,MATCH($A$1&amp;"|"&amp;14,Índice!$A$4:$A$1000,0)),"")</f>
        <v/>
      </c>
      <c r="J17" s="6" t="str">
        <f aca="false">IFERROR(INDEX(Catálogo!J$4:J$1000,MATCH($A$1&amp;"|"&amp;14,Índice!$A$4:$A$1000,0)),"")</f>
        <v/>
      </c>
      <c r="K17" s="6" t="str">
        <f aca="false">IFERROR(INDEX(Catálogo!K$4:K$1000,MATCH($A$1&amp;"|"&amp;14,Índice!$A$4:$A$1000,0)),"")</f>
        <v/>
      </c>
      <c r="L17" s="6" t="str">
        <f aca="false">IFERROR(INDEX(Catálogo!L$4:L$1000,MATCH($A$1&amp;"|"&amp;14,Índice!$A$4:$A$1000,0)),"")</f>
        <v/>
      </c>
      <c r="M17" s="7" t="str">
        <f aca="false">IFERROR(INDEX(Catálogo!M$4:M$1000,MATCH($A$1&amp;"|"&amp;14,Índice!$A$4:$A$1000,0)),"")</f>
        <v/>
      </c>
    </row>
    <row r="18" customFormat="false" ht="42" hidden="false" customHeight="true" outlineLevel="0" collapsed="false">
      <c r="A18" s="5" t="str">
        <f aca="false">IFERROR(INDEX(Catálogo!A$4:A$1000,MATCH($A$1&amp;"|"&amp;15,Índice!$A$4:$A$1000,0)),"")</f>
        <v/>
      </c>
      <c r="B18" s="6" t="str">
        <f aca="false">IFERROR(INDEX(Catálogo!B$4:B$1000,MATCH($A$1&amp;"|"&amp;15,Índice!$A$4:$A$1000,0)),"")</f>
        <v/>
      </c>
      <c r="C18" s="6" t="str">
        <f aca="false">IFERROR(INDEX(Catálogo!C$4:C$1000,MATCH($A$1&amp;"|"&amp;15,Índice!$A$4:$A$1000,0)),"")</f>
        <v/>
      </c>
      <c r="D18" s="6" t="str">
        <f aca="false">IFERROR(INDEX(Catálogo!D$4:D$1000,MATCH($A$1&amp;"|"&amp;15,Índice!$A$4:$A$1000,0)),"")</f>
        <v/>
      </c>
      <c r="E18" s="6" t="str">
        <f aca="false">IFERROR(INDEX(Catálogo!E$4:E$1000,MATCH($A$1&amp;"|"&amp;15,Índice!$A$4:$A$1000,0)),"")</f>
        <v/>
      </c>
      <c r="F18" s="5" t="str">
        <f aca="false">IFERROR(INDEX(Catálogo!F$4:F$1000,MATCH($A$1&amp;"|"&amp;15,Índice!$A$4:$A$1000,0)),"")</f>
        <v/>
      </c>
      <c r="G18" s="5" t="str">
        <f aca="false">IFERROR(INDEX(Catálogo!G$4:G$1000,MATCH($A$1&amp;"|"&amp;15,Índice!$A$4:$A$1000,0)),"")</f>
        <v/>
      </c>
      <c r="H18" s="5" t="str">
        <f aca="false">IFERROR(INDEX(Catálogo!H$4:H$1000,MATCH($A$1&amp;"|"&amp;15,Índice!$A$4:$A$1000,0)),"")</f>
        <v/>
      </c>
      <c r="I18" s="6" t="str">
        <f aca="false">IFERROR(INDEX(Catálogo!I$4:I$1000,MATCH($A$1&amp;"|"&amp;15,Índice!$A$4:$A$1000,0)),"")</f>
        <v/>
      </c>
      <c r="J18" s="6" t="str">
        <f aca="false">IFERROR(INDEX(Catálogo!J$4:J$1000,MATCH($A$1&amp;"|"&amp;15,Índice!$A$4:$A$1000,0)),"")</f>
        <v/>
      </c>
      <c r="K18" s="6" t="str">
        <f aca="false">IFERROR(INDEX(Catálogo!K$4:K$1000,MATCH($A$1&amp;"|"&amp;15,Índice!$A$4:$A$1000,0)),"")</f>
        <v/>
      </c>
      <c r="L18" s="6" t="str">
        <f aca="false">IFERROR(INDEX(Catálogo!L$4:L$1000,MATCH($A$1&amp;"|"&amp;15,Índice!$A$4:$A$1000,0)),"")</f>
        <v/>
      </c>
      <c r="M18" s="7" t="str">
        <f aca="false">IFERROR(INDEX(Catálogo!M$4:M$1000,MATCH($A$1&amp;"|"&amp;15,Índice!$A$4:$A$1000,0)),"")</f>
        <v/>
      </c>
    </row>
    <row r="19" customFormat="false" ht="42" hidden="false" customHeight="true" outlineLevel="0" collapsed="false">
      <c r="A19" s="5" t="str">
        <f aca="false">IFERROR(INDEX(Catálogo!A$4:A$1000,MATCH($A$1&amp;"|"&amp;16,Índice!$A$4:$A$1000,0)),"")</f>
        <v/>
      </c>
      <c r="B19" s="6" t="str">
        <f aca="false">IFERROR(INDEX(Catálogo!B$4:B$1000,MATCH($A$1&amp;"|"&amp;16,Índice!$A$4:$A$1000,0)),"")</f>
        <v/>
      </c>
      <c r="C19" s="6" t="str">
        <f aca="false">IFERROR(INDEX(Catálogo!C$4:C$1000,MATCH($A$1&amp;"|"&amp;16,Índice!$A$4:$A$1000,0)),"")</f>
        <v/>
      </c>
      <c r="D19" s="6" t="str">
        <f aca="false">IFERROR(INDEX(Catálogo!D$4:D$1000,MATCH($A$1&amp;"|"&amp;16,Índice!$A$4:$A$1000,0)),"")</f>
        <v/>
      </c>
      <c r="E19" s="6" t="str">
        <f aca="false">IFERROR(INDEX(Catálogo!E$4:E$1000,MATCH($A$1&amp;"|"&amp;16,Índice!$A$4:$A$1000,0)),"")</f>
        <v/>
      </c>
      <c r="F19" s="5" t="str">
        <f aca="false">IFERROR(INDEX(Catálogo!F$4:F$1000,MATCH($A$1&amp;"|"&amp;16,Índice!$A$4:$A$1000,0)),"")</f>
        <v/>
      </c>
      <c r="G19" s="5" t="str">
        <f aca="false">IFERROR(INDEX(Catálogo!G$4:G$1000,MATCH($A$1&amp;"|"&amp;16,Índice!$A$4:$A$1000,0)),"")</f>
        <v/>
      </c>
      <c r="H19" s="5" t="str">
        <f aca="false">IFERROR(INDEX(Catálogo!H$4:H$1000,MATCH($A$1&amp;"|"&amp;16,Índice!$A$4:$A$1000,0)),"")</f>
        <v/>
      </c>
      <c r="I19" s="6" t="str">
        <f aca="false">IFERROR(INDEX(Catálogo!I$4:I$1000,MATCH($A$1&amp;"|"&amp;16,Índice!$A$4:$A$1000,0)),"")</f>
        <v/>
      </c>
      <c r="J19" s="6" t="str">
        <f aca="false">IFERROR(INDEX(Catálogo!J$4:J$1000,MATCH($A$1&amp;"|"&amp;16,Índice!$A$4:$A$1000,0)),"")</f>
        <v/>
      </c>
      <c r="K19" s="6" t="str">
        <f aca="false">IFERROR(INDEX(Catálogo!K$4:K$1000,MATCH($A$1&amp;"|"&amp;16,Índice!$A$4:$A$1000,0)),"")</f>
        <v/>
      </c>
      <c r="L19" s="6" t="str">
        <f aca="false">IFERROR(INDEX(Catálogo!L$4:L$1000,MATCH($A$1&amp;"|"&amp;16,Índice!$A$4:$A$1000,0)),"")</f>
        <v/>
      </c>
      <c r="M19" s="7" t="str">
        <f aca="false">IFERROR(INDEX(Catálogo!M$4:M$1000,MATCH($A$1&amp;"|"&amp;16,Índice!$A$4:$A$1000,0)),"")</f>
        <v/>
      </c>
    </row>
    <row r="20" customFormat="false" ht="42" hidden="false" customHeight="true" outlineLevel="0" collapsed="false">
      <c r="A20" s="5" t="str">
        <f aca="false">IFERROR(INDEX(Catálogo!A$4:A$1000,MATCH($A$1&amp;"|"&amp;17,Índice!$A$4:$A$1000,0)),"")</f>
        <v/>
      </c>
      <c r="B20" s="6" t="str">
        <f aca="false">IFERROR(INDEX(Catálogo!B$4:B$1000,MATCH($A$1&amp;"|"&amp;17,Índice!$A$4:$A$1000,0)),"")</f>
        <v/>
      </c>
      <c r="C20" s="6" t="str">
        <f aca="false">IFERROR(INDEX(Catálogo!C$4:C$1000,MATCH($A$1&amp;"|"&amp;17,Índice!$A$4:$A$1000,0)),"")</f>
        <v/>
      </c>
      <c r="D20" s="6" t="str">
        <f aca="false">IFERROR(INDEX(Catálogo!D$4:D$1000,MATCH($A$1&amp;"|"&amp;17,Índice!$A$4:$A$1000,0)),"")</f>
        <v/>
      </c>
      <c r="E20" s="6" t="str">
        <f aca="false">IFERROR(INDEX(Catálogo!E$4:E$1000,MATCH($A$1&amp;"|"&amp;17,Índice!$A$4:$A$1000,0)),"")</f>
        <v/>
      </c>
      <c r="F20" s="5" t="str">
        <f aca="false">IFERROR(INDEX(Catálogo!F$4:F$1000,MATCH($A$1&amp;"|"&amp;17,Índice!$A$4:$A$1000,0)),"")</f>
        <v/>
      </c>
      <c r="G20" s="5" t="str">
        <f aca="false">IFERROR(INDEX(Catálogo!G$4:G$1000,MATCH($A$1&amp;"|"&amp;17,Índice!$A$4:$A$1000,0)),"")</f>
        <v/>
      </c>
      <c r="H20" s="5" t="str">
        <f aca="false">IFERROR(INDEX(Catálogo!H$4:H$1000,MATCH($A$1&amp;"|"&amp;17,Índice!$A$4:$A$1000,0)),"")</f>
        <v/>
      </c>
      <c r="I20" s="6" t="str">
        <f aca="false">IFERROR(INDEX(Catálogo!I$4:I$1000,MATCH($A$1&amp;"|"&amp;17,Índice!$A$4:$A$1000,0)),"")</f>
        <v/>
      </c>
      <c r="J20" s="6" t="str">
        <f aca="false">IFERROR(INDEX(Catálogo!J$4:J$1000,MATCH($A$1&amp;"|"&amp;17,Índice!$A$4:$A$1000,0)),"")</f>
        <v/>
      </c>
      <c r="K20" s="6" t="str">
        <f aca="false">IFERROR(INDEX(Catálogo!K$4:K$1000,MATCH($A$1&amp;"|"&amp;17,Índice!$A$4:$A$1000,0)),"")</f>
        <v/>
      </c>
      <c r="L20" s="6" t="str">
        <f aca="false">IFERROR(INDEX(Catálogo!L$4:L$1000,MATCH($A$1&amp;"|"&amp;17,Índice!$A$4:$A$1000,0)),"")</f>
        <v/>
      </c>
      <c r="M20" s="7" t="str">
        <f aca="false">IFERROR(INDEX(Catálogo!M$4:M$1000,MATCH($A$1&amp;"|"&amp;17,Índice!$A$4:$A$1000,0)),"")</f>
        <v/>
      </c>
    </row>
    <row r="21" customFormat="false" ht="42" hidden="false" customHeight="true" outlineLevel="0" collapsed="false">
      <c r="A21" s="5" t="str">
        <f aca="false">IFERROR(INDEX(Catálogo!A$4:A$1000,MATCH($A$1&amp;"|"&amp;18,Índice!$A$4:$A$1000,0)),"")</f>
        <v/>
      </c>
      <c r="B21" s="6" t="str">
        <f aca="false">IFERROR(INDEX(Catálogo!B$4:B$1000,MATCH($A$1&amp;"|"&amp;18,Índice!$A$4:$A$1000,0)),"")</f>
        <v/>
      </c>
      <c r="C21" s="6" t="str">
        <f aca="false">IFERROR(INDEX(Catálogo!C$4:C$1000,MATCH($A$1&amp;"|"&amp;18,Índice!$A$4:$A$1000,0)),"")</f>
        <v/>
      </c>
      <c r="D21" s="6" t="str">
        <f aca="false">IFERROR(INDEX(Catálogo!D$4:D$1000,MATCH($A$1&amp;"|"&amp;18,Índice!$A$4:$A$1000,0)),"")</f>
        <v/>
      </c>
      <c r="E21" s="6" t="str">
        <f aca="false">IFERROR(INDEX(Catálogo!E$4:E$1000,MATCH($A$1&amp;"|"&amp;18,Índice!$A$4:$A$1000,0)),"")</f>
        <v/>
      </c>
      <c r="F21" s="5" t="str">
        <f aca="false">IFERROR(INDEX(Catálogo!F$4:F$1000,MATCH($A$1&amp;"|"&amp;18,Índice!$A$4:$A$1000,0)),"")</f>
        <v/>
      </c>
      <c r="G21" s="5" t="str">
        <f aca="false">IFERROR(INDEX(Catálogo!G$4:G$1000,MATCH($A$1&amp;"|"&amp;18,Índice!$A$4:$A$1000,0)),"")</f>
        <v/>
      </c>
      <c r="H21" s="5" t="str">
        <f aca="false">IFERROR(INDEX(Catálogo!H$4:H$1000,MATCH($A$1&amp;"|"&amp;18,Índice!$A$4:$A$1000,0)),"")</f>
        <v/>
      </c>
      <c r="I21" s="6" t="str">
        <f aca="false">IFERROR(INDEX(Catálogo!I$4:I$1000,MATCH($A$1&amp;"|"&amp;18,Índice!$A$4:$A$1000,0)),"")</f>
        <v/>
      </c>
      <c r="J21" s="6" t="str">
        <f aca="false">IFERROR(INDEX(Catálogo!J$4:J$1000,MATCH($A$1&amp;"|"&amp;18,Índice!$A$4:$A$1000,0)),"")</f>
        <v/>
      </c>
      <c r="K21" s="6" t="str">
        <f aca="false">IFERROR(INDEX(Catálogo!K$4:K$1000,MATCH($A$1&amp;"|"&amp;18,Índice!$A$4:$A$1000,0)),"")</f>
        <v/>
      </c>
      <c r="L21" s="6" t="str">
        <f aca="false">IFERROR(INDEX(Catálogo!L$4:L$1000,MATCH($A$1&amp;"|"&amp;18,Índice!$A$4:$A$1000,0)),"")</f>
        <v/>
      </c>
      <c r="M21" s="7" t="str">
        <f aca="false">IFERROR(INDEX(Catálogo!M$4:M$1000,MATCH($A$1&amp;"|"&amp;18,Índice!$A$4:$A$1000,0)),"")</f>
        <v/>
      </c>
    </row>
  </sheetData>
  <autoFilter ref="A3:M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1040</v>
      </c>
      <c r="I1" s="17" t="str">
        <f aca="false">COUNTIF(Catálogo!$C$4:$C$1000,$A$1)&amp;IF(COUNTIF(Catálogo!$C$4:$C$1000,$A$1)=1," instrumento nesta área"," instrumentos nesta área")</f>
        <v>5 instrumentos nesta área</v>
      </c>
    </row>
    <row r="2" customFormat="false" ht="15" hidden="false" customHeight="true" outlineLevel="0" collapsed="false">
      <c r="A2" s="18" t="s">
        <v>1488</v>
      </c>
      <c r="I2" s="19" t="str">
        <f aca="false">IF(COUNTIF(Catálogo!$C$4:$C$1000,$A$1)&gt;13,"⚠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153</v>
      </c>
      <c r="B4" s="6" t="str">
        <f aca="false">IFERROR(INDEX(Catálogo!B$4:B$1000,MATCH($A$1&amp;"|"&amp;1,Índice!$A$4:$A$1000,0)),"")</f>
        <v>CSHQ-PT — Hábitos de Sono da Criança (Pais)</v>
      </c>
      <c r="C4" s="6" t="str">
        <f aca="false">IFERROR(INDEX(Catálogo!C$4:C$1000,MATCH($A$1&amp;"|"&amp;1,Índice!$A$4:$A$1000,0)),"")</f>
        <v>Sono</v>
      </c>
      <c r="D4" s="6" t="str">
        <f aca="false">IFERROR(INDEX(Catálogo!D$4:D$1000,MATCH($A$1&amp;"|"&amp;1,Índice!$A$4:$A$1000,0)),"")</f>
        <v>Mãe, Pai, Enc. Educação</v>
      </c>
      <c r="E4" s="6" t="str">
        <f aca="false">IFERROR(INDEX(Catálogo!E$4:E$1000,MATCH($A$1&amp;"|"&amp;1,Índice!$A$4:$A$1000,0)),"")</f>
        <v>2–10 anos</v>
      </c>
      <c r="F4" s="5" t="n">
        <f aca="false">IFERROR(INDEX(Catálogo!F$4:F$1000,MATCH($A$1&amp;"|"&amp;1,Índice!$A$4:$A$1000,0)),"")</f>
        <v>2</v>
      </c>
      <c r="G4" s="5" t="n">
        <f aca="false">IFERROR(INDEX(Catálogo!G$4:G$1000,MATCH($A$1&amp;"|"&amp;1,Índice!$A$4:$A$1000,0)),"")</f>
        <v>10.9</v>
      </c>
      <c r="H4" s="5" t="n">
        <f aca="false">IFERROR(INDEX(Catálogo!H$4:H$1000,MATCH($A$1&amp;"|"&amp;1,Índice!$A$4:$A$1000,0)),"")</f>
        <v>9</v>
      </c>
      <c r="I4" s="6" t="str">
        <f aca="false">IFERROR(INDEX(Catálogo!I$4:I$1000,MATCH($A$1&amp;"|"&amp;1,Índice!$A$4:$A$1000,0)),"")</f>
        <v>Rastreio dos hábitos e problemas de sono por heteroavaliação parental (33 itens, escala de frequência). Cotação em 8 subescalas + Índice de Perturbação do Sono (IPS). Ponto de corte da validação portuguesa: IPS ≥ 48 = rastreio positivo (Silva et al., 2013). Rastreio, não diagnóstico.</v>
      </c>
      <c r="J4" s="6" t="str">
        <f aca="false">IFERROR(INDEX(Catálogo!J$4:J$1000,MATCH($A$1&amp;"|"&amp;1,Índice!$A$4:$A$1000,0)),"")</f>
        <v>Resistência em ir para a cama; Início do sono; Duração do sono; Ansiedade associada ao sono; Despertares noturnos; Parassónias; Perturbação respiratória do sono; Sonolência diurna; Índice de Perturbação do Sono (IPS)</v>
      </c>
      <c r="K4" s="6" t="str">
        <f aca="false">IFERROR(INDEX(Catálogo!K$4:K$1000,MATCH($A$1&amp;"|"&amp;1,Índice!$A$4:$A$1000,0)),"")</f>
        <v>cshq_pt_pais</v>
      </c>
      <c r="L4" s="6" t="str">
        <f aca="false">IFERROR(INDEX(Catálogo!L$4:L$1000,MATCH($A$1&amp;"|"&amp;1,Índice!$A$4:$A$1000,0)),"")</f>
        <v>q_cshq_pt_pais</v>
      </c>
      <c r="M4" s="7" t="str">
        <f aca="false">IFERROR(INDEX(Catálogo!M$4:M$1000,MATCH($A$1&amp;"|"&amp;1,Índice!$A$4:$A$1000,0)),"")</f>
        <v>https://correiaricardina-ui.github.io/questionarios/CSHQ_PT_Pais_v1.html</v>
      </c>
    </row>
    <row r="5" customFormat="false" ht="42" hidden="false" customHeight="true" outlineLevel="0" collapsed="false">
      <c r="A5" s="5" t="n">
        <f aca="false">IFERROR(INDEX(Catálogo!A$4:A$1000,MATCH($A$1&amp;"|"&amp;2,Índice!$A$4:$A$1000,0)),"")</f>
        <v>154</v>
      </c>
      <c r="B5" s="6" t="str">
        <f aca="false">IFERROR(INDEX(Catálogo!B$4:B$1000,MATCH($A$1&amp;"|"&amp;2,Índice!$A$4:$A$1000,0)),"")</f>
        <v>SSR-PT — Auto-Relato sobre o Sono</v>
      </c>
      <c r="C5" s="6" t="str">
        <f aca="false">IFERROR(INDEX(Catálogo!C$4:C$1000,MATCH($A$1&amp;"|"&amp;2,Índice!$A$4:$A$1000,0)),"")</f>
        <v>Sono</v>
      </c>
      <c r="D5" s="6" t="str">
        <f aca="false">IFERROR(INDEX(Catálogo!D$4:D$1000,MATCH($A$1&amp;"|"&amp;2,Índice!$A$4:$A$1000,0)),"")</f>
        <v>Paciente</v>
      </c>
      <c r="E5" s="6" t="str">
        <f aca="false">IFERROR(INDEX(Catálogo!E$4:E$1000,MATCH($A$1&amp;"|"&amp;2,Índice!$A$4:$A$1000,0)),"")</f>
        <v>7–12 anos</v>
      </c>
      <c r="F5" s="5" t="n">
        <f aca="false">IFERROR(INDEX(Catálogo!F$4:F$1000,MATCH($A$1&amp;"|"&amp;2,Índice!$A$4:$A$1000,0)),"")</f>
        <v>7</v>
      </c>
      <c r="G5" s="5" t="n">
        <f aca="false">IFERROR(INDEX(Catálogo!G$4:G$1000,MATCH($A$1&amp;"|"&amp;2,Índice!$A$4:$A$1000,0)),"")</f>
        <v>12.9</v>
      </c>
      <c r="H5" s="5" t="n">
        <f aca="false">IFERROR(INDEX(Catálogo!H$4:H$1000,MATCH($A$1&amp;"|"&amp;2,Índice!$A$4:$A$1000,0)),"")</f>
        <v>8</v>
      </c>
      <c r="I5" s="6" t="str">
        <f aca="false">IFERROR(INDEX(Catálogo!I$4:I$1000,MATCH($A$1&amp;"|"&amp;2,Índice!$A$4:$A$1000,0)),"")</f>
        <v>Auto-relato dos hábitos e problemas de sono (itens cotados 4–26, escala de frequência). Cotação em 7 subescalas + Total SSR. Cut-off Total &gt; 41 = perturbação global do sono (Owens et al., 2000). Rastreio, não diagnóstico; integrar com relato parental (ex. CSHQ-PT).</v>
      </c>
      <c r="J5" s="6" t="str">
        <f aca="false">IFERROR(INDEX(Catálogo!J$4:J$1000,MATCH($A$1&amp;"|"&amp;2,Índice!$A$4:$A$1000,0)),"")</f>
        <v>Resistência ao Deitar; Início do Sono; Duração do Sono; Ansiedade do Sono; Despertares Noturnos; Parassónias; Sonolência Diurna; Total SSR</v>
      </c>
      <c r="K5" s="6" t="str">
        <f aca="false">IFERROR(INDEX(Catálogo!K$4:K$1000,MATCH($A$1&amp;"|"&amp;2,Índice!$A$4:$A$1000,0)),"")</f>
        <v>ssr_pt</v>
      </c>
      <c r="L5" s="6" t="str">
        <f aca="false">IFERROR(INDEX(Catálogo!L$4:L$1000,MATCH($A$1&amp;"|"&amp;2,Índice!$A$4:$A$1000,0)),"")</f>
        <v>q_ssr_pt</v>
      </c>
      <c r="M5" s="7" t="str">
        <f aca="false">IFERROR(INDEX(Catálogo!M$4:M$1000,MATCH($A$1&amp;"|"&amp;2,Índice!$A$4:$A$1000,0)),"")</f>
        <v>https://correiaricardina-ui.github.io/questionarios/SSR_PT_v1.html</v>
      </c>
    </row>
    <row r="6" customFormat="false" ht="42" hidden="false" customHeight="true" outlineLevel="0" collapsed="false">
      <c r="A6" s="5" t="n">
        <f aca="false">IFERROR(INDEX(Catálogo!A$4:A$1000,MATCH($A$1&amp;"|"&amp;3,Índice!$A$4:$A$1000,0)),"")</f>
        <v>164</v>
      </c>
      <c r="B6" s="6" t="str">
        <f aca="false">IFERROR(INDEX(Catálogo!B$4:B$1000,MATCH($A$1&amp;"|"&amp;3,Índice!$A$4:$A$1000,0)),"")</f>
        <v>AIS-8 — Escala de Insónia de Atenas</v>
      </c>
      <c r="C6" s="6" t="str">
        <f aca="false">IFERROR(INDEX(Catálogo!C$4:C$1000,MATCH($A$1&amp;"|"&amp;3,Índice!$A$4:$A$1000,0)),"")</f>
        <v>Sono</v>
      </c>
      <c r="D6" s="6" t="str">
        <f aca="false">IFERROR(INDEX(Catálogo!D$4:D$1000,MATCH($A$1&amp;"|"&amp;3,Índice!$A$4:$A$1000,0)),"")</f>
        <v>Paciente</v>
      </c>
      <c r="E6" s="6" t="str">
        <f aca="false">IFERROR(INDEX(Catálogo!E$4:E$1000,MATCH($A$1&amp;"|"&amp;3,Índice!$A$4:$A$1000,0)),"")</f>
        <v>≥ 12 anos</v>
      </c>
      <c r="F6" s="5" t="n">
        <f aca="false">IFERROR(INDEX(Catálogo!F$4:F$1000,MATCH($A$1&amp;"|"&amp;3,Índice!$A$4:$A$1000,0)),"")</f>
        <v>12</v>
      </c>
      <c r="G6" s="5" t="n">
        <f aca="false">IFERROR(INDEX(Catálogo!G$4:G$1000,MATCH($A$1&amp;"|"&amp;3,Índice!$A$4:$A$1000,0)),"")</f>
        <v>99</v>
      </c>
      <c r="H6" s="5" t="n">
        <f aca="false">IFERROR(INDEX(Catálogo!H$4:H$1000,MATCH($A$1&amp;"|"&amp;3,Índice!$A$4:$A$1000,0)),"")</f>
        <v>5</v>
      </c>
      <c r="I6" s="6" t="str">
        <f aca="false">IFERROR(INDEX(Catálogo!I$4:I$1000,MATCH($A$1&amp;"|"&amp;3,Índice!$A$4:$A$1000,0)),"")</f>
        <v>Rastreio de insónia clinicamente significativa e monitorização da evolução (Soldatos, Dikeos &amp; Paparrigopoulos, 2000, 2003). Autorrelato, 8 itens, escala ordinal 0–3, período de referência: último mês. Estrutura em dois blocos: itens 1–5 sono noturno (AIS-5) e itens 6–8 consequências diurnas. Todos os itens directos — sem itens invertidos e sem ponderações; total = soma dos 8 itens (0–24). Ponto de corte total ≥ 6 (sensibilidade 93%, especificidade 85%, 90% de classificação correta; regressão logística contra diagnóstico CID-10 de insónia não orgânica, amostra clínica adulta grega — NÃO validado em adolescentes). Bandas descritivas de gravidade de Okajima et al. (2020), critério ISI, amostra comunitária adulta japonesa — estatuto descritivo/exploratório. NÃO existem normas portuguesas e a formulação PT-PT dos itens não corresponde a uma versão portuguesa validada: comparações com dados normativos internacionais exigem reserva. Instrumento de rastreio e monitorização — não estabelece diagnóstico isoladamente: um resultado abaixo do ponto de corte não exclui perturbação do sono e um resultado acima não a confirma. Em adolescentes, integrar sempre com hábitos, rotinas e higiene do sono, ansiedade e ruminação pré-sono, impacto escolar e emocional, e discrepâncias pais ↔ autorrelato; quando indicado, complementar com diário de sono e avaliação médica.</v>
      </c>
      <c r="J6" s="6" t="str">
        <f aca="false">IFERROR(INDEX(Catálogo!J$4:J$1000,MATCH($A$1&amp;"|"&amp;3,Índice!$A$4:$A$1000,0)),"")</f>
        <v>Índice noturno — AIS-5 (itens 1–5; 0–15) — sintomatologia noturna: dificuldade em adormecer (indução), despertares durante a noite (manutenção), acordar mais cedo do que desejado (despertar final), duração total do sono e qualidade global do sono; Índice diurno (itens 6–8; 0–9) — repercussão diurna: sensação de bem-estar durante o dia, funcionamento diário (atenção, energia, desempenho) e sonolência durante o dia; Total AIS-8 (0–24) — soma directa dos 8 itens; Banda descritiva de gravidade — 0–5 Ausência de insónia · 6–9 Insónia ligeira · 10–15 Insónia moderada · 16–24 Insónia grave (Okajima et al., 2020; leitura exploratória em adolescentes); Rastreio (ponto de corte ≥ 6) — positivo/negativo face ao ponto de corte de Soldatos et al. (2003). Indicadores auxiliares descritivos, sem estatuto diagnóstico: nº de itens com resposta ≥ 2 (extensão da sintomatologia) e nº de itens com resposta = 3 (intensidade máxima referida); perfil dimensional por comparação da % do máximo entre índice noturno e índice diurno (diferença ≥ 20 pontos percentuais = predomínio relativo).</v>
      </c>
      <c r="K6" s="6" t="str">
        <f aca="false">IFERROR(INDEX(Catálogo!K$4:K$1000,MATCH($A$1&amp;"|"&amp;3,Índice!$A$4:$A$1000,0)),"")</f>
        <v>ais8</v>
      </c>
      <c r="L6" s="6" t="str">
        <f aca="false">IFERROR(INDEX(Catálogo!L$4:L$1000,MATCH($A$1&amp;"|"&amp;3,Índice!$A$4:$A$1000,0)),"")</f>
        <v>q_ais8</v>
      </c>
      <c r="M6" s="7" t="str">
        <f aca="false">IFERROR(INDEX(Catálogo!M$4:M$1000,MATCH($A$1&amp;"|"&amp;3,Índice!$A$4:$A$1000,0)),"")</f>
        <v>https://correiaricardina-ui.github.io/questionarios/AIS_8_v1.html</v>
      </c>
    </row>
    <row r="7" customFormat="false" ht="42" hidden="false" customHeight="true" outlineLevel="0" collapsed="false">
      <c r="A7" s="5" t="n">
        <f aca="false">IFERROR(INDEX(Catálogo!A$4:A$1000,MATCH($A$1&amp;"|"&amp;4,Índice!$A$4:$A$1000,0)),"")</f>
        <v>184</v>
      </c>
      <c r="B7" s="6" t="str">
        <f aca="false">IFERROR(INDEX(Catálogo!B$4:B$1000,MATCH($A$1&amp;"|"&amp;4,Índice!$A$4:$A$1000,0)),"")</f>
        <v>ESS — Escala de Sonolência de Epworth</v>
      </c>
      <c r="C7" s="6" t="str">
        <f aca="false">IFERROR(INDEX(Catálogo!C$4:C$1000,MATCH($A$1&amp;"|"&amp;4,Índice!$A$4:$A$1000,0)),"")</f>
        <v>Sono</v>
      </c>
      <c r="D7" s="6" t="str">
        <f aca="false">IFERROR(INDEX(Catálogo!D$4:D$1000,MATCH($A$1&amp;"|"&amp;4,Índice!$A$4:$A$1000,0)),"")</f>
        <v>Próprio, Mãe, Pai</v>
      </c>
      <c r="E7" s="6" t="str">
        <f aca="false">IFERROR(INDEX(Catálogo!E$4:E$1000,MATCH($A$1&amp;"|"&amp;4,Índice!$A$4:$A$1000,0)),"")</f>
        <v>18–99 anos</v>
      </c>
      <c r="F7" s="5" t="n">
        <f aca="false">IFERROR(INDEX(Catálogo!F$4:F$1000,MATCH($A$1&amp;"|"&amp;4,Índice!$A$4:$A$1000,0)),"")</f>
        <v>18</v>
      </c>
      <c r="G7" s="5" t="n">
        <f aca="false">IFERROR(INDEX(Catálogo!G$4:G$1000,MATCH($A$1&amp;"|"&amp;4,Índice!$A$4:$A$1000,0)),"")</f>
        <v>99</v>
      </c>
      <c r="H7" s="5" t="n">
        <f aca="false">IFERROR(INDEX(Catálogo!H$4:H$1000,MATCH($A$1&amp;"|"&amp;4,Índice!$A$4:$A$1000,0)),"")</f>
        <v>14</v>
      </c>
      <c r="I7" s="6" t="str">
        <f aca="false">IFERROR(INDEX(Catálogo!I$4:I$1000,MATCH($A$1&amp;"|"&amp;4,Índice!$A$4:$A$1000,0)),"")</f>
        <v>Rastreio da sonolência diurna excessiva por autorrelato (Johns, 1991; versão portuguesa CEISUC/LEPS, 2001). 8 itens, escala ordinal 0–3, todos directos — sem itens invertidos e sem ponderações; total = soma simples (0–24). Mede a propensão média para ADORMECER em situações quotidianas de baixa e média ativação, tomando como referência o modo de vida habitual no período recente: não mede fadiga, cansaço subjetivo, sonolência momentânea no ato de resposta nem qualidade do sono. Coexistem três sistemas interpretativos e nenhum foi suprimido: Sistema A como referência primária (0–7 sonolência normal · 8–10 sonolência média · 11–15 sonolência excessiva moderada · 16–24 sonolência excessiva grave); critério dicotómico impresso no formulário da versão portuguesa, total ≥ 10; bandas de Johns (0–5 · 6–10 · 11–12 · 13–15 · 16–24). Os dois primeiros divergem EXCLUSIVAMENTE na pontuação 10, em que o Sistema A mantém «Sonolência média» e o critério português é positivo — divergência assinalada automaticamente e não resolvida pelo sistema (anomalia A-01); a escolha da referência a reportar é clínica. NÃO existem normas portuguesas por idade e sexo: não são gerados percentis nem T-scores (anomalia A-04). Validada para ADULTOS (≥ 18 anos) — abaixo dos 18 usar a ESS-CHAD (Janssen et al., 2017); o painel emite alerta etário automático. Instrumento de autopreenchimento: mede a sonolência de QUEM PREENCHE, pelo que aplicada a um progenitor descreve o progenitor e não a criança — o código do paciente identifica o processo, não o sujeito da medida. Completude: 8/8 itens para protocolo válido (R3); com 6 ou 7 itens gera estimativa pró-rateada [(soma / n) × 8, arredondada], exploratória e não comparável a normas (R4); abaixo de 6 itens não produz pontuação (R5); o item 8 (ao volante) pressupõe a condição de condutor e, em não condutores, fica em branco com pró-rateio e comparabilidade «Limitada» (R6). Medida de RASTREIO: não diagnostica apneia obstrutiva do sono, narcolepsia, hipersonolência idiopática nem privação crónica de sono, e não substitui a avaliação médica do sono nem o estudo polissonográfico — uma pontuação baixa não exclui patologia do sono e uma pontuação elevada não estabelece a sua etiologia.</v>
      </c>
      <c r="J7" s="6" t="str">
        <f aca="false">IFERROR(INDEX(Catálogo!J$4:J$1000,MATCH($A$1&amp;"|"&amp;4,Índice!$A$4:$A$1000,0)),"")</f>
        <v>Pontuação total ESS (0–24) — única saída com cotação; instrumento unidimensional, sem subescalas; Classificação pelo Sistema A, referência primária (0–7 sonolência normal · 8–10 sonolência média · 11–15 sonolência excessiva moderada · 16–24 sonolência excessiva grave); Critério dicotómico da versão portuguesa CEISUC/LEPS (2001), coincidente com o critério original de Johns (1991) — total ≥ 10 indica sonolência diurna excessiva; Bandas de referência de Johns, Sistema C (0–5 normal baixa · 6–10 normal elevada · 11–12 excessiva ligeira · 13–15 excessiva moderada · 16–24 excessiva grave), reportadas em paralelo para rastreabilidade bibliográfica; Concordância entre sistemas — assinala a divergência única na pontuação 10 (anomalia A-01), sem a resolver; Natureza da pontuação — distinção entre valor observado (8/8 itens) e estimativa pró-rateada (6–7 itens), esta última não comparável a normas; Validade do protocolo — regras R3 (8/8 válido), R4 (6–7 itens, pró-rateio), R5 (&lt; 6 itens, sem pontuação) e R6 (item 8 não aplicável a não condutores); Comparabilidade normativa — «Aplicável» apenas com protocolo completo e item 8 aplicável, caso contrário «Limitada» ou «Não aplicável»; Agrupamento descritivo exploratório G1, situações de baixa ativação (itens 1–5; 0–15) — estritamente descritivo, sem normas nem pontos de corte (R7), não reportar como subescala; Agrupamento descritivo exploratório G2, situações de ativação intermédia a elevada (itens 6–8; 0–9) — estritamente descritivo, sem normas nem pontos de corte (R7), não reportar como subescala; Diferencial G2 − G1 (médias por item) — valor positivo indica propensão a adormecer também em situações de maior ativação; indicador descritivo, sem ponto de corte; Indicadores de padrão — pontuação máxima num item, número de itens cotados em 3, em ≥ 2 e em 0; Sinalizador descritivo de contexto de veículo (soma dos itens 4 e 8 ≥ 4, de um máximo de 6) — orienta a entrevista quanto a segurança rodoviária e não constitui juízo sobre aptidão para conduzir; Sinalizador de aplicabilidade etária — alerta automático quando a idade de quem responde é inferior a 18 anos.</v>
      </c>
      <c r="K7" s="6" t="str">
        <f aca="false">IFERROR(INDEX(Catálogo!K$4:K$1000,MATCH($A$1&amp;"|"&amp;4,Índice!$A$4:$A$1000,0)),"")</f>
        <v>ess</v>
      </c>
      <c r="L7" s="6" t="str">
        <f aca="false">IFERROR(INDEX(Catálogo!L$4:L$1000,MATCH($A$1&amp;"|"&amp;4,Índice!$A$4:$A$1000,0)),"")</f>
        <v>q_ess</v>
      </c>
      <c r="M7" s="7" t="str">
        <f aca="false">IFERROR(INDEX(Catálogo!M$4:M$1000,MATCH($A$1&amp;"|"&amp;4,Índice!$A$4:$A$1000,0)),"")</f>
        <v>https://correiaricardina-ui.github.io/questionarios/ESS_Epworth_v1.html</v>
      </c>
    </row>
    <row r="8" customFormat="false" ht="42" hidden="false" customHeight="true" outlineLevel="0" collapsed="false">
      <c r="A8" s="5" t="n">
        <f aca="false">IFERROR(INDEX(Catálogo!A$4:A$1000,MATCH($A$1&amp;"|"&amp;5,Índice!$A$4:$A$1000,0)),"")</f>
        <v>185</v>
      </c>
      <c r="B8" s="6" t="str">
        <f aca="false">IFERROR(INDEX(Catálogo!B$4:B$1000,MATCH($A$1&amp;"|"&amp;5,Índice!$A$4:$A$1000,0)),"")</f>
        <v>STOP-BANG — Rastreio de Risco de Apneia Obstrutiva do Sono</v>
      </c>
      <c r="C8" s="6" t="str">
        <f aca="false">IFERROR(INDEX(Catálogo!C$4:C$1000,MATCH($A$1&amp;"|"&amp;5,Índice!$A$4:$A$1000,0)),"")</f>
        <v>Sono</v>
      </c>
      <c r="D8" s="6" t="str">
        <f aca="false">IFERROR(INDEX(Catálogo!D$4:D$1000,MATCH($A$1&amp;"|"&amp;5,Índice!$A$4:$A$1000,0)),"")</f>
        <v>Próprio, Mãe, Pai</v>
      </c>
      <c r="E8" s="6" t="str">
        <f aca="false">IFERROR(INDEX(Catálogo!E$4:E$1000,MATCH($A$1&amp;"|"&amp;5,Índice!$A$4:$A$1000,0)),"")</f>
        <v>18–99 anos</v>
      </c>
      <c r="F8" s="5" t="n">
        <f aca="false">IFERROR(INDEX(Catálogo!F$4:F$1000,MATCH($A$1&amp;"|"&amp;5,Índice!$A$4:$A$1000,0)),"")</f>
        <v>18</v>
      </c>
      <c r="G8" s="5" t="n">
        <f aca="false">IFERROR(INDEX(Catálogo!G$4:G$1000,MATCH($A$1&amp;"|"&amp;5,Índice!$A$4:$A$1000,0)),"")</f>
        <v>99</v>
      </c>
      <c r="H8" s="5" t="n">
        <f aca="false">IFERROR(INDEX(Catálogo!H$4:H$1000,MATCH($A$1&amp;"|"&amp;5,Índice!$A$4:$A$1000,0)),"")</f>
        <v>15</v>
      </c>
      <c r="I8" s="6" t="str">
        <f aca="false">IFERROR(INDEX(Catálogo!I$4:I$1000,MATCH($A$1&amp;"|"&amp;5,Índice!$A$4:$A$1000,0)),"")</f>
        <v>Rastreio do RISCO de síndrome de apneia obstrutiva do sono por acumulação de oito fatores binários — quatro sintomáticos (bloco STOP: ressonar, cansaço ou sonolência diurna, apneias observadas, hipertensão arterial) e quatro objetivos (bloco BANG: índice de massa corporal, idade, perímetro cervical, sexo). Total 0–8, soma simples e sem ponderações. ⚠ NÃO é um formulário auto-administrado: o STOP-BANG é um instrumento PROPRIETÁRIO (Frances Chung e University Health Network, Toronto; www.stopbang.ca) e a ficha foi construída em VIA A-RESTRITA — reproduz apenas as designações dos domínios do acrónimo e os critérios operacionais objetivos, que constituem factos clínicos e não expressão protegida, e NÃO reproduz os enunciados dos itens. A ampla circulação pública do questionário não equivale a licença de redistribuição, e a publicação da validação portuguesa (Reis et al., 2015) não transfere direitos sobre o instrumento. Opera em complemento do formulário original em uso no serviço, do qual o profissional transcreve as quatro respostas do bloco STOP; os quatro indicadores do bloco BANG são derivados automaticamente dos dados clínicos brutos (idade, sexo, peso, altura, perímetro cervical), com os critérios IMC &gt; 35 kg/m², idade &gt; 50 anos, perímetro cervical acima do limiar e sexo masculino. O perímetro cervical é cotado por DOIS critérios em paralelo: o critério português, &gt; 40 cm e indiferenciado por sexo (Reis et al., 2015, e versão original de 2008), que constitui a pontuação PRINCIPAL, e o critério da versão atual do detentor, masculino ≥ 43 cm e feminino ≥ 41 cm, que funciona como verificação de concordância — a divergência entre os dois totais é assinalada e NÃO é resolvida automaticamente, cabendo ao clínico a escolha do critério a reportar. Classificação em dois níveis: bandas do documento-fonte (0–2 risco baixo · 3–4 risco intermédio · ≥ 5 risco elevado) e, sobre estas, o refinamento da faixa intermédia de Chung, Abdullah &amp; Liao (Chest, 2016), que reclassifica como risco elevado as pontuações 3–4 com STOP ≥ 2 e pelo menos um de IMC, perímetro cervical ou sexo masculino positivos. As probabilidades previstas provêm de regressão logística numa amostra portuguesa de clínica do sono (Reis et al., 2015) e existem publicadas apenas para as pontuações 3 a 6 (qualquer grau) e 6 a 8 (forma grave); as restantes apresentam «n.d.», sem qualquer interpolação — e, tratando-se de uma população com prevalência de base elevada, a sua transposição para rastreio comunitário ou cuidados de saúde primários SOBRESTIMA o risco. ⚠ Validado exclusivamente em população ADULTA (≥ 18 anos): os critérios «idade &gt; 50» e «IMC &gt; 35» carecem de significado em idade pediátrica, onde os preditores de apneia obstrutiva são distintos (hipertrofia adenoamigdalina como fator dominante); o ficheiro bloqueia a introdução de idades inferiores a 18 anos. ⚠ Índice FORMATIVO de acumulação de fatores de risco e não escala reflexiva de um construto latente: os oito indicadores são causas do estatuto de risco e não manifestações de uma dimensão comum, pelo que os coeficientes de consistência interna (alfa, ómega) e a análise fatorial dos itens são metodologicamente inaplicáveis, e não existem subescalas — STOP e BANG são blocos de contagem. ⚠ Instrumento de RASTREIO: sensibilidade elevada (93,4% para IAH ≥ 5 no ponto de corte ≥ 3) e especificidade baixa (48,9% no mesmo corte), pelo que se destina a EXCLUIR com segurança e não a confirmar — uma classificação de risco elevado indica probabilidade acrescida e justifica referenciação para avaliação especializada, não estabelecendo por si o diagnóstico, que exige estudo do sono.</v>
      </c>
      <c r="J8" s="6" t="str">
        <f aca="false">IFERROR(INDEX(Catálogo!J$4:J$1000,MATCH($A$1&amp;"|"&amp;5,Índice!$A$4:$A$1000,0)),"")</f>
        <v>Pontuação total pelo critério português (0–8) — saída principal; soma dos oito indicadores binários, sem ponderações; Subtotal do bloco STOP, itens 1–4, indicadores sintomáticos (0–4) — bloco de contagem, NÃO subescala; Subtotal do bloco BANG, itens 5–8, indicadores objetivos (0–4) — bloco de contagem, NÃO subescala; Cotação item a item — Ressonar (S), Cansaço ou sonolência diurna (T), Apneias observadas (O), Hipertensão arterial (P), Índice de massa corporal (B), Idade (A), Perímetro cervical (N), Sexo (G); Índice de massa corporal derivado automaticamente do peso e da altura (kg/m²), com o critério operacional &gt; 35; Cotação paralela do perímetro cervical — critério português &gt; 40 cm indiferenciado por sexo (principal) e critério da University Health Network, masculino ≥ 43 cm e feminino ≥ 41 cm (verificação); Pontuação total pelo critério UHN (0–8) — cálculo paralelo, exclusivamente para verificação de concordância; Concordância entre critérios de perímetro cervical — assinala a divergência quando os dois totais diferem, sem a resolver; Nível 1 · Banda de risco do documento-fonte (0–2 risco baixo · 3–4 risco intermédio · ≥ 5 risco elevado); Nível 2 · Classificação final com refinamento da faixa intermédia (Chung, Abdullah &amp; Liao, 2016) — pontuação 3–4 com STOP ≥ 2 e IMC, perímetro cervical ou sexo masculino positivos passa a «Risco elevado (reclassificado)»; Classificação paralela pelo critério UHN — mesmas bandas aplicadas ao total do critério diferenciado por sexo; Probabilidade prevista de SAOS de qualquer grau (Reis et al., 2015) — publicada apenas para as pontuações 3 a 6 (64%, 80%, 90%, 95%); restantes «n.d.», sem interpolação; Probabilidade prevista de SAOS grave, IAH ≥ 30 (Reis et al., 2015) — publicada apenas para as pontuações 6 a 8 (46%, 61%, 73%); restantes «n.d.», sem interpolação; Elegibilidade etária — sinalizador de bloqueio automático abaixo dos 18 anos, por o instrumento não estar validado em idade pediátrica; Estado do protocolo — a cotação só é produzida com a totalidade dos dados clínicos objetivos e das quatro respostas do bloco STOP.</v>
      </c>
      <c r="K8" s="6" t="str">
        <f aca="false">IFERROR(INDEX(Catálogo!K$4:K$1000,MATCH($A$1&amp;"|"&amp;5,Índice!$A$4:$A$1000,0)),"")</f>
        <v>stopbang</v>
      </c>
      <c r="L8" s="6" t="str">
        <f aca="false">IFERROR(INDEX(Catálogo!L$4:L$1000,MATCH($A$1&amp;"|"&amp;5,Índice!$A$4:$A$1000,0)),"")</f>
        <v>q_stopbang</v>
      </c>
      <c r="M8" s="7" t="str">
        <f aca="false">IFERROR(INDEX(Catálogo!M$4:M$1000,MATCH($A$1&amp;"|"&amp;5,Índice!$A$4:$A$1000,0)),"")</f>
        <v>https://correiaricardina-ui.github.io/questionarios/STOPBANG_v1.html</v>
      </c>
    </row>
    <row r="9" customFormat="false" ht="42" hidden="false" customHeight="true" outlineLevel="0" collapsed="false">
      <c r="A9" s="5" t="str">
        <f aca="false">IFERROR(INDEX(Catálogo!A$4:A$1000,MATCH($A$1&amp;"|"&amp;6,Índice!$A$4:$A$1000,0)),"")</f>
        <v/>
      </c>
      <c r="B9" s="6" t="str">
        <f aca="false">IFERROR(INDEX(Catálogo!B$4:B$1000,MATCH($A$1&amp;"|"&amp;6,Índice!$A$4:$A$1000,0)),"")</f>
        <v/>
      </c>
      <c r="C9" s="6" t="str">
        <f aca="false">IFERROR(INDEX(Catálogo!C$4:C$1000,MATCH($A$1&amp;"|"&amp;6,Índice!$A$4:$A$1000,0)),"")</f>
        <v/>
      </c>
      <c r="D9" s="6" t="str">
        <f aca="false">IFERROR(INDEX(Catálogo!D$4:D$1000,MATCH($A$1&amp;"|"&amp;6,Índice!$A$4:$A$1000,0)),"")</f>
        <v/>
      </c>
      <c r="E9" s="6" t="str">
        <f aca="false">IFERROR(INDEX(Catálogo!E$4:E$1000,MATCH($A$1&amp;"|"&amp;6,Índice!$A$4:$A$1000,0)),"")</f>
        <v/>
      </c>
      <c r="F9" s="5" t="str">
        <f aca="false">IFERROR(INDEX(Catálogo!F$4:F$1000,MATCH($A$1&amp;"|"&amp;6,Índice!$A$4:$A$1000,0)),"")</f>
        <v/>
      </c>
      <c r="G9" s="5" t="str">
        <f aca="false">IFERROR(INDEX(Catálogo!G$4:G$1000,MATCH($A$1&amp;"|"&amp;6,Índice!$A$4:$A$1000,0)),"")</f>
        <v/>
      </c>
      <c r="H9" s="5" t="str">
        <f aca="false">IFERROR(INDEX(Catálogo!H$4:H$1000,MATCH($A$1&amp;"|"&amp;6,Índice!$A$4:$A$1000,0)),"")</f>
        <v/>
      </c>
      <c r="I9" s="6" t="str">
        <f aca="false">IFERROR(INDEX(Catálogo!I$4:I$1000,MATCH($A$1&amp;"|"&amp;6,Índice!$A$4:$A$1000,0)),"")</f>
        <v/>
      </c>
      <c r="J9" s="6" t="str">
        <f aca="false">IFERROR(INDEX(Catálogo!J$4:J$1000,MATCH($A$1&amp;"|"&amp;6,Índice!$A$4:$A$1000,0)),"")</f>
        <v/>
      </c>
      <c r="K9" s="6" t="str">
        <f aca="false">IFERROR(INDEX(Catálogo!K$4:K$1000,MATCH($A$1&amp;"|"&amp;6,Índice!$A$4:$A$1000,0)),"")</f>
        <v/>
      </c>
      <c r="L9" s="6" t="str">
        <f aca="false">IFERROR(INDEX(Catálogo!L$4:L$1000,MATCH($A$1&amp;"|"&amp;6,Índice!$A$4:$A$1000,0)),"")</f>
        <v/>
      </c>
      <c r="M9" s="7" t="str">
        <f aca="false">IFERROR(INDEX(Catálogo!M$4:M$1000,MATCH($A$1&amp;"|"&amp;6,Índice!$A$4:$A$1000,0)),"")</f>
        <v/>
      </c>
    </row>
    <row r="10" customFormat="false" ht="42" hidden="false" customHeight="true" outlineLevel="0" collapsed="false">
      <c r="A10" s="5" t="str">
        <f aca="false">IFERROR(INDEX(Catálogo!A$4:A$1000,MATCH($A$1&amp;"|"&amp;7,Índice!$A$4:$A$1000,0)),"")</f>
        <v/>
      </c>
      <c r="B10" s="6" t="str">
        <f aca="false">IFERROR(INDEX(Catálogo!B$4:B$1000,MATCH($A$1&amp;"|"&amp;7,Índice!$A$4:$A$1000,0)),"")</f>
        <v/>
      </c>
      <c r="C10" s="6" t="str">
        <f aca="false">IFERROR(INDEX(Catálogo!C$4:C$1000,MATCH($A$1&amp;"|"&amp;7,Índice!$A$4:$A$1000,0)),"")</f>
        <v/>
      </c>
      <c r="D10" s="6" t="str">
        <f aca="false">IFERROR(INDEX(Catálogo!D$4:D$1000,MATCH($A$1&amp;"|"&amp;7,Índice!$A$4:$A$1000,0)),"")</f>
        <v/>
      </c>
      <c r="E10" s="6" t="str">
        <f aca="false">IFERROR(INDEX(Catálogo!E$4:E$1000,MATCH($A$1&amp;"|"&amp;7,Índice!$A$4:$A$1000,0)),"")</f>
        <v/>
      </c>
      <c r="F10" s="5" t="str">
        <f aca="false">IFERROR(INDEX(Catálogo!F$4:F$1000,MATCH($A$1&amp;"|"&amp;7,Índice!$A$4:$A$1000,0)),"")</f>
        <v/>
      </c>
      <c r="G10" s="5" t="str">
        <f aca="false">IFERROR(INDEX(Catálogo!G$4:G$1000,MATCH($A$1&amp;"|"&amp;7,Índice!$A$4:$A$1000,0)),"")</f>
        <v/>
      </c>
      <c r="H10" s="5" t="str">
        <f aca="false">IFERROR(INDEX(Catálogo!H$4:H$1000,MATCH($A$1&amp;"|"&amp;7,Índice!$A$4:$A$1000,0)),"")</f>
        <v/>
      </c>
      <c r="I10" s="6" t="str">
        <f aca="false">IFERROR(INDEX(Catálogo!I$4:I$1000,MATCH($A$1&amp;"|"&amp;7,Índice!$A$4:$A$1000,0)),"")</f>
        <v/>
      </c>
      <c r="J10" s="6" t="str">
        <f aca="false">IFERROR(INDEX(Catálogo!J$4:J$1000,MATCH($A$1&amp;"|"&amp;7,Índice!$A$4:$A$1000,0)),"")</f>
        <v/>
      </c>
      <c r="K10" s="6" t="str">
        <f aca="false">IFERROR(INDEX(Catálogo!K$4:K$1000,MATCH($A$1&amp;"|"&amp;7,Índice!$A$4:$A$1000,0)),"")</f>
        <v/>
      </c>
      <c r="L10" s="6" t="str">
        <f aca="false">IFERROR(INDEX(Catálogo!L$4:L$1000,MATCH($A$1&amp;"|"&amp;7,Índice!$A$4:$A$1000,0)),"")</f>
        <v/>
      </c>
      <c r="M10" s="7" t="str">
        <f aca="false">IFERROR(INDEX(Catálogo!M$4:M$1000,MATCH($A$1&amp;"|"&amp;7,Índice!$A$4:$A$1000,0)),"")</f>
        <v/>
      </c>
    </row>
    <row r="11" customFormat="false" ht="42" hidden="false" customHeight="true" outlineLevel="0" collapsed="false">
      <c r="A11" s="5" t="str">
        <f aca="false">IFERROR(INDEX(Catálogo!A$4:A$1000,MATCH($A$1&amp;"|"&amp;8,Índice!$A$4:$A$1000,0)),"")</f>
        <v/>
      </c>
      <c r="B11" s="6" t="str">
        <f aca="false">IFERROR(INDEX(Catálogo!B$4:B$1000,MATCH($A$1&amp;"|"&amp;8,Índice!$A$4:$A$1000,0)),"")</f>
        <v/>
      </c>
      <c r="C11" s="6" t="str">
        <f aca="false">IFERROR(INDEX(Catálogo!C$4:C$1000,MATCH($A$1&amp;"|"&amp;8,Índice!$A$4:$A$1000,0)),"")</f>
        <v/>
      </c>
      <c r="D11" s="6" t="str">
        <f aca="false">IFERROR(INDEX(Catálogo!D$4:D$1000,MATCH($A$1&amp;"|"&amp;8,Índice!$A$4:$A$1000,0)),"")</f>
        <v/>
      </c>
      <c r="E11" s="6" t="str">
        <f aca="false">IFERROR(INDEX(Catálogo!E$4:E$1000,MATCH($A$1&amp;"|"&amp;8,Índice!$A$4:$A$1000,0)),"")</f>
        <v/>
      </c>
      <c r="F11" s="5" t="str">
        <f aca="false">IFERROR(INDEX(Catálogo!F$4:F$1000,MATCH($A$1&amp;"|"&amp;8,Índice!$A$4:$A$1000,0)),"")</f>
        <v/>
      </c>
      <c r="G11" s="5" t="str">
        <f aca="false">IFERROR(INDEX(Catálogo!G$4:G$1000,MATCH($A$1&amp;"|"&amp;8,Índice!$A$4:$A$1000,0)),"")</f>
        <v/>
      </c>
      <c r="H11" s="5" t="str">
        <f aca="false">IFERROR(INDEX(Catálogo!H$4:H$1000,MATCH($A$1&amp;"|"&amp;8,Índice!$A$4:$A$1000,0)),"")</f>
        <v/>
      </c>
      <c r="I11" s="6" t="str">
        <f aca="false">IFERROR(INDEX(Catálogo!I$4:I$1000,MATCH($A$1&amp;"|"&amp;8,Índice!$A$4:$A$1000,0)),"")</f>
        <v/>
      </c>
      <c r="J11" s="6" t="str">
        <f aca="false">IFERROR(INDEX(Catálogo!J$4:J$1000,MATCH($A$1&amp;"|"&amp;8,Índice!$A$4:$A$1000,0)),"")</f>
        <v/>
      </c>
      <c r="K11" s="6" t="str">
        <f aca="false">IFERROR(INDEX(Catálogo!K$4:K$1000,MATCH($A$1&amp;"|"&amp;8,Índice!$A$4:$A$1000,0)),"")</f>
        <v/>
      </c>
      <c r="L11" s="6" t="str">
        <f aca="false">IFERROR(INDEX(Catálogo!L$4:L$1000,MATCH($A$1&amp;"|"&amp;8,Índice!$A$4:$A$1000,0)),"")</f>
        <v/>
      </c>
      <c r="M11" s="7" t="str">
        <f aca="false">IFERROR(INDEX(Catálogo!M$4:M$1000,MATCH($A$1&amp;"|"&amp;8,Índice!$A$4:$A$1000,0)),"")</f>
        <v/>
      </c>
    </row>
    <row r="12" customFormat="false" ht="42" hidden="false" customHeight="true" outlineLevel="0" collapsed="false">
      <c r="A12" s="5" t="str">
        <f aca="false">IFERROR(INDEX(Catálogo!A$4:A$1000,MATCH($A$1&amp;"|"&amp;9,Índice!$A$4:$A$1000,0)),"")</f>
        <v/>
      </c>
      <c r="B12" s="6" t="str">
        <f aca="false">IFERROR(INDEX(Catálogo!B$4:B$1000,MATCH($A$1&amp;"|"&amp;9,Índice!$A$4:$A$1000,0)),"")</f>
        <v/>
      </c>
      <c r="C12" s="6" t="str">
        <f aca="false">IFERROR(INDEX(Catálogo!C$4:C$1000,MATCH($A$1&amp;"|"&amp;9,Índice!$A$4:$A$1000,0)),"")</f>
        <v/>
      </c>
      <c r="D12" s="6" t="str">
        <f aca="false">IFERROR(INDEX(Catálogo!D$4:D$1000,MATCH($A$1&amp;"|"&amp;9,Índice!$A$4:$A$1000,0)),"")</f>
        <v/>
      </c>
      <c r="E12" s="6" t="str">
        <f aca="false">IFERROR(INDEX(Catálogo!E$4:E$1000,MATCH($A$1&amp;"|"&amp;9,Índice!$A$4:$A$1000,0)),"")</f>
        <v/>
      </c>
      <c r="F12" s="5" t="str">
        <f aca="false">IFERROR(INDEX(Catálogo!F$4:F$1000,MATCH($A$1&amp;"|"&amp;9,Índice!$A$4:$A$1000,0)),"")</f>
        <v/>
      </c>
      <c r="G12" s="5" t="str">
        <f aca="false">IFERROR(INDEX(Catálogo!G$4:G$1000,MATCH($A$1&amp;"|"&amp;9,Índice!$A$4:$A$1000,0)),"")</f>
        <v/>
      </c>
      <c r="H12" s="5" t="str">
        <f aca="false">IFERROR(INDEX(Catálogo!H$4:H$1000,MATCH($A$1&amp;"|"&amp;9,Índice!$A$4:$A$1000,0)),"")</f>
        <v/>
      </c>
      <c r="I12" s="6" t="str">
        <f aca="false">IFERROR(INDEX(Catálogo!I$4:I$1000,MATCH($A$1&amp;"|"&amp;9,Índice!$A$4:$A$1000,0)),"")</f>
        <v/>
      </c>
      <c r="J12" s="6" t="str">
        <f aca="false">IFERROR(INDEX(Catálogo!J$4:J$1000,MATCH($A$1&amp;"|"&amp;9,Índice!$A$4:$A$1000,0)),"")</f>
        <v/>
      </c>
      <c r="K12" s="6" t="str">
        <f aca="false">IFERROR(INDEX(Catálogo!K$4:K$1000,MATCH($A$1&amp;"|"&amp;9,Índice!$A$4:$A$1000,0)),"")</f>
        <v/>
      </c>
      <c r="L12" s="6" t="str">
        <f aca="false">IFERROR(INDEX(Catálogo!L$4:L$1000,MATCH($A$1&amp;"|"&amp;9,Índice!$A$4:$A$1000,0)),"")</f>
        <v/>
      </c>
      <c r="M12" s="7" t="str">
        <f aca="false">IFERROR(INDEX(Catálogo!M$4:M$1000,MATCH($A$1&amp;"|"&amp;9,Índice!$A$4:$A$1000,0)),"")</f>
        <v/>
      </c>
    </row>
    <row r="13" customFormat="false" ht="42" hidden="false" customHeight="true" outlineLevel="0" collapsed="false">
      <c r="A13" s="5" t="str">
        <f aca="false">IFERROR(INDEX(Catálogo!A$4:A$1000,MATCH($A$1&amp;"|"&amp;10,Índice!$A$4:$A$1000,0)),"")</f>
        <v/>
      </c>
      <c r="B13" s="6" t="str">
        <f aca="false">IFERROR(INDEX(Catálogo!B$4:B$1000,MATCH($A$1&amp;"|"&amp;10,Índice!$A$4:$A$1000,0)),"")</f>
        <v/>
      </c>
      <c r="C13" s="6" t="str">
        <f aca="false">IFERROR(INDEX(Catálogo!C$4:C$1000,MATCH($A$1&amp;"|"&amp;10,Índice!$A$4:$A$1000,0)),"")</f>
        <v/>
      </c>
      <c r="D13" s="6" t="str">
        <f aca="false">IFERROR(INDEX(Catálogo!D$4:D$1000,MATCH($A$1&amp;"|"&amp;10,Índice!$A$4:$A$1000,0)),"")</f>
        <v/>
      </c>
      <c r="E13" s="6" t="str">
        <f aca="false">IFERROR(INDEX(Catálogo!E$4:E$1000,MATCH($A$1&amp;"|"&amp;10,Índice!$A$4:$A$1000,0)),"")</f>
        <v/>
      </c>
      <c r="F13" s="5" t="str">
        <f aca="false">IFERROR(INDEX(Catálogo!F$4:F$1000,MATCH($A$1&amp;"|"&amp;10,Índice!$A$4:$A$1000,0)),"")</f>
        <v/>
      </c>
      <c r="G13" s="5" t="str">
        <f aca="false">IFERROR(INDEX(Catálogo!G$4:G$1000,MATCH($A$1&amp;"|"&amp;10,Índice!$A$4:$A$1000,0)),"")</f>
        <v/>
      </c>
      <c r="H13" s="5" t="str">
        <f aca="false">IFERROR(INDEX(Catálogo!H$4:H$1000,MATCH($A$1&amp;"|"&amp;10,Índice!$A$4:$A$1000,0)),"")</f>
        <v/>
      </c>
      <c r="I13" s="6" t="str">
        <f aca="false">IFERROR(INDEX(Catálogo!I$4:I$1000,MATCH($A$1&amp;"|"&amp;10,Índice!$A$4:$A$1000,0)),"")</f>
        <v/>
      </c>
      <c r="J13" s="6" t="str">
        <f aca="false">IFERROR(INDEX(Catálogo!J$4:J$1000,MATCH($A$1&amp;"|"&amp;10,Índice!$A$4:$A$1000,0)),"")</f>
        <v/>
      </c>
      <c r="K13" s="6" t="str">
        <f aca="false">IFERROR(INDEX(Catálogo!K$4:K$1000,MATCH($A$1&amp;"|"&amp;10,Índice!$A$4:$A$1000,0)),"")</f>
        <v/>
      </c>
      <c r="L13" s="6" t="str">
        <f aca="false">IFERROR(INDEX(Catálogo!L$4:L$1000,MATCH($A$1&amp;"|"&amp;10,Índice!$A$4:$A$1000,0)),"")</f>
        <v/>
      </c>
      <c r="M13" s="7" t="str">
        <f aca="false">IFERROR(INDEX(Catálogo!M$4:M$1000,MATCH($A$1&amp;"|"&amp;10,Índice!$A$4:$A$1000,0)),"")</f>
        <v/>
      </c>
    </row>
    <row r="14" customFormat="false" ht="42" hidden="false" customHeight="true" outlineLevel="0" collapsed="false">
      <c r="A14" s="5" t="str">
        <f aca="false">IFERROR(INDEX(Catálogo!A$4:A$1000,MATCH($A$1&amp;"|"&amp;11,Índice!$A$4:$A$1000,0)),"")</f>
        <v/>
      </c>
      <c r="B14" s="6" t="str">
        <f aca="false">IFERROR(INDEX(Catálogo!B$4:B$1000,MATCH($A$1&amp;"|"&amp;11,Índice!$A$4:$A$1000,0)),"")</f>
        <v/>
      </c>
      <c r="C14" s="6" t="str">
        <f aca="false">IFERROR(INDEX(Catálogo!C$4:C$1000,MATCH($A$1&amp;"|"&amp;11,Índice!$A$4:$A$1000,0)),"")</f>
        <v/>
      </c>
      <c r="D14" s="6" t="str">
        <f aca="false">IFERROR(INDEX(Catálogo!D$4:D$1000,MATCH($A$1&amp;"|"&amp;11,Índice!$A$4:$A$1000,0)),"")</f>
        <v/>
      </c>
      <c r="E14" s="6" t="str">
        <f aca="false">IFERROR(INDEX(Catálogo!E$4:E$1000,MATCH($A$1&amp;"|"&amp;11,Índice!$A$4:$A$1000,0)),"")</f>
        <v/>
      </c>
      <c r="F14" s="5" t="str">
        <f aca="false">IFERROR(INDEX(Catálogo!F$4:F$1000,MATCH($A$1&amp;"|"&amp;11,Índice!$A$4:$A$1000,0)),"")</f>
        <v/>
      </c>
      <c r="G14" s="5" t="str">
        <f aca="false">IFERROR(INDEX(Catálogo!G$4:G$1000,MATCH($A$1&amp;"|"&amp;11,Índice!$A$4:$A$1000,0)),"")</f>
        <v/>
      </c>
      <c r="H14" s="5" t="str">
        <f aca="false">IFERROR(INDEX(Catálogo!H$4:H$1000,MATCH($A$1&amp;"|"&amp;11,Índice!$A$4:$A$1000,0)),"")</f>
        <v/>
      </c>
      <c r="I14" s="6" t="str">
        <f aca="false">IFERROR(INDEX(Catálogo!I$4:I$1000,MATCH($A$1&amp;"|"&amp;11,Índice!$A$4:$A$1000,0)),"")</f>
        <v/>
      </c>
      <c r="J14" s="6" t="str">
        <f aca="false">IFERROR(INDEX(Catálogo!J$4:J$1000,MATCH($A$1&amp;"|"&amp;11,Índice!$A$4:$A$1000,0)),"")</f>
        <v/>
      </c>
      <c r="K14" s="6" t="str">
        <f aca="false">IFERROR(INDEX(Catálogo!K$4:K$1000,MATCH($A$1&amp;"|"&amp;11,Índice!$A$4:$A$1000,0)),"")</f>
        <v/>
      </c>
      <c r="L14" s="6" t="str">
        <f aca="false">IFERROR(INDEX(Catálogo!L$4:L$1000,MATCH($A$1&amp;"|"&amp;11,Índice!$A$4:$A$1000,0)),"")</f>
        <v/>
      </c>
      <c r="M14" s="7" t="str">
        <f aca="false">IFERROR(INDEX(Catálogo!M$4:M$1000,MATCH($A$1&amp;"|"&amp;11,Índice!$A$4:$A$1000,0)),"")</f>
        <v/>
      </c>
    </row>
    <row r="15" customFormat="false" ht="42" hidden="false" customHeight="true" outlineLevel="0" collapsed="false">
      <c r="A15" s="5" t="str">
        <f aca="false">IFERROR(INDEX(Catálogo!A$4:A$1000,MATCH($A$1&amp;"|"&amp;12,Índice!$A$4:$A$1000,0)),"")</f>
        <v/>
      </c>
      <c r="B15" s="6" t="str">
        <f aca="false">IFERROR(INDEX(Catálogo!B$4:B$1000,MATCH($A$1&amp;"|"&amp;12,Índice!$A$4:$A$1000,0)),"")</f>
        <v/>
      </c>
      <c r="C15" s="6" t="str">
        <f aca="false">IFERROR(INDEX(Catálogo!C$4:C$1000,MATCH($A$1&amp;"|"&amp;12,Índice!$A$4:$A$1000,0)),"")</f>
        <v/>
      </c>
      <c r="D15" s="6" t="str">
        <f aca="false">IFERROR(INDEX(Catálogo!D$4:D$1000,MATCH($A$1&amp;"|"&amp;12,Índice!$A$4:$A$1000,0)),"")</f>
        <v/>
      </c>
      <c r="E15" s="6" t="str">
        <f aca="false">IFERROR(INDEX(Catálogo!E$4:E$1000,MATCH($A$1&amp;"|"&amp;12,Índice!$A$4:$A$1000,0)),"")</f>
        <v/>
      </c>
      <c r="F15" s="5" t="str">
        <f aca="false">IFERROR(INDEX(Catálogo!F$4:F$1000,MATCH($A$1&amp;"|"&amp;12,Índice!$A$4:$A$1000,0)),"")</f>
        <v/>
      </c>
      <c r="G15" s="5" t="str">
        <f aca="false">IFERROR(INDEX(Catálogo!G$4:G$1000,MATCH($A$1&amp;"|"&amp;12,Índice!$A$4:$A$1000,0)),"")</f>
        <v/>
      </c>
      <c r="H15" s="5" t="str">
        <f aca="false">IFERROR(INDEX(Catálogo!H$4:H$1000,MATCH($A$1&amp;"|"&amp;12,Índice!$A$4:$A$1000,0)),"")</f>
        <v/>
      </c>
      <c r="I15" s="6" t="str">
        <f aca="false">IFERROR(INDEX(Catálogo!I$4:I$1000,MATCH($A$1&amp;"|"&amp;12,Índice!$A$4:$A$1000,0)),"")</f>
        <v/>
      </c>
      <c r="J15" s="6" t="str">
        <f aca="false">IFERROR(INDEX(Catálogo!J$4:J$1000,MATCH($A$1&amp;"|"&amp;12,Índice!$A$4:$A$1000,0)),"")</f>
        <v/>
      </c>
      <c r="K15" s="6" t="str">
        <f aca="false">IFERROR(INDEX(Catálogo!K$4:K$1000,MATCH($A$1&amp;"|"&amp;12,Índice!$A$4:$A$1000,0)),"")</f>
        <v/>
      </c>
      <c r="L15" s="6" t="str">
        <f aca="false">IFERROR(INDEX(Catálogo!L$4:L$1000,MATCH($A$1&amp;"|"&amp;12,Índice!$A$4:$A$1000,0)),"")</f>
        <v/>
      </c>
      <c r="M15" s="7" t="str">
        <f aca="false">IFERROR(INDEX(Catálogo!M$4:M$1000,MATCH($A$1&amp;"|"&amp;12,Índice!$A$4:$A$1000,0)),"")</f>
        <v/>
      </c>
    </row>
    <row r="16" customFormat="false" ht="42" hidden="false" customHeight="true" outlineLevel="0" collapsed="false">
      <c r="A16" s="5" t="str">
        <f aca="false">IFERROR(INDEX(Catálogo!A$4:A$1000,MATCH($A$1&amp;"|"&amp;13,Índice!$A$4:$A$1000,0)),"")</f>
        <v/>
      </c>
      <c r="B16" s="6" t="str">
        <f aca="false">IFERROR(INDEX(Catálogo!B$4:B$1000,MATCH($A$1&amp;"|"&amp;13,Índice!$A$4:$A$1000,0)),"")</f>
        <v/>
      </c>
      <c r="C16" s="6" t="str">
        <f aca="false">IFERROR(INDEX(Catálogo!C$4:C$1000,MATCH($A$1&amp;"|"&amp;13,Índice!$A$4:$A$1000,0)),"")</f>
        <v/>
      </c>
      <c r="D16" s="6" t="str">
        <f aca="false">IFERROR(INDEX(Catálogo!D$4:D$1000,MATCH($A$1&amp;"|"&amp;13,Índice!$A$4:$A$1000,0)),"")</f>
        <v/>
      </c>
      <c r="E16" s="6" t="str">
        <f aca="false">IFERROR(INDEX(Catálogo!E$4:E$1000,MATCH($A$1&amp;"|"&amp;13,Índice!$A$4:$A$1000,0)),"")</f>
        <v/>
      </c>
      <c r="F16" s="5" t="str">
        <f aca="false">IFERROR(INDEX(Catálogo!F$4:F$1000,MATCH($A$1&amp;"|"&amp;13,Índice!$A$4:$A$1000,0)),"")</f>
        <v/>
      </c>
      <c r="G16" s="5" t="str">
        <f aca="false">IFERROR(INDEX(Catálogo!G$4:G$1000,MATCH($A$1&amp;"|"&amp;13,Índice!$A$4:$A$1000,0)),"")</f>
        <v/>
      </c>
      <c r="H16" s="5" t="str">
        <f aca="false">IFERROR(INDEX(Catálogo!H$4:H$1000,MATCH($A$1&amp;"|"&amp;13,Índice!$A$4:$A$1000,0)),"")</f>
        <v/>
      </c>
      <c r="I16" s="6" t="str">
        <f aca="false">IFERROR(INDEX(Catálogo!I$4:I$1000,MATCH($A$1&amp;"|"&amp;13,Índice!$A$4:$A$1000,0)),"")</f>
        <v/>
      </c>
      <c r="J16" s="6" t="str">
        <f aca="false">IFERROR(INDEX(Catálogo!J$4:J$1000,MATCH($A$1&amp;"|"&amp;13,Índice!$A$4:$A$1000,0)),"")</f>
        <v/>
      </c>
      <c r="K16" s="6" t="str">
        <f aca="false">IFERROR(INDEX(Catálogo!K$4:K$1000,MATCH($A$1&amp;"|"&amp;13,Índice!$A$4:$A$1000,0)),"")</f>
        <v/>
      </c>
      <c r="L16" s="6" t="str">
        <f aca="false">IFERROR(INDEX(Catálogo!L$4:L$1000,MATCH($A$1&amp;"|"&amp;13,Índice!$A$4:$A$1000,0)),"")</f>
        <v/>
      </c>
      <c r="M16" s="7" t="str">
        <f aca="false">IFERROR(INDEX(Catálogo!M$4:M$1000,MATCH($A$1&amp;"|"&amp;13,Índice!$A$4:$A$1000,0)),"")</f>
        <v/>
      </c>
    </row>
  </sheetData>
  <autoFilter ref="A3:M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278</v>
      </c>
      <c r="I1" s="17" t="str">
        <f aca="false">COUNTIF(Catálogo!$C$4:$C$1000,$A$1)&amp;IF(COUNTIF(Catálogo!$C$4:$C$1000,$A$1)=1," instrumento nesta área"," instrumentos nesta área")</f>
        <v>26 instrumentos nesta área</v>
      </c>
    </row>
    <row r="2" customFormat="false" ht="15" hidden="false" customHeight="true" outlineLevel="0" collapsed="false">
      <c r="A2" s="18" t="s">
        <v>1488</v>
      </c>
      <c r="I2" s="19" t="str">
        <f aca="false">IF(COUNTIF(Catálogo!$C$4:$C$1000,$A$1)&gt;34,"⚠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38</v>
      </c>
      <c r="B4" s="6" t="str">
        <f aca="false">IFERROR(INDEX(Catálogo!B$4:B$1000,MATCH($A$1&amp;"|"&amp;1,Índice!$A$4:$A$1000,0)),"")</f>
        <v>COMPA — Adolescente (em relação à Mãe)</v>
      </c>
      <c r="C4" s="6" t="str">
        <f aca="false">IFERROR(INDEX(Catálogo!C$4:C$1000,MATCH($A$1&amp;"|"&amp;1,Índice!$A$4:$A$1000,0)),"")</f>
        <v>Família &amp; Parentalidade</v>
      </c>
      <c r="D4" s="6" t="str">
        <f aca="false">IFERROR(INDEX(Catálogo!D$4:D$1000,MATCH($A$1&amp;"|"&amp;1,Índice!$A$4:$A$1000,0)),"")</f>
        <v>Paciente</v>
      </c>
      <c r="E4" s="6" t="str">
        <f aca="false">IFERROR(INDEX(Catálogo!E$4:E$1000,MATCH($A$1&amp;"|"&amp;1,Índice!$A$4:$A$1000,0)),"")</f>
        <v>12–16 anos</v>
      </c>
      <c r="F4" s="5" t="n">
        <f aca="false">IFERROR(INDEX(Catálogo!F$4:F$1000,MATCH($A$1&amp;"|"&amp;1,Índice!$A$4:$A$1000,0)),"")</f>
        <v>12</v>
      </c>
      <c r="G4" s="5" t="n">
        <f aca="false">IFERROR(INDEX(Catálogo!G$4:G$1000,MATCH($A$1&amp;"|"&amp;1,Índice!$A$4:$A$1000,0)),"")</f>
        <v>16.9</v>
      </c>
      <c r="H4" s="5" t="n">
        <f aca="false">IFERROR(INDEX(Catálogo!H$4:H$1000,MATCH($A$1&amp;"|"&amp;1,Índice!$A$4:$A$1000,0)),"")</f>
        <v>6</v>
      </c>
      <c r="I4" s="6" t="str">
        <f aca="false">IFERROR(INDEX(Catálogo!I$4:I$1000,MATCH($A$1&amp;"|"&amp;1,Índice!$A$4:$A$1000,0)),"")</f>
        <v>Perceção do adolescente sobre a comunicação com a mãe — 39 itens</v>
      </c>
      <c r="J4" s="6" t="str">
        <f aca="false">IFERROR(INDEX(Catálogo!J$4:J$1000,MATCH($A$1&amp;"|"&amp;1,Índice!$A$4:$A$1000,0)),"")</f>
        <v>F1 Disponibilidade Parental; F2 Confiança F→P; F3 Afeto/Apoio; F4 Metacomunicação; F5 Padrão Negativo; Total Positivo</v>
      </c>
      <c r="K4" s="6" t="str">
        <f aca="false">IFERROR(INDEX(Catálogo!K$4:K$1000,MATCH($A$1&amp;"|"&amp;1,Índice!$A$4:$A$1000,0)),"")</f>
        <v>compa_a_mae</v>
      </c>
      <c r="L4" s="6" t="str">
        <f aca="false">IFERROR(INDEX(Catálogo!L$4:L$1000,MATCH($A$1&amp;"|"&amp;1,Índice!$A$4:$A$1000,0)),"")</f>
        <v>q_compa_a_mae</v>
      </c>
      <c r="M4" s="7" t="str">
        <f aca="false">IFERROR(INDEX(Catálogo!M$4:M$1000,MATCH($A$1&amp;"|"&amp;1,Índice!$A$4:$A$1000,0)),"")</f>
        <v>https://correiaricardina-ui.github.io/questionarios/COMPA_A_Mae.html</v>
      </c>
    </row>
    <row r="5" customFormat="false" ht="42" hidden="false" customHeight="true" outlineLevel="0" collapsed="false">
      <c r="A5" s="5" t="n">
        <f aca="false">IFERROR(INDEX(Catálogo!A$4:A$1000,MATCH($A$1&amp;"|"&amp;2,Índice!$A$4:$A$1000,0)),"")</f>
        <v>39</v>
      </c>
      <c r="B5" s="6" t="str">
        <f aca="false">IFERROR(INDEX(Catálogo!B$4:B$1000,MATCH($A$1&amp;"|"&amp;2,Índice!$A$4:$A$1000,0)),"")</f>
        <v>COMPA — Adolescente (em relação ao Pai)</v>
      </c>
      <c r="C5" s="6" t="str">
        <f aca="false">IFERROR(INDEX(Catálogo!C$4:C$1000,MATCH($A$1&amp;"|"&amp;2,Índice!$A$4:$A$1000,0)),"")</f>
        <v>Família &amp; Parentalidade</v>
      </c>
      <c r="D5" s="6" t="str">
        <f aca="false">IFERROR(INDEX(Catálogo!D$4:D$1000,MATCH($A$1&amp;"|"&amp;2,Índice!$A$4:$A$1000,0)),"")</f>
        <v>Paciente</v>
      </c>
      <c r="E5" s="6" t="str">
        <f aca="false">IFERROR(INDEX(Catálogo!E$4:E$1000,MATCH($A$1&amp;"|"&amp;2,Índice!$A$4:$A$1000,0)),"")</f>
        <v>12–16 anos</v>
      </c>
      <c r="F5" s="5" t="n">
        <f aca="false">IFERROR(INDEX(Catálogo!F$4:F$1000,MATCH($A$1&amp;"|"&amp;2,Índice!$A$4:$A$1000,0)),"")</f>
        <v>12</v>
      </c>
      <c r="G5" s="5" t="n">
        <f aca="false">IFERROR(INDEX(Catálogo!G$4:G$1000,MATCH($A$1&amp;"|"&amp;2,Índice!$A$4:$A$1000,0)),"")</f>
        <v>16.9</v>
      </c>
      <c r="H5" s="5" t="n">
        <f aca="false">IFERROR(INDEX(Catálogo!H$4:H$1000,MATCH($A$1&amp;"|"&amp;2,Índice!$A$4:$A$1000,0)),"")</f>
        <v>6</v>
      </c>
      <c r="I5" s="6" t="str">
        <f aca="false">IFERROR(INDEX(Catálogo!I$4:I$1000,MATCH($A$1&amp;"|"&amp;2,Índice!$A$4:$A$1000,0)),"")</f>
        <v>Perceção do adolescente sobre a comunicação com o pai — 39 itens</v>
      </c>
      <c r="J5" s="6" t="str">
        <f aca="false">IFERROR(INDEX(Catálogo!J$4:J$1000,MATCH($A$1&amp;"|"&amp;2,Índice!$A$4:$A$1000,0)),"")</f>
        <v>F1 Disponibilidade Parental; F2 Confiança F→P; F3 Afeto/Apoio; F4 Metacomunicação; F5 Padrão Negativo; Total Positivo</v>
      </c>
      <c r="K5" s="6" t="str">
        <f aca="false">IFERROR(INDEX(Catálogo!K$4:K$1000,MATCH($A$1&amp;"|"&amp;2,Índice!$A$4:$A$1000,0)),"")</f>
        <v>compa_a_pai</v>
      </c>
      <c r="L5" s="6" t="str">
        <f aca="false">IFERROR(INDEX(Catálogo!L$4:L$1000,MATCH($A$1&amp;"|"&amp;2,Índice!$A$4:$A$1000,0)),"")</f>
        <v>q_compa_a_pai</v>
      </c>
      <c r="M5" s="7" t="str">
        <f aca="false">IFERROR(INDEX(Catálogo!M$4:M$1000,MATCH($A$1&amp;"|"&amp;2,Índice!$A$4:$A$1000,0)),"")</f>
        <v>https://correiaricardina-ui.github.io/questionarios/COMPA_A_Pai.html</v>
      </c>
    </row>
    <row r="6" customFormat="false" ht="42" hidden="false" customHeight="true" outlineLevel="0" collapsed="false">
      <c r="A6" s="5" t="n">
        <f aca="false">IFERROR(INDEX(Catálogo!A$4:A$1000,MATCH($A$1&amp;"|"&amp;3,Índice!$A$4:$A$1000,0)),"")</f>
        <v>40</v>
      </c>
      <c r="B6" s="6" t="str">
        <f aca="false">IFERROR(INDEX(Catálogo!B$4:B$1000,MATCH($A$1&amp;"|"&amp;3,Índice!$A$4:$A$1000,0)),"")</f>
        <v>COMPA — Criança (em relação à Mãe)</v>
      </c>
      <c r="C6" s="6" t="str">
        <f aca="false">IFERROR(INDEX(Catálogo!C$4:C$1000,MATCH($A$1&amp;"|"&amp;3,Índice!$A$4:$A$1000,0)),"")</f>
        <v>Família &amp; Parentalidade</v>
      </c>
      <c r="D6" s="6" t="str">
        <f aca="false">IFERROR(INDEX(Catálogo!D$4:D$1000,MATCH($A$1&amp;"|"&amp;3,Índice!$A$4:$A$1000,0)),"")</f>
        <v>Paciente</v>
      </c>
      <c r="E6" s="6" t="str">
        <f aca="false">IFERROR(INDEX(Catálogo!E$4:E$1000,MATCH($A$1&amp;"|"&amp;3,Índice!$A$4:$A$1000,0)),"")</f>
        <v>7–11 anos</v>
      </c>
      <c r="F6" s="5" t="n">
        <f aca="false">IFERROR(INDEX(Catálogo!F$4:F$1000,MATCH($A$1&amp;"|"&amp;3,Índice!$A$4:$A$1000,0)),"")</f>
        <v>7</v>
      </c>
      <c r="G6" s="5" t="n">
        <f aca="false">IFERROR(INDEX(Catálogo!G$4:G$1000,MATCH($A$1&amp;"|"&amp;3,Índice!$A$4:$A$1000,0)),"")</f>
        <v>11.9</v>
      </c>
      <c r="H6" s="5" t="n">
        <f aca="false">IFERROR(INDEX(Catálogo!H$4:H$1000,MATCH($A$1&amp;"|"&amp;3,Índice!$A$4:$A$1000,0)),"")</f>
        <v>3</v>
      </c>
      <c r="I6" s="6" t="str">
        <f aca="false">IFERROR(INDEX(Catálogo!I$4:I$1000,MATCH($A$1&amp;"|"&amp;3,Índice!$A$4:$A$1000,0)),"")</f>
        <v>Perceção da criança sobre a comunicação com a mãe — 16 itens</v>
      </c>
      <c r="J6" s="6" t="str">
        <f aca="false">IFERROR(INDEX(Catálogo!J$4:J$1000,MATCH($A$1&amp;"|"&amp;3,Índice!$A$4:$A$1000,0)),"")</f>
        <v>F1 Disponibilidade Parental; F2 Afeto/Apoio; Total</v>
      </c>
      <c r="K6" s="6" t="str">
        <f aca="false">IFERROR(INDEX(Catálogo!K$4:K$1000,MATCH($A$1&amp;"|"&amp;3,Índice!$A$4:$A$1000,0)),"")</f>
        <v>compa_c_mae</v>
      </c>
      <c r="L6" s="6" t="str">
        <f aca="false">IFERROR(INDEX(Catálogo!L$4:L$1000,MATCH($A$1&amp;"|"&amp;3,Índice!$A$4:$A$1000,0)),"")</f>
        <v>q_compa_c_mae</v>
      </c>
      <c r="M6" s="7" t="str">
        <f aca="false">IFERROR(INDEX(Catálogo!M$4:M$1000,MATCH($A$1&amp;"|"&amp;3,Índice!$A$4:$A$1000,0)),"")</f>
        <v>https://correiaricardina-ui.github.io/questionarios/COMPA_C_Mae.html</v>
      </c>
    </row>
    <row r="7" customFormat="false" ht="42" hidden="false" customHeight="true" outlineLevel="0" collapsed="false">
      <c r="A7" s="5" t="n">
        <f aca="false">IFERROR(INDEX(Catálogo!A$4:A$1000,MATCH($A$1&amp;"|"&amp;4,Índice!$A$4:$A$1000,0)),"")</f>
        <v>41</v>
      </c>
      <c r="B7" s="6" t="str">
        <f aca="false">IFERROR(INDEX(Catálogo!B$4:B$1000,MATCH($A$1&amp;"|"&amp;4,Índice!$A$4:$A$1000,0)),"")</f>
        <v>COMPA — Criança (em relação ao Pai)</v>
      </c>
      <c r="C7" s="6" t="str">
        <f aca="false">IFERROR(INDEX(Catálogo!C$4:C$1000,MATCH($A$1&amp;"|"&amp;4,Índice!$A$4:$A$1000,0)),"")</f>
        <v>Família &amp; Parentalidade</v>
      </c>
      <c r="D7" s="6" t="str">
        <f aca="false">IFERROR(INDEX(Catálogo!D$4:D$1000,MATCH($A$1&amp;"|"&amp;4,Índice!$A$4:$A$1000,0)),"")</f>
        <v>Paciente</v>
      </c>
      <c r="E7" s="6" t="str">
        <f aca="false">IFERROR(INDEX(Catálogo!E$4:E$1000,MATCH($A$1&amp;"|"&amp;4,Índice!$A$4:$A$1000,0)),"")</f>
        <v>7–11 anos</v>
      </c>
      <c r="F7" s="5" t="n">
        <f aca="false">IFERROR(INDEX(Catálogo!F$4:F$1000,MATCH($A$1&amp;"|"&amp;4,Índice!$A$4:$A$1000,0)),"")</f>
        <v>7</v>
      </c>
      <c r="G7" s="5" t="n">
        <f aca="false">IFERROR(INDEX(Catálogo!G$4:G$1000,MATCH($A$1&amp;"|"&amp;4,Índice!$A$4:$A$1000,0)),"")</f>
        <v>11.9</v>
      </c>
      <c r="H7" s="5" t="n">
        <f aca="false">IFERROR(INDEX(Catálogo!H$4:H$1000,MATCH($A$1&amp;"|"&amp;4,Índice!$A$4:$A$1000,0)),"")</f>
        <v>3</v>
      </c>
      <c r="I7" s="6" t="str">
        <f aca="false">IFERROR(INDEX(Catálogo!I$4:I$1000,MATCH($A$1&amp;"|"&amp;4,Índice!$A$4:$A$1000,0)),"")</f>
        <v>Perceção da criança sobre a comunicação com o pai — 16 itens</v>
      </c>
      <c r="J7" s="6" t="str">
        <f aca="false">IFERROR(INDEX(Catálogo!J$4:J$1000,MATCH($A$1&amp;"|"&amp;4,Índice!$A$4:$A$1000,0)),"")</f>
        <v>F1 Disponibilidade Parental; F2 Afeto/Apoio; Total</v>
      </c>
      <c r="K7" s="6" t="str">
        <f aca="false">IFERROR(INDEX(Catálogo!K$4:K$1000,MATCH($A$1&amp;"|"&amp;4,Índice!$A$4:$A$1000,0)),"")</f>
        <v>compa_c_pai</v>
      </c>
      <c r="L7" s="6" t="str">
        <f aca="false">IFERROR(INDEX(Catálogo!L$4:L$1000,MATCH($A$1&amp;"|"&amp;4,Índice!$A$4:$A$1000,0)),"")</f>
        <v>q_compa_c_pai</v>
      </c>
      <c r="M7" s="7" t="str">
        <f aca="false">IFERROR(INDEX(Catálogo!M$4:M$1000,MATCH($A$1&amp;"|"&amp;4,Índice!$A$4:$A$1000,0)),"")</f>
        <v>https://correiaricardina-ui.github.io/questionarios/COMPA_C_Pai.html</v>
      </c>
    </row>
    <row r="8" customFormat="false" ht="42" hidden="false" customHeight="true" outlineLevel="0" collapsed="false">
      <c r="A8" s="5" t="n">
        <f aca="false">IFERROR(INDEX(Catálogo!A$4:A$1000,MATCH($A$1&amp;"|"&amp;5,Índice!$A$4:$A$1000,0)),"")</f>
        <v>42</v>
      </c>
      <c r="B8" s="6" t="str">
        <f aca="false">IFERROR(INDEX(Catálogo!B$4:B$1000,MATCH($A$1&amp;"|"&amp;5,Índice!$A$4:$A$1000,0)),"")</f>
        <v>COMPA — Progenitores</v>
      </c>
      <c r="C8" s="6" t="str">
        <f aca="false">IFERROR(INDEX(Catálogo!C$4:C$1000,MATCH($A$1&amp;"|"&amp;5,Índice!$A$4:$A$1000,0)),"")</f>
        <v>Família &amp; Parentalidade</v>
      </c>
      <c r="D8" s="6" t="str">
        <f aca="false">IFERROR(INDEX(Catálogo!D$4:D$1000,MATCH($A$1&amp;"|"&amp;5,Índice!$A$4:$A$1000,0)),"")</f>
        <v>Mãe, Pai, Enc. Educação</v>
      </c>
      <c r="E8" s="6" t="str">
        <f aca="false">IFERROR(INDEX(Catálogo!E$4:E$1000,MATCH($A$1&amp;"|"&amp;5,Índice!$A$4:$A$1000,0)),"")</f>
        <v>Progenitores</v>
      </c>
      <c r="F8" s="5" t="n">
        <f aca="false">IFERROR(INDEX(Catálogo!F$4:F$1000,MATCH($A$1&amp;"|"&amp;5,Índice!$A$4:$A$1000,0)),"")</f>
        <v>0</v>
      </c>
      <c r="G8" s="5" t="n">
        <f aca="false">IFERROR(INDEX(Catálogo!G$4:G$1000,MATCH($A$1&amp;"|"&amp;5,Índice!$A$4:$A$1000,0)),"")</f>
        <v>83.2</v>
      </c>
      <c r="H8" s="5" t="n">
        <f aca="false">IFERROR(INDEX(Catálogo!H$4:H$1000,MATCH($A$1&amp;"|"&amp;5,Índice!$A$4:$A$1000,0)),"")</f>
        <v>6</v>
      </c>
      <c r="I8" s="6" t="str">
        <f aca="false">IFERROR(INDEX(Catálogo!I$4:I$1000,MATCH($A$1&amp;"|"&amp;5,Índice!$A$4:$A$1000,0)),"")</f>
        <v>Perceção do progenitor sobre a comunicação parento-filial — 44 itens</v>
      </c>
      <c r="J8" s="6" t="str">
        <f aca="false">IFERROR(INDEX(Catálogo!J$4:J$1000,MATCH($A$1&amp;"|"&amp;5,Índice!$A$4:$A$1000,0)),"")</f>
        <v>F1 Afeto/Apoio; F2 Disponibilidade Parental; F3 Metacomunicação; F4 Confiança P→F; F5 Confiança F→P; Total</v>
      </c>
      <c r="K8" s="6" t="str">
        <f aca="false">IFERROR(INDEX(Catálogo!K$4:K$1000,MATCH($A$1&amp;"|"&amp;5,Índice!$A$4:$A$1000,0)),"")</f>
        <v>compap</v>
      </c>
      <c r="L8" s="6" t="str">
        <f aca="false">IFERROR(INDEX(Catálogo!L$4:L$1000,MATCH($A$1&amp;"|"&amp;5,Índice!$A$4:$A$1000,0)),"")</f>
        <v>q_compap</v>
      </c>
      <c r="M8" s="7" t="str">
        <f aca="false">IFERROR(INDEX(Catálogo!M$4:M$1000,MATCH($A$1&amp;"|"&amp;5,Índice!$A$4:$A$1000,0)),"")</f>
        <v>https://correiaricardina-ui.github.io/questionarios/COMPA_P.html</v>
      </c>
    </row>
    <row r="9" customFormat="false" ht="42" hidden="false" customHeight="true" outlineLevel="0" collapsed="false">
      <c r="A9" s="5" t="n">
        <f aca="false">IFERROR(INDEX(Catálogo!A$4:A$1000,MATCH($A$1&amp;"|"&amp;6,Índice!$A$4:$A$1000,0)),"")</f>
        <v>67</v>
      </c>
      <c r="B9" s="6" t="str">
        <f aca="false">IFERROR(INDEX(Catálogo!B$4:B$1000,MATCH($A$1&amp;"|"&amp;6,Índice!$A$4:$A$1000,0)),"")</f>
        <v>FACES-IV adap — Coesão e Flexibilidade Familiar</v>
      </c>
      <c r="C9" s="6" t="str">
        <f aca="false">IFERROR(INDEX(Catálogo!C$4:C$1000,MATCH($A$1&amp;"|"&amp;6,Índice!$A$4:$A$1000,0)),"")</f>
        <v>Família &amp; Parentalidade</v>
      </c>
      <c r="D9" s="6" t="str">
        <f aca="false">IFERROR(INDEX(Catálogo!D$4:D$1000,MATCH($A$1&amp;"|"&amp;6,Índice!$A$4:$A$1000,0)),"")</f>
        <v>Mãe, Pai, Filho(a), Cuidador(a), Outro familiar</v>
      </c>
      <c r="E9" s="6" t="str">
        <f aca="false">IFERROR(INDEX(Catálogo!E$4:E$1000,MATCH($A$1&amp;"|"&amp;6,Índice!$A$4:$A$1000,0)),"")</f>
        <v>≥12 anos</v>
      </c>
      <c r="F9" s="5" t="n">
        <f aca="false">IFERROR(INDEX(Catálogo!F$4:F$1000,MATCH($A$1&amp;"|"&amp;6,Índice!$A$4:$A$1000,0)),"")</f>
        <v>1</v>
      </c>
      <c r="G9" s="5" t="n">
        <f aca="false">IFERROR(INDEX(Catálogo!G$4:G$1000,MATCH($A$1&amp;"|"&amp;6,Índice!$A$4:$A$1000,0)),"")</f>
        <v>8.2</v>
      </c>
      <c r="H9" s="5" t="n">
        <f aca="false">IFERROR(INDEX(Catálogo!H$4:H$1000,MATCH($A$1&amp;"|"&amp;6,Índice!$A$4:$A$1000,0)),"")</f>
        <v>7</v>
      </c>
      <c r="I9" s="6" t="str">
        <f aca="false">IFERROR(INDEX(Catálogo!I$4:I$1000,MATCH($A$1&amp;"|"&amp;6,Índice!$A$4:$A$1000,0)),"")</f>
        <v>Avaliação exploratória do funcionamento familiar por autorrelato (42 itens, escala 1-5) em 6 escalas: 2 equilibradas (Coesão Equilibrada, Flexibilidade Equilibrada) e 4 desequilibradas (Desagregada, Emaranhada, Rígida, Caótica). Adaptação inspirada (Via B) no Modelo Circumplexo de Olson (FACES-IV) — NÃO reproduz o instrumento original nem as suas normas. Sem normas portuguesas: resultados descritivos por POMP %, rácios de equilíbrio (Coesão, Flexibilidade e Circumplexo Total) e posicionamento no modelo. A interpretação clínica é da responsabilidade do psicólogo.</v>
      </c>
      <c r="J9" s="6" t="str">
        <f aca="false">IFERROR(INDEX(Catálogo!J$4:J$1000,MATCH($A$1&amp;"|"&amp;6,Índice!$A$4:$A$1000,0)),"")</f>
        <v>Coesão Equilibrada (CE); Flexibilidade Equilibrada (FE); Desagregada (DES); Emaranhada (EMA); Rígida (RIG); Caótica (CAO); Rácio Circumplexo Total</v>
      </c>
      <c r="K9" s="6" t="str">
        <f aca="false">IFERROR(INDEX(Catálogo!K$4:K$1000,MATCH($A$1&amp;"|"&amp;6,Índice!$A$4:$A$1000,0)),"")</f>
        <v>faces_iv_adap</v>
      </c>
      <c r="L9" s="6" t="str">
        <f aca="false">IFERROR(INDEX(Catálogo!L$4:L$1000,MATCH($A$1&amp;"|"&amp;6,Índice!$A$4:$A$1000,0)),"")</f>
        <v>q_facesivadap</v>
      </c>
      <c r="M9" s="7" t="str">
        <f aca="false">IFERROR(INDEX(Catálogo!M$4:M$1000,MATCH($A$1&amp;"|"&amp;6,Índice!$A$4:$A$1000,0)),"")</f>
        <v>https://correiaricardina-ui.github.io/questionarios/FACES_IV_adap.html</v>
      </c>
    </row>
    <row r="10" customFormat="false" ht="42" hidden="false" customHeight="true" outlineLevel="0" collapsed="false">
      <c r="A10" s="5" t="n">
        <f aca="false">IFERROR(INDEX(Catálogo!A$4:A$1000,MATCH($A$1&amp;"|"&amp;7,Índice!$A$4:$A$1000,0)),"")</f>
        <v>68</v>
      </c>
      <c r="B10" s="6" t="str">
        <f aca="false">IFERROR(INDEX(Catálogo!B$4:B$1000,MATCH($A$1&amp;"|"&amp;7,Índice!$A$4:$A$1000,0)),"")</f>
        <v>FAD-60 — Family Assessment Device</v>
      </c>
      <c r="C10" s="6" t="str">
        <f aca="false">IFERROR(INDEX(Catálogo!C$4:C$1000,MATCH($A$1&amp;"|"&amp;7,Índice!$A$4:$A$1000,0)),"")</f>
        <v>Família &amp; Parentalidade</v>
      </c>
      <c r="D10" s="6" t="str">
        <f aca="false">IFERROR(INDEX(Catálogo!D$4:D$1000,MATCH($A$1&amp;"|"&amp;7,Índice!$A$4:$A$1000,0)),"")</f>
        <v>Mãe, Pai, Enc. Educação, Outro familiar</v>
      </c>
      <c r="E10" s="6" t="str">
        <f aca="false">IFERROR(INDEX(Catálogo!E$4:E$1000,MATCH($A$1&amp;"|"&amp;7,Índice!$A$4:$A$1000,0)),"")</f>
        <v>Família</v>
      </c>
      <c r="F10" s="5" t="n">
        <f aca="false">IFERROR(INDEX(Catálogo!F$4:F$1000,MATCH($A$1&amp;"|"&amp;7,Índice!$A$4:$A$1000,0)),"")</f>
        <v>0</v>
      </c>
      <c r="G10" s="5" t="n">
        <f aca="false">IFERROR(INDEX(Catálogo!G$4:G$1000,MATCH($A$1&amp;"|"&amp;7,Índice!$A$4:$A$1000,0)),"")</f>
        <v>83.2</v>
      </c>
      <c r="H10" s="5" t="n">
        <f aca="false">IFERROR(INDEX(Catálogo!H$4:H$1000,MATCH($A$1&amp;"|"&amp;7,Índice!$A$4:$A$1000,0)),"")</f>
        <v>7</v>
      </c>
      <c r="I10" s="6" t="str">
        <f aca="false">IFERROR(INDEX(Catálogo!I$4:I$1000,MATCH($A$1&amp;"|"&amp;7,Índice!$A$4:$A$1000,0)),"")</f>
        <v>Avaliação do funcionamento familiar em 7 subescalas — 60 itens (Epstein et al., 1983)</v>
      </c>
      <c r="J10" s="6" t="str">
        <f aca="false">IFERROR(INDEX(Catálogo!J$4:J$1000,MATCH($A$1&amp;"|"&amp;7,Índice!$A$4:$A$1000,0)),"")</f>
        <v>Resolução de Problemas (PS); Comunicação (CO); Papéis Familiares (RO); Responsividade Afetiva (AR); Envolvimento Afetivo (AI); Controlo Comportamental (BC); Funcionamento Geral (GF)</v>
      </c>
      <c r="K10" s="6" t="str">
        <f aca="false">IFERROR(INDEX(Catálogo!K$4:K$1000,MATCH($A$1&amp;"|"&amp;7,Índice!$A$4:$A$1000,0)),"")</f>
        <v>fad_60</v>
      </c>
      <c r="L10" s="6" t="str">
        <f aca="false">IFERROR(INDEX(Catálogo!L$4:L$1000,MATCH($A$1&amp;"|"&amp;7,Índice!$A$4:$A$1000,0)),"")</f>
        <v>q_fad_60</v>
      </c>
      <c r="M10" s="7" t="str">
        <f aca="false">IFERROR(INDEX(Catálogo!M$4:M$1000,MATCH($A$1&amp;"|"&amp;7,Índice!$A$4:$A$1000,0)),"")</f>
        <v>https://correiaricardina-ui.github.io/questionarios/FAD_60_v1.html</v>
      </c>
    </row>
    <row r="11" customFormat="false" ht="42" hidden="false" customHeight="true" outlineLevel="0" collapsed="false">
      <c r="A11" s="5" t="n">
        <f aca="false">IFERROR(INDEX(Catálogo!A$4:A$1000,MATCH($A$1&amp;"|"&amp;8,Índice!$A$4:$A$1000,0)),"")</f>
        <v>69</v>
      </c>
      <c r="B11" s="6" t="str">
        <f aca="false">IFERROR(INDEX(Catálogo!B$4:B$1000,MATCH($A$1&amp;"|"&amp;8,Índice!$A$4:$A$1000,0)),"")</f>
        <v>FAD-GF — Funcionamento Geral da Família</v>
      </c>
      <c r="C11" s="6" t="str">
        <f aca="false">IFERROR(INDEX(Catálogo!C$4:C$1000,MATCH($A$1&amp;"|"&amp;8,Índice!$A$4:$A$1000,0)),"")</f>
        <v>Família &amp; Parentalidade</v>
      </c>
      <c r="D11" s="6" t="str">
        <f aca="false">IFERROR(INDEX(Catálogo!D$4:D$1000,MATCH($A$1&amp;"|"&amp;8,Índice!$A$4:$A$1000,0)),"")</f>
        <v>Mãe, Pai, Enc. Educação, Outro familiar</v>
      </c>
      <c r="E11" s="6" t="str">
        <f aca="false">IFERROR(INDEX(Catálogo!E$4:E$1000,MATCH($A$1&amp;"|"&amp;8,Índice!$A$4:$A$1000,0)),"")</f>
        <v>Família</v>
      </c>
      <c r="F11" s="5" t="n">
        <f aca="false">IFERROR(INDEX(Catálogo!F$4:F$1000,MATCH($A$1&amp;"|"&amp;8,Índice!$A$4:$A$1000,0)),"")</f>
        <v>0</v>
      </c>
      <c r="G11" s="5" t="n">
        <f aca="false">IFERROR(INDEX(Catálogo!G$4:G$1000,MATCH($A$1&amp;"|"&amp;8,Índice!$A$4:$A$1000,0)),"")</f>
        <v>83.2</v>
      </c>
      <c r="H11" s="5" t="n">
        <f aca="false">IFERROR(INDEX(Catálogo!H$4:H$1000,MATCH($A$1&amp;"|"&amp;8,Índice!$A$4:$A$1000,0)),"")</f>
        <v>2</v>
      </c>
      <c r="I11" s="6" t="str">
        <f aca="false">IFERROR(INDEX(Catálogo!I$4:I$1000,MATCH($A$1&amp;"|"&amp;8,Índice!$A$4:$A$1000,0)),"")</f>
        <v>Avaliação do funcionamento familiar global — 12 itens (Epstein et al., 1983)</v>
      </c>
      <c r="J11" s="6" t="str">
        <f aca="false">IFERROR(INDEX(Catálogo!J$4:J$1000,MATCH($A$1&amp;"|"&amp;8,Índice!$A$4:$A$1000,0)),"")</f>
        <v>Score FAD-GF; Classificação</v>
      </c>
      <c r="K11" s="6" t="str">
        <f aca="false">IFERROR(INDEX(Catálogo!K$4:K$1000,MATCH($A$1&amp;"|"&amp;8,Índice!$A$4:$A$1000,0)),"")</f>
        <v>fad_gf</v>
      </c>
      <c r="L11" s="6" t="str">
        <f aca="false">IFERROR(INDEX(Catálogo!L$4:L$1000,MATCH($A$1&amp;"|"&amp;8,Índice!$A$4:$A$1000,0)),"")</f>
        <v>q_fad_gf</v>
      </c>
      <c r="M11" s="7" t="str">
        <f aca="false">IFERROR(INDEX(Catálogo!M$4:M$1000,MATCH($A$1&amp;"|"&amp;8,Índice!$A$4:$A$1000,0)),"")</f>
        <v>https://correiaricardina-ui.github.io/questionarios/FAD_GF_v2.html</v>
      </c>
    </row>
    <row r="12" customFormat="false" ht="42" hidden="false" customHeight="true" outlineLevel="0" collapsed="false">
      <c r="A12" s="5" t="n">
        <f aca="false">IFERROR(INDEX(Catálogo!A$4:A$1000,MATCH($A$1&amp;"|"&amp;9,Índice!$A$4:$A$1000,0)),"")</f>
        <v>70</v>
      </c>
      <c r="B12" s="6" t="str">
        <f aca="false">IFERROR(INDEX(Catálogo!B$4:B$1000,MATCH($A$1&amp;"|"&amp;9,Índice!$A$4:$A$1000,0)),"")</f>
        <v>FAS — Autorrelato Adolescência TOC</v>
      </c>
      <c r="C12" s="6" t="str">
        <f aca="false">IFERROR(INDEX(Catálogo!C$4:C$1000,MATCH($A$1&amp;"|"&amp;9,Índice!$A$4:$A$1000,0)),"")</f>
        <v>Família &amp; Parentalidade</v>
      </c>
      <c r="D12" s="6" t="str">
        <f aca="false">IFERROR(INDEX(Catálogo!D$4:D$1000,MATCH($A$1&amp;"|"&amp;9,Índice!$A$4:$A$1000,0)),"")</f>
        <v>Paciente</v>
      </c>
      <c r="E12" s="6" t="str">
        <f aca="false">IFERROR(INDEX(Catálogo!E$4:E$1000,MATCH($A$1&amp;"|"&amp;9,Índice!$A$4:$A$1000,0)),"")</f>
        <v>11–17 anos</v>
      </c>
      <c r="F12" s="5" t="n">
        <f aca="false">IFERROR(INDEX(Catálogo!F$4:F$1000,MATCH($A$1&amp;"|"&amp;9,Índice!$A$4:$A$1000,0)),"")</f>
        <v>11</v>
      </c>
      <c r="G12" s="5" t="n">
        <f aca="false">IFERROR(INDEX(Catálogo!G$4:G$1000,MATCH($A$1&amp;"|"&amp;9,Índice!$A$4:$A$1000,0)),"")</f>
        <v>17.9</v>
      </c>
      <c r="H12" s="5" t="n">
        <f aca="false">IFERROR(INDEX(Catálogo!H$4:H$1000,MATCH($A$1&amp;"|"&amp;9,Índice!$A$4:$A$1000,0)),"")</f>
        <v>6</v>
      </c>
      <c r="I12" s="6" t="str">
        <f aca="false">IFERROR(INDEX(Catálogo!I$4:I$1000,MATCH($A$1&amp;"|"&amp;9,Índice!$A$4:$A$1000,0)),"")</f>
        <v>Autorrelato Adolescência (11-17 anos) · Calvocoressi/Flessner (adaptação Via B PT-EU). Linguagem adolescente formal — o(a) jovem avalia os seus sintomas TOC e a acomodação dos pais. Estrutura completa: Bloco A (16 cat.), Bloco B+C (PAR 5 + MOD 4 + SOF + CON), Bloco D (UP/DC/AENA). Todos os indicadores: Obs/Comp, DS, DOC, PAR, MOD, Total, RAS, IRC. Mesmos alertas (CMO ≥ 3, RAS &gt; 8, IRC ≥ 9). Excepcionalmente útil para articulação com a versão Parental: divergências sistemáticas pais-adolescente sinalizam discordâncias sobre a natureza dos rituais ou sobre o nível de acomodação efectivamente prestada.</v>
      </c>
      <c r="J12" s="6" t="str">
        <f aca="false">IFERROR(INDEX(Catálogo!J$4:J$1000,MATCH($A$1&amp;"|"&amp;9,Índice!$A$4:$A$1000,0)),"")</f>
        <v>Obs / Comp / DS / DOC; PAR (0-20) / MOD (0-16); Acomodação Total (0-36); SOF, RC, CMO, RAS; UP / DC / AENA; IRC (0-12)</v>
      </c>
      <c r="K12" s="6" t="str">
        <f aca="false">IFERROR(INDEX(Catálogo!K$4:K$1000,MATCH($A$1&amp;"|"&amp;9,Índice!$A$4:$A$1000,0)),"")</f>
        <v>fas_cr_adolescencia</v>
      </c>
      <c r="L12" s="6" t="str">
        <f aca="false">IFERROR(INDEX(Catálogo!L$4:L$1000,MATCH($A$1&amp;"|"&amp;9,Índice!$A$4:$A$1000,0)),"")</f>
        <v>q_fas_cr_adolescencia</v>
      </c>
      <c r="M12" s="7" t="str">
        <f aca="false">IFERROR(INDEX(Catálogo!M$4:M$1000,MATCH($A$1&amp;"|"&amp;9,Índice!$A$4:$A$1000,0)),"")</f>
        <v>https://correiaricardina-ui.github.io/questionarios/FAS_CR_Adolescencia.html</v>
      </c>
    </row>
    <row r="13" customFormat="false" ht="42" hidden="false" customHeight="true" outlineLevel="0" collapsed="false">
      <c r="A13" s="5" t="n">
        <f aca="false">IFERROR(INDEX(Catálogo!A$4:A$1000,MATCH($A$1&amp;"|"&amp;10,Índice!$A$4:$A$1000,0)),"")</f>
        <v>71</v>
      </c>
      <c r="B13" s="6" t="str">
        <f aca="false">IFERROR(INDEX(Catálogo!B$4:B$1000,MATCH($A$1&amp;"|"&amp;10,Índice!$A$4:$A$1000,0)),"")</f>
        <v>FAS — Autorrelato Infância TOC</v>
      </c>
      <c r="C13" s="6" t="str">
        <f aca="false">IFERROR(INDEX(Catálogo!C$4:C$1000,MATCH($A$1&amp;"|"&amp;10,Índice!$A$4:$A$1000,0)),"")</f>
        <v>Família &amp; Parentalidade</v>
      </c>
      <c r="D13" s="6" t="str">
        <f aca="false">IFERROR(INDEX(Catálogo!D$4:D$1000,MATCH($A$1&amp;"|"&amp;10,Índice!$A$4:$A$1000,0)),"")</f>
        <v>Paciente</v>
      </c>
      <c r="E13" s="6" t="str">
        <f aca="false">IFERROR(INDEX(Catálogo!E$4:E$1000,MATCH($A$1&amp;"|"&amp;10,Índice!$A$4:$A$1000,0)),"")</f>
        <v>7–10 anos</v>
      </c>
      <c r="F13" s="5" t="n">
        <f aca="false">IFERROR(INDEX(Catálogo!F$4:F$1000,MATCH($A$1&amp;"|"&amp;10,Índice!$A$4:$A$1000,0)),"")</f>
        <v>7</v>
      </c>
      <c r="G13" s="5" t="n">
        <f aca="false">IFERROR(INDEX(Catálogo!G$4:G$1000,MATCH($A$1&amp;"|"&amp;10,Índice!$A$4:$A$1000,0)),"")</f>
        <v>10.9</v>
      </c>
      <c r="H13" s="5" t="n">
        <f aca="false">IFERROR(INDEX(Catálogo!H$4:H$1000,MATCH($A$1&amp;"|"&amp;10,Índice!$A$4:$A$1000,0)),"")</f>
        <v>6</v>
      </c>
      <c r="I13" s="6" t="str">
        <f aca="false">IFERROR(INDEX(Catálogo!I$4:I$1000,MATCH($A$1&amp;"|"&amp;10,Índice!$A$4:$A$1000,0)),"")</f>
        <v>Autorrelato Infância (7-10 anos) · Calvocoressi/Flessner (adaptação Via B PT-EU). Linguagem infantil — a criança avalia as suas preocupações/rituais e a acomodação dos pais. Bloco A — Checklist (16 cat. TOC com linguagem infantil); Bloco B+C (PAR 5 + MOD 4 + SOF + CON); Bloco D — Crenças: UP (item 14), DC (item 15), AENA (item 16). Todos os indicadores TOC: Obs/Comp, DS, DOC, RAS. Adicionalmente IRC (0-12). Alertas: CMO ≥ 3, RAS &gt; 8, IRC ≥ 9 (a criança dá utilidade percebida alta + quer continuidade + baixa autoeficácia para lidar sozinha — dependência cognitiva relativamente à acomodação).</v>
      </c>
      <c r="J13" s="6" t="str">
        <f aca="false">IFERROR(INDEX(Catálogo!J$4:J$1000,MATCH($A$1&amp;"|"&amp;10,Índice!$A$4:$A$1000,0)),"")</f>
        <v>Obs / Comp / DS / DOC; PAR (0-20) / MOD (0-16); Acomodação Total (0-36); SOF, RC, CMO, RAS; UP / DC / AENA; IRC (0-12)</v>
      </c>
      <c r="K13" s="6" t="str">
        <f aca="false">IFERROR(INDEX(Catálogo!K$4:K$1000,MATCH($A$1&amp;"|"&amp;10,Índice!$A$4:$A$1000,0)),"")</f>
        <v>fas_cr_infancia</v>
      </c>
      <c r="L13" s="6" t="str">
        <f aca="false">IFERROR(INDEX(Catálogo!L$4:L$1000,MATCH($A$1&amp;"|"&amp;10,Índice!$A$4:$A$1000,0)),"")</f>
        <v>q_fas_cr_infancia</v>
      </c>
      <c r="M13" s="7" t="str">
        <f aca="false">IFERROR(INDEX(Catálogo!M$4:M$1000,MATCH($A$1&amp;"|"&amp;10,Índice!$A$4:$A$1000,0)),"")</f>
        <v>https://correiaricardina-ui.github.io/questionarios/FAS_CR_Infancia.html</v>
      </c>
    </row>
    <row r="14" customFormat="false" ht="42" hidden="false" customHeight="true" outlineLevel="0" collapsed="false">
      <c r="A14" s="5" t="n">
        <f aca="false">IFERROR(INDEX(Catálogo!A$4:A$1000,MATCH($A$1&amp;"|"&amp;11,Índice!$A$4:$A$1000,0)),"")</f>
        <v>72</v>
      </c>
      <c r="B14" s="6" t="str">
        <f aca="false">IFERROR(INDEX(Catálogo!B$4:B$1000,MATCH($A$1&amp;"|"&amp;11,Índice!$A$4:$A$1000,0)),"")</f>
        <v>FAS — Versão Parental (TOC)</v>
      </c>
      <c r="C14" s="6" t="str">
        <f aca="false">IFERROR(INDEX(Catálogo!C$4:C$1000,MATCH($A$1&amp;"|"&amp;11,Índice!$A$4:$A$1000,0)),"")</f>
        <v>Família &amp; Parentalidade</v>
      </c>
      <c r="D14" s="6" t="str">
        <f aca="false">IFERROR(INDEX(Catálogo!D$4:D$1000,MATCH($A$1&amp;"|"&amp;11,Índice!$A$4:$A$1000,0)),"")</f>
        <v>Mãe, Pai, Enc. Educação</v>
      </c>
      <c r="E14" s="6" t="str">
        <f aca="false">IFERROR(INDEX(Catálogo!E$4:E$1000,MATCH($A$1&amp;"|"&amp;11,Índice!$A$4:$A$1000,0)),"")</f>
        <v>7–18 anos</v>
      </c>
      <c r="F14" s="5" t="n">
        <f aca="false">IFERROR(INDEX(Catálogo!F$4:F$1000,MATCH($A$1&amp;"|"&amp;11,Índice!$A$4:$A$1000,0)),"")</f>
        <v>7</v>
      </c>
      <c r="G14" s="5" t="n">
        <f aca="false">IFERROR(INDEX(Catálogo!G$4:G$1000,MATCH($A$1&amp;"|"&amp;11,Índice!$A$4:$A$1000,0)),"")</f>
        <v>17.9</v>
      </c>
      <c r="H14" s="5" t="n">
        <f aca="false">IFERROR(INDEX(Catálogo!H$4:H$1000,MATCH($A$1&amp;"|"&amp;11,Índice!$A$4:$A$1000,0)),"")</f>
        <v>7</v>
      </c>
      <c r="I14" s="6" t="str">
        <f aca="false">IFERROR(INDEX(Catálogo!I$4:I$1000,MATCH($A$1&amp;"|"&amp;11,Índice!$A$4:$A$1000,0)),"")</f>
        <v>Versão Parental · Calvocoressi/Flessner (adaptação Via B PT-EU). Avalia a acomodação familiar aos sintomas obsessivo-compulsivos do(a) filho(a). Bloco A — Checklist sintomático (16 categorias dicotómicas: 8 Obsessões + 8 Compulsões); Bloco B — Acomodação (PAR 5 itens 0-20 + MOD 4 itens 0-16); Bloco C — Sofrimento/Consequências. Indicadores derivados: Obs/Comp (0-8 cada), DS (Diversidade Sintomática 0-16: Focal/Moderada/Alargada/Difusa), DOC (Diferencial Obs−Comp −8 a +8: Pred. Compulsivo/Equilibrado/Pred. Obsessivo), Acomodação Total 0-36, RAS (Razão Acomodação/Sintoma = Total ÷ DS: Dispersa &lt;2.5 / Distribuída ≤5 / Concentrada ≤8 / Hiperconcentrada &gt;8 ⚠). Alertas: CMO ≥ 3, RAS &gt; 8 (perfil "muita acomodação para pouco sintoma", típico de TOC focal). Orienta diagnóstico diferencial e plano terapêutico (ERP com envolvimento parental).</v>
      </c>
      <c r="J14" s="6" t="str">
        <f aca="false">IFERROR(INDEX(Catálogo!J$4:J$1000,MATCH($A$1&amp;"|"&amp;11,Índice!$A$4:$A$1000,0)),"")</f>
        <v>Obs / Comp (0-8 cada); DS (0-16) / DOC (-8 a +8); PAR (0-20) / MOD (0-16); Acomodação Total (0-36); SOF, RC, CMO; RAS (Total/DS); Categorias presentes</v>
      </c>
      <c r="K14" s="6" t="str">
        <f aca="false">IFERROR(INDEX(Catálogo!K$4:K$1000,MATCH($A$1&amp;"|"&amp;11,Índice!$A$4:$A$1000,0)),"")</f>
        <v>fas_parental</v>
      </c>
      <c r="L14" s="6" t="str">
        <f aca="false">IFERROR(INDEX(Catálogo!L$4:L$1000,MATCH($A$1&amp;"|"&amp;11,Índice!$A$4:$A$1000,0)),"")</f>
        <v>q_fas_parental</v>
      </c>
      <c r="M14" s="7" t="str">
        <f aca="false">IFERROR(INDEX(Catálogo!M$4:M$1000,MATCH($A$1&amp;"|"&amp;11,Índice!$A$4:$A$1000,0)),"")</f>
        <v>https://correiaricardina-ui.github.io/questionarios/FAS_Parental.html</v>
      </c>
    </row>
    <row r="15" customFormat="false" ht="42" hidden="false" customHeight="true" outlineLevel="0" collapsed="false">
      <c r="A15" s="5" t="n">
        <f aca="false">IFERROR(INDEX(Catálogo!A$4:A$1000,MATCH($A$1&amp;"|"&amp;12,Índice!$A$4:$A$1000,0)),"")</f>
        <v>73</v>
      </c>
      <c r="B15" s="6" t="str">
        <f aca="false">IFERROR(INDEX(Catálogo!B$4:B$1000,MATCH($A$1&amp;"|"&amp;12,Índice!$A$4:$A$1000,0)),"")</f>
        <v>FASA — Autorrelato Adolescência</v>
      </c>
      <c r="C15" s="6" t="str">
        <f aca="false">IFERROR(INDEX(Catálogo!C$4:C$1000,MATCH($A$1&amp;"|"&amp;12,Índice!$A$4:$A$1000,0)),"")</f>
        <v>Família &amp; Parentalidade</v>
      </c>
      <c r="D15" s="6" t="str">
        <f aca="false">IFERROR(INDEX(Catálogo!D$4:D$1000,MATCH($A$1&amp;"|"&amp;12,Índice!$A$4:$A$1000,0)),"")</f>
        <v>Paciente</v>
      </c>
      <c r="E15" s="6" t="str">
        <f aca="false">IFERROR(INDEX(Catálogo!E$4:E$1000,MATCH($A$1&amp;"|"&amp;12,Índice!$A$4:$A$1000,0)),"")</f>
        <v>11–17 anos</v>
      </c>
      <c r="F15" s="5" t="n">
        <f aca="false">IFERROR(INDEX(Catálogo!F$4:F$1000,MATCH($A$1&amp;"|"&amp;12,Índice!$A$4:$A$1000,0)),"")</f>
        <v>11</v>
      </c>
      <c r="G15" s="5" t="n">
        <f aca="false">IFERROR(INDEX(Catálogo!G$4:G$1000,MATCH($A$1&amp;"|"&amp;12,Índice!$A$4:$A$1000,0)),"")</f>
        <v>17.9</v>
      </c>
      <c r="H15" s="5" t="n">
        <f aca="false">IFERROR(INDEX(Catálogo!H$4:H$1000,MATCH($A$1&amp;"|"&amp;12,Índice!$A$4:$A$1000,0)),"")</f>
        <v>6</v>
      </c>
      <c r="I15" s="6" t="str">
        <f aca="false">IFERROR(INDEX(Catálogo!I$4:I$1000,MATCH($A$1&amp;"|"&amp;12,Índice!$A$4:$A$1000,0)),"")</f>
        <v>Autorrelato Adolescência (11-17 anos) · Lebowitz et al. (adaptação Via B PT-EU). Linguagem adolescente formal — o(a) jovem avalia o envolvimento dos pais nas suas preocupações ansiosas. 16 itens idênticos em estrutura à versão Infância (PAR, MOD, SOF, CON, Bloco D — UP/DC/AENA). Acomodação Total 0-36. IRC 0-12. Alertas CMO ≥ 3 e IRC ≥ 9. Útil para articular percepções da díade pais-adolescente (comparar com versão Parental quando disponível).</v>
      </c>
      <c r="J15" s="6" t="str">
        <f aca="false">IFERROR(INDEX(Catálogo!J$4:J$1000,MATCH($A$1&amp;"|"&amp;12,Índice!$A$4:$A$1000,0)),"")</f>
        <v>PAR (0-16); MOD (0-20); Acomodação Total (0-36); SOF, RC, CMO; UP / DC / AENA; IRC (0-12)</v>
      </c>
      <c r="K15" s="6" t="str">
        <f aca="false">IFERROR(INDEX(Catálogo!K$4:K$1000,MATCH($A$1&amp;"|"&amp;12,Índice!$A$4:$A$1000,0)),"")</f>
        <v>fasa_cr_adolescencia</v>
      </c>
      <c r="L15" s="6" t="str">
        <f aca="false">IFERROR(INDEX(Catálogo!L$4:L$1000,MATCH($A$1&amp;"|"&amp;12,Índice!$A$4:$A$1000,0)),"")</f>
        <v>q_fasa_cr_adolescencia</v>
      </c>
      <c r="M15" s="7" t="str">
        <f aca="false">IFERROR(INDEX(Catálogo!M$4:M$1000,MATCH($A$1&amp;"|"&amp;12,Índice!$A$4:$A$1000,0)),"")</f>
        <v>https://correiaricardina-ui.github.io/questionarios/FASA_CR_Adolescencia.html</v>
      </c>
    </row>
    <row r="16" customFormat="false" ht="42" hidden="false" customHeight="true" outlineLevel="0" collapsed="false">
      <c r="A16" s="5" t="n">
        <f aca="false">IFERROR(INDEX(Catálogo!A$4:A$1000,MATCH($A$1&amp;"|"&amp;13,Índice!$A$4:$A$1000,0)),"")</f>
        <v>74</v>
      </c>
      <c r="B16" s="6" t="str">
        <f aca="false">IFERROR(INDEX(Catálogo!B$4:B$1000,MATCH($A$1&amp;"|"&amp;13,Índice!$A$4:$A$1000,0)),"")</f>
        <v>FASA — Autorrelato Infância</v>
      </c>
      <c r="C16" s="6" t="str">
        <f aca="false">IFERROR(INDEX(Catálogo!C$4:C$1000,MATCH($A$1&amp;"|"&amp;13,Índice!$A$4:$A$1000,0)),"")</f>
        <v>Família &amp; Parentalidade</v>
      </c>
      <c r="D16" s="6" t="str">
        <f aca="false">IFERROR(INDEX(Catálogo!D$4:D$1000,MATCH($A$1&amp;"|"&amp;13,Índice!$A$4:$A$1000,0)),"")</f>
        <v>Paciente</v>
      </c>
      <c r="E16" s="6" t="str">
        <f aca="false">IFERROR(INDEX(Catálogo!E$4:E$1000,MATCH($A$1&amp;"|"&amp;13,Índice!$A$4:$A$1000,0)),"")</f>
        <v>7–10 anos</v>
      </c>
      <c r="F16" s="5" t="n">
        <f aca="false">IFERROR(INDEX(Catálogo!F$4:F$1000,MATCH($A$1&amp;"|"&amp;13,Índice!$A$4:$A$1000,0)),"")</f>
        <v>7</v>
      </c>
      <c r="G16" s="5" t="n">
        <f aca="false">IFERROR(INDEX(Catálogo!G$4:G$1000,MATCH($A$1&amp;"|"&amp;13,Índice!$A$4:$A$1000,0)),"")</f>
        <v>10.9</v>
      </c>
      <c r="H16" s="5" t="n">
        <f aca="false">IFERROR(INDEX(Catálogo!H$4:H$1000,MATCH($A$1&amp;"|"&amp;13,Índice!$A$4:$A$1000,0)),"")</f>
        <v>6</v>
      </c>
      <c r="I16" s="6" t="str">
        <f aca="false">IFERROR(INDEX(Catálogo!I$4:I$1000,MATCH($A$1&amp;"|"&amp;13,Índice!$A$4:$A$1000,0)),"")</f>
        <v>Autorrelato Infância (7-10 anos) · Lebowitz et al. (adaptação Via B PT-EU). Linguagem infantil — a criança avalia o envolvimento dos pais nas suas preocupações ansiosas. 16 itens: PAR (1-4, 0-16), MOD (5-9, 0-20), SOF (item 10), CON (11-13), Bloco D — Crenças: UP (Utilidade Percebida, item 14), DC (Desejo de Continuidade, item 15), AENA (Autoeficácia para Não-Acomodação, item 16, direção inversa). Acomodação Total 0-36 (mesmas bandas que Parental). IRC = UP + DC + (4 − AENA), 0-12: Baixa (0-4) / Moderada (5-8) / Elevada (9-12 ⚠). Alertas: CMO ≥ 3, IRC ≥ 9 (dependência cognitiva da acomodação).</v>
      </c>
      <c r="J16" s="6" t="str">
        <f aca="false">IFERROR(INDEX(Catálogo!J$4:J$1000,MATCH($A$1&amp;"|"&amp;13,Índice!$A$4:$A$1000,0)),"")</f>
        <v>PAR (0-16); MOD (0-20); Acomodação Total (0-36); SOF, RC, CMO; UP / DC / AENA; IRC (0-12)</v>
      </c>
      <c r="K16" s="6" t="str">
        <f aca="false">IFERROR(INDEX(Catálogo!K$4:K$1000,MATCH($A$1&amp;"|"&amp;13,Índice!$A$4:$A$1000,0)),"")</f>
        <v>fasa_cr_infancia</v>
      </c>
      <c r="L16" s="6" t="str">
        <f aca="false">IFERROR(INDEX(Catálogo!L$4:L$1000,MATCH($A$1&amp;"|"&amp;13,Índice!$A$4:$A$1000,0)),"")</f>
        <v>q_fasa_cr_infancia</v>
      </c>
      <c r="M16" s="7" t="str">
        <f aca="false">IFERROR(INDEX(Catálogo!M$4:M$1000,MATCH($A$1&amp;"|"&amp;13,Índice!$A$4:$A$1000,0)),"")</f>
        <v>https://correiaricardina-ui.github.io/questionarios/FASA_CR_Infancia.html</v>
      </c>
    </row>
    <row r="17" customFormat="false" ht="42" hidden="false" customHeight="true" outlineLevel="0" collapsed="false">
      <c r="A17" s="5" t="n">
        <f aca="false">IFERROR(INDEX(Catálogo!A$4:A$1000,MATCH($A$1&amp;"|"&amp;14,Índice!$A$4:$A$1000,0)),"")</f>
        <v>75</v>
      </c>
      <c r="B17" s="6" t="str">
        <f aca="false">IFERROR(INDEX(Catálogo!B$4:B$1000,MATCH($A$1&amp;"|"&amp;14,Índice!$A$4:$A$1000,0)),"")</f>
        <v>FASA — Versão Parental</v>
      </c>
      <c r="C17" s="6" t="str">
        <f aca="false">IFERROR(INDEX(Catálogo!C$4:C$1000,MATCH($A$1&amp;"|"&amp;14,Índice!$A$4:$A$1000,0)),"")</f>
        <v>Família &amp; Parentalidade</v>
      </c>
      <c r="D17" s="6" t="str">
        <f aca="false">IFERROR(INDEX(Catálogo!D$4:D$1000,MATCH($A$1&amp;"|"&amp;14,Índice!$A$4:$A$1000,0)),"")</f>
        <v>Mãe, Pai, Enc. Educação</v>
      </c>
      <c r="E17" s="6" t="str">
        <f aca="false">IFERROR(INDEX(Catálogo!E$4:E$1000,MATCH($A$1&amp;"|"&amp;14,Índice!$A$4:$A$1000,0)),"")</f>
        <v>2–18 anos</v>
      </c>
      <c r="F17" s="5" t="n">
        <f aca="false">IFERROR(INDEX(Catálogo!F$4:F$1000,MATCH($A$1&amp;"|"&amp;14,Índice!$A$4:$A$1000,0)),"")</f>
        <v>2</v>
      </c>
      <c r="G17" s="5" t="n">
        <f aca="false">IFERROR(INDEX(Catálogo!G$4:G$1000,MATCH($A$1&amp;"|"&amp;14,Índice!$A$4:$A$1000,0)),"")</f>
        <v>17.9</v>
      </c>
      <c r="H17" s="5" t="n">
        <f aca="false">IFERROR(INDEX(Catálogo!H$4:H$1000,MATCH($A$1&amp;"|"&amp;14,Índice!$A$4:$A$1000,0)),"")</f>
        <v>6</v>
      </c>
      <c r="I17" s="6" t="str">
        <f aca="false">IFERROR(INDEX(Catálogo!I$4:I$1000,MATCH($A$1&amp;"|"&amp;14,Índice!$A$4:$A$1000,0)),"")</f>
        <v>Versão Parental · Lebowitz et al. (adaptação Via B PT-EU). Avalia o envolvimento dos pais/cuidadores na acomodação familiar aos sintomas ansiosos da criança/adolescente, ao longo do último mês. 13 itens em 4 subescalas: PAR (Participação directa, itens 1-4, 0-16); MOD (Modificação de rotinas, itens 5-9, 0-20); SOF (Sofrimento parental, item 10, 0-4); CON (Consequências da não-acomodação, itens 11-13, 0-4). Acomodação Total 0-36 com bandas: Mínima (0-8), Ligeira/Moderada (9-17), Acentuada (18-26), Severa (27-36). Indicadores complementares: RC (Reatividade, média 11-13) e CMO (Consequência Máxima Observada). Alerta CMO ≥ 3 sinaliza risco de escalada perante não-acomodação. Orienta para intervenção SPACE ou equivalente.</v>
      </c>
      <c r="J17" s="6" t="str">
        <f aca="false">IFERROR(INDEX(Catálogo!J$4:J$1000,MATCH($A$1&amp;"|"&amp;14,Índice!$A$4:$A$1000,0)),"")</f>
        <v>PAR (0-16); MOD (0-20); Acomodação Total (0-36); SOF (item 10); RC (média 11-13); CMO (máx 11-13)</v>
      </c>
      <c r="K17" s="6" t="str">
        <f aca="false">IFERROR(INDEX(Catálogo!K$4:K$1000,MATCH($A$1&amp;"|"&amp;14,Índice!$A$4:$A$1000,0)),"")</f>
        <v>fasa_parental</v>
      </c>
      <c r="L17" s="6" t="str">
        <f aca="false">IFERROR(INDEX(Catálogo!L$4:L$1000,MATCH($A$1&amp;"|"&amp;14,Índice!$A$4:$A$1000,0)),"")</f>
        <v>q_fasa_parental</v>
      </c>
      <c r="M17" s="7" t="str">
        <f aca="false">IFERROR(INDEX(Catálogo!M$4:M$1000,MATCH($A$1&amp;"|"&amp;14,Índice!$A$4:$A$1000,0)),"")</f>
        <v>https://correiaricardina-ui.github.io/questionarios/FASA_Parental.html</v>
      </c>
    </row>
    <row r="18" customFormat="false" ht="42" hidden="false" customHeight="true" outlineLevel="0" collapsed="false">
      <c r="A18" s="5" t="n">
        <f aca="false">IFERROR(INDEX(Catálogo!A$4:A$1000,MATCH($A$1&amp;"|"&amp;15,Índice!$A$4:$A$1000,0)),"")</f>
        <v>92</v>
      </c>
      <c r="B18" s="6" t="str">
        <f aca="false">IFERROR(INDEX(Catálogo!B$4:B$1000,MATCH($A$1&amp;"|"&amp;15,Índice!$A$4:$A$1000,0)),"")</f>
        <v>MAP — Adolescência 12–14 anos</v>
      </c>
      <c r="C18" s="6" t="str">
        <f aca="false">IFERROR(INDEX(Catálogo!C$4:C$1000,MATCH($A$1&amp;"|"&amp;15,Índice!$A$4:$A$1000,0)),"")</f>
        <v>Família &amp; Parentalidade</v>
      </c>
      <c r="D18" s="6" t="str">
        <f aca="false">IFERROR(INDEX(Catálogo!D$4:D$1000,MATCH($A$1&amp;"|"&amp;15,Índice!$A$4:$A$1000,0)),"")</f>
        <v>Mãe, Pai, Enc. Educação</v>
      </c>
      <c r="E18" s="6" t="str">
        <f aca="false">IFERROR(INDEX(Catálogo!E$4:E$1000,MATCH($A$1&amp;"|"&amp;15,Índice!$A$4:$A$1000,0)),"")</f>
        <v>12–14 anos</v>
      </c>
      <c r="F18" s="5" t="n">
        <f aca="false">IFERROR(INDEX(Catálogo!F$4:F$1000,MATCH($A$1&amp;"|"&amp;15,Índice!$A$4:$A$1000,0)),"")</f>
        <v>0</v>
      </c>
      <c r="G18" s="5" t="n">
        <f aca="false">IFERROR(INDEX(Catálogo!G$4:G$1000,MATCH($A$1&amp;"|"&amp;15,Índice!$A$4:$A$1000,0)),"")</f>
        <v>99</v>
      </c>
      <c r="H18" s="5" t="n">
        <f aca="false">IFERROR(INDEX(Catálogo!H$4:H$1000,MATCH($A$1&amp;"|"&amp;15,Índice!$A$4:$A$1000,0)),"")</f>
        <v>3</v>
      </c>
      <c r="I18" s="6" t="str">
        <f aca="false">IFERROR(INDEX(Catálogo!I$4:I$1000,MATCH($A$1&amp;"|"&amp;15,Índice!$A$4:$A$1000,0)),"")</f>
        <v>Mapeamento parental sistémico — Adolescência 12–14 anos</v>
      </c>
      <c r="J18" s="6" t="str">
        <f aca="false">IFERROR(INDEX(Catálogo!J$4:J$1000,MATCH($A$1&amp;"|"&amp;15,Índice!$A$4:$A$1000,0)),"")</f>
        <v>Funcionamento Parental; Rotinas; Práticas Educativas</v>
      </c>
      <c r="K18" s="6" t="str">
        <f aca="false">IFERROR(INDEX(Catálogo!K$4:K$1000,MATCH($A$1&amp;"|"&amp;15,Índice!$A$4:$A$1000,0)),"")</f>
        <v>map_1214</v>
      </c>
      <c r="L18" s="6" t="str">
        <f aca="false">IFERROR(INDEX(Catálogo!L$4:L$1000,MATCH($A$1&amp;"|"&amp;15,Índice!$A$4:$A$1000,0)),"")</f>
        <v>q_map_1214</v>
      </c>
      <c r="M18" s="7" t="str">
        <f aca="false">IFERROR(INDEX(Catálogo!M$4:M$1000,MATCH($A$1&amp;"|"&amp;15,Índice!$A$4:$A$1000,0)),"")</f>
        <v>https://correiaricardina-ui.github.io/questionarios/MAP_ParentalAvaliacaoSistemica_1214_v1.html</v>
      </c>
    </row>
    <row r="19" customFormat="false" ht="42" hidden="false" customHeight="true" outlineLevel="0" collapsed="false">
      <c r="A19" s="5" t="n">
        <f aca="false">IFERROR(INDEX(Catálogo!A$4:A$1000,MATCH($A$1&amp;"|"&amp;16,Índice!$A$4:$A$1000,0)),"")</f>
        <v>93</v>
      </c>
      <c r="B19" s="6" t="str">
        <f aca="false">IFERROR(INDEX(Catálogo!B$4:B$1000,MATCH($A$1&amp;"|"&amp;16,Índice!$A$4:$A$1000,0)),"")</f>
        <v>MAP — Adolescência 15–18 anos</v>
      </c>
      <c r="C19" s="6" t="str">
        <f aca="false">IFERROR(INDEX(Catálogo!C$4:C$1000,MATCH($A$1&amp;"|"&amp;16,Índice!$A$4:$A$1000,0)),"")</f>
        <v>Família &amp; Parentalidade</v>
      </c>
      <c r="D19" s="6" t="str">
        <f aca="false">IFERROR(INDEX(Catálogo!D$4:D$1000,MATCH($A$1&amp;"|"&amp;16,Índice!$A$4:$A$1000,0)),"")</f>
        <v>Mãe, Pai, Enc. Educação</v>
      </c>
      <c r="E19" s="6" t="str">
        <f aca="false">IFERROR(INDEX(Catálogo!E$4:E$1000,MATCH($A$1&amp;"|"&amp;16,Índice!$A$4:$A$1000,0)),"")</f>
        <v>15–18 anos</v>
      </c>
      <c r="F19" s="5" t="n">
        <f aca="false">IFERROR(INDEX(Catálogo!F$4:F$1000,MATCH($A$1&amp;"|"&amp;16,Índice!$A$4:$A$1000,0)),"")</f>
        <v>0</v>
      </c>
      <c r="G19" s="5" t="n">
        <f aca="false">IFERROR(INDEX(Catálogo!G$4:G$1000,MATCH($A$1&amp;"|"&amp;16,Índice!$A$4:$A$1000,0)),"")</f>
        <v>99</v>
      </c>
      <c r="H19" s="5" t="n">
        <f aca="false">IFERROR(INDEX(Catálogo!H$4:H$1000,MATCH($A$1&amp;"|"&amp;16,Índice!$A$4:$A$1000,0)),"")</f>
        <v>3</v>
      </c>
      <c r="I19" s="6" t="str">
        <f aca="false">IFERROR(INDEX(Catálogo!I$4:I$1000,MATCH($A$1&amp;"|"&amp;16,Índice!$A$4:$A$1000,0)),"")</f>
        <v>Mapeamento parental sistémico — Adolescência 15–18 anos</v>
      </c>
      <c r="J19" s="6" t="str">
        <f aca="false">IFERROR(INDEX(Catálogo!J$4:J$1000,MATCH($A$1&amp;"|"&amp;16,Índice!$A$4:$A$1000,0)),"")</f>
        <v>Funcionamento Parental; Rotinas; Práticas Educativas</v>
      </c>
      <c r="K19" s="6" t="str">
        <f aca="false">IFERROR(INDEX(Catálogo!K$4:K$1000,MATCH($A$1&amp;"|"&amp;16,Índice!$A$4:$A$1000,0)),"")</f>
        <v>map_1518</v>
      </c>
      <c r="L19" s="6" t="str">
        <f aca="false">IFERROR(INDEX(Catálogo!L$4:L$1000,MATCH($A$1&amp;"|"&amp;16,Índice!$A$4:$A$1000,0)),"")</f>
        <v>q_map_1518</v>
      </c>
      <c r="M19" s="7" t="str">
        <f aca="false">IFERROR(INDEX(Catálogo!M$4:M$1000,MATCH($A$1&amp;"|"&amp;16,Índice!$A$4:$A$1000,0)),"")</f>
        <v>https://correiaricardina-ui.github.io/questionarios/MAP_ParentalAvaliacaoSistemica_1518_v1.html</v>
      </c>
    </row>
    <row r="20" customFormat="false" ht="42" hidden="false" customHeight="true" outlineLevel="0" collapsed="false">
      <c r="A20" s="5" t="n">
        <f aca="false">IFERROR(INDEX(Catálogo!A$4:A$1000,MATCH($A$1&amp;"|"&amp;17,Índice!$A$4:$A$1000,0)),"")</f>
        <v>94</v>
      </c>
      <c r="B20" s="6" t="str">
        <f aca="false">IFERROR(INDEX(Catálogo!B$4:B$1000,MATCH($A$1&amp;"|"&amp;17,Índice!$A$4:$A$1000,0)),"")</f>
        <v>MAP — Mapeamento Parental Sistémico</v>
      </c>
      <c r="C20" s="6" t="str">
        <f aca="false">IFERROR(INDEX(Catálogo!C$4:C$1000,MATCH($A$1&amp;"|"&amp;17,Índice!$A$4:$A$1000,0)),"")</f>
        <v>Família &amp; Parentalidade</v>
      </c>
      <c r="D20" s="6" t="str">
        <f aca="false">IFERROR(INDEX(Catálogo!D$4:D$1000,MATCH($A$1&amp;"|"&amp;17,Índice!$A$4:$A$1000,0)),"")</f>
        <v>Mãe, Pai, Enc. Educação</v>
      </c>
      <c r="E20" s="6" t="str">
        <f aca="false">IFERROR(INDEX(Catálogo!E$4:E$1000,MATCH($A$1&amp;"|"&amp;17,Índice!$A$4:$A$1000,0)),"")</f>
        <v>Todas as idades</v>
      </c>
      <c r="F20" s="5" t="n">
        <f aca="false">IFERROR(INDEX(Catálogo!F$4:F$1000,MATCH($A$1&amp;"|"&amp;17,Índice!$A$4:$A$1000,0)),"")</f>
        <v>0</v>
      </c>
      <c r="G20" s="5" t="n">
        <f aca="false">IFERROR(INDEX(Catálogo!G$4:G$1000,MATCH($A$1&amp;"|"&amp;17,Índice!$A$4:$A$1000,0)),"")</f>
        <v>99</v>
      </c>
      <c r="H20" s="5" t="n">
        <f aca="false">IFERROR(INDEX(Catálogo!H$4:H$1000,MATCH($A$1&amp;"|"&amp;17,Índice!$A$4:$A$1000,0)),"")</f>
        <v>3</v>
      </c>
      <c r="I20" s="6" t="str">
        <f aca="false">IFERROR(INDEX(Catálogo!I$4:I$1000,MATCH($A$1&amp;"|"&amp;17,Índice!$A$4:$A$1000,0)),"")</f>
        <v>Mapeamento sistémico do funcionamento parental</v>
      </c>
      <c r="J20" s="6" t="str">
        <f aca="false">IFERROR(INDEX(Catálogo!J$4:J$1000,MATCH($A$1&amp;"|"&amp;17,Índice!$A$4:$A$1000,0)),"")</f>
        <v>Funcionamento Parental; Rotinas; Práticas Educativas</v>
      </c>
      <c r="K20" s="6" t="str">
        <f aca="false">IFERROR(INDEX(Catálogo!K$4:K$1000,MATCH($A$1&amp;"|"&amp;17,Índice!$A$4:$A$1000,0)),"")</f>
        <v>map_parental</v>
      </c>
      <c r="L20" s="6" t="str">
        <f aca="false">IFERROR(INDEX(Catálogo!L$4:L$1000,MATCH($A$1&amp;"|"&amp;17,Índice!$A$4:$A$1000,0)),"")</f>
        <v>q_map_parental</v>
      </c>
      <c r="M20" s="7" t="str">
        <f aca="false">IFERROR(INDEX(Catálogo!M$4:M$1000,MATCH($A$1&amp;"|"&amp;17,Índice!$A$4:$A$1000,0)),"")</f>
        <v>https://correiaricardina-ui.github.io/questionarios/MAP_ParentalAvaliacaoSistemica_v1.html</v>
      </c>
    </row>
    <row r="21" customFormat="false" ht="42" hidden="false" customHeight="true" outlineLevel="0" collapsed="false">
      <c r="A21" s="5" t="n">
        <f aca="false">IFERROR(INDEX(Catálogo!A$4:A$1000,MATCH($A$1&amp;"|"&amp;18,Índice!$A$4:$A$1000,0)),"")</f>
        <v>95</v>
      </c>
      <c r="B21" s="6" t="str">
        <f aca="false">IFERROR(INDEX(Catálogo!B$4:B$1000,MATCH($A$1&amp;"|"&amp;18,Índice!$A$4:$A$1000,0)),"")</f>
        <v>MAP — Primeira Infância</v>
      </c>
      <c r="C21" s="6" t="str">
        <f aca="false">IFERROR(INDEX(Catálogo!C$4:C$1000,MATCH($A$1&amp;"|"&amp;18,Índice!$A$4:$A$1000,0)),"")</f>
        <v>Família &amp; Parentalidade</v>
      </c>
      <c r="D21" s="6" t="str">
        <f aca="false">IFERROR(INDEX(Catálogo!D$4:D$1000,MATCH($A$1&amp;"|"&amp;18,Índice!$A$4:$A$1000,0)),"")</f>
        <v>Mãe, Pai, Enc. Educação</v>
      </c>
      <c r="E21" s="6" t="str">
        <f aca="false">IFERROR(INDEX(Catálogo!E$4:E$1000,MATCH($A$1&amp;"|"&amp;18,Índice!$A$4:$A$1000,0)),"")</f>
        <v>0–5 anos</v>
      </c>
      <c r="F21" s="5" t="n">
        <f aca="false">IFERROR(INDEX(Catálogo!F$4:F$1000,MATCH($A$1&amp;"|"&amp;18,Índice!$A$4:$A$1000,0)),"")</f>
        <v>0</v>
      </c>
      <c r="G21" s="5" t="n">
        <f aca="false">IFERROR(INDEX(Catálogo!G$4:G$1000,MATCH($A$1&amp;"|"&amp;18,Índice!$A$4:$A$1000,0)),"")</f>
        <v>99</v>
      </c>
      <c r="H21" s="5" t="n">
        <f aca="false">IFERROR(INDEX(Catálogo!H$4:H$1000,MATCH($A$1&amp;"|"&amp;18,Índice!$A$4:$A$1000,0)),"")</f>
        <v>3</v>
      </c>
      <c r="I21" s="6" t="str">
        <f aca="false">IFERROR(INDEX(Catálogo!I$4:I$1000,MATCH($A$1&amp;"|"&amp;18,Índice!$A$4:$A$1000,0)),"")</f>
        <v>Mapeamento parental sistémico — Primeira Infância</v>
      </c>
      <c r="J21" s="6" t="str">
        <f aca="false">IFERROR(INDEX(Catálogo!J$4:J$1000,MATCH($A$1&amp;"|"&amp;18,Índice!$A$4:$A$1000,0)),"")</f>
        <v>Funcionamento Parental; Rotinas; Práticas Educativas</v>
      </c>
      <c r="K21" s="6" t="str">
        <f aca="false">IFERROR(INDEX(Catálogo!K$4:K$1000,MATCH($A$1&amp;"|"&amp;18,Índice!$A$4:$A$1000,0)),"")</f>
        <v>map_pi</v>
      </c>
      <c r="L21" s="6" t="str">
        <f aca="false">IFERROR(INDEX(Catálogo!L$4:L$1000,MATCH($A$1&amp;"|"&amp;18,Índice!$A$4:$A$1000,0)),"")</f>
        <v>q_map_pi</v>
      </c>
      <c r="M21" s="7" t="str">
        <f aca="false">IFERROR(INDEX(Catálogo!M$4:M$1000,MATCH($A$1&amp;"|"&amp;18,Índice!$A$4:$A$1000,0)),"")</f>
        <v>https://correiaricardina-ui.github.io/questionarios/MAP_ParentalAvaliacaoSistemica_PI_v1.html</v>
      </c>
    </row>
    <row r="22" customFormat="false" ht="42" hidden="false" customHeight="true" outlineLevel="0" collapsed="false">
      <c r="A22" s="5" t="n">
        <f aca="false">IFERROR(INDEX(Catálogo!A$4:A$1000,MATCH($A$1&amp;"|"&amp;19,Índice!$A$4:$A$1000,0)),"")</f>
        <v>98</v>
      </c>
      <c r="B22" s="6" t="str">
        <f aca="false">IFERROR(INDEX(Catálogo!B$4:B$1000,MATCH($A$1&amp;"|"&amp;19,Índice!$A$4:$A$1000,0)),"")</f>
        <v>MCP Breve — Mapeamento de Configuração Parental</v>
      </c>
      <c r="C22" s="6" t="str">
        <f aca="false">IFERROR(INDEX(Catálogo!C$4:C$1000,MATCH($A$1&amp;"|"&amp;19,Índice!$A$4:$A$1000,0)),"")</f>
        <v>Família &amp; Parentalidade</v>
      </c>
      <c r="D22" s="6" t="str">
        <f aca="false">IFERROR(INDEX(Catálogo!D$4:D$1000,MATCH($A$1&amp;"|"&amp;19,Índice!$A$4:$A$1000,0)),"")</f>
        <v>Mãe, Pai, Madrasta, Padrasto, Enc. Educação, Tutor(a) legal</v>
      </c>
      <c r="E22" s="6" t="str">
        <f aca="false">IFERROR(INDEX(Catálogo!E$4:E$1000,MATCH($A$1&amp;"|"&amp;19,Índice!$A$4:$A$1000,0)),"")</f>
        <v>3–17 anos</v>
      </c>
      <c r="F22" s="5" t="n">
        <f aca="false">IFERROR(INDEX(Catálogo!F$4:F$1000,MATCH($A$1&amp;"|"&amp;19,Índice!$A$4:$A$1000,0)),"")</f>
        <v>3</v>
      </c>
      <c r="G22" s="5" t="n">
        <f aca="false">IFERROR(INDEX(Catálogo!G$4:G$1000,MATCH($A$1&amp;"|"&amp;19,Índice!$A$4:$A$1000,0)),"")</f>
        <v>17.9</v>
      </c>
      <c r="H22" s="5" t="n">
        <f aca="false">IFERROR(INDEX(Catálogo!H$4:H$1000,MATCH($A$1&amp;"|"&amp;19,Índice!$A$4:$A$1000,0)),"")</f>
        <v>6</v>
      </c>
      <c r="I22" s="6" t="str">
        <f aca="false">IFERROR(INDEX(Catálogo!I$4:I$1000,MATCH($A$1&amp;"|"&amp;19,Índice!$A$4:$A$1000,0)),"")</f>
        <v>Instrumento clínico ad-hoc (sem validação psicométrica formal — uso orientativo, articulado com entrevista). Mapeamento BREVE da configuração parental quotidiana em famílias com múltiplos adultos coabitantes: caracterização dos coabitantes (S1), distribuição funcional em 6 situações-chave (S2), autoridade educativa reconhecida (S3, 6 itens Likert) e posição/bem-estar parental do informante (S4, 4 itens Likert). Itens 3, 4 e 5 da S3 e 3 e 4 da S4 são invertidos. Pai e mãe podem submeter em separado (dedupe por nome_informante). Saída clínica: heatmap da distribuição funcional + Média de Autoridade Reconhecida + Média de Bem-Estar Parental Percebido.</v>
      </c>
      <c r="J22" s="6" t="str">
        <f aca="false">IFERROR(INDEX(Catálogo!J$4:J$1000,MATCH($A$1&amp;"|"&amp;19,Índice!$A$4:$A$1000,0)),"")</f>
        <v>Coabitantes (S1); Distribuição funcional (S2); Autoridade educativa reconhecida (S3); Posição e bem-estar parental (S4); Média Autoridade; Média Bem-Estar</v>
      </c>
      <c r="K22" s="6" t="str">
        <f aca="false">IFERROR(INDEX(Catálogo!K$4:K$1000,MATCH($A$1&amp;"|"&amp;19,Índice!$A$4:$A$1000,0)),"")</f>
        <v>mcp_breve</v>
      </c>
      <c r="L22" s="6" t="str">
        <f aca="false">IFERROR(INDEX(Catálogo!L$4:L$1000,MATCH($A$1&amp;"|"&amp;19,Índice!$A$4:$A$1000,0)),"")</f>
        <v>q_mcp_breve</v>
      </c>
      <c r="M22" s="7" t="str">
        <f aca="false">IFERROR(INDEX(Catálogo!M$4:M$1000,MATCH($A$1&amp;"|"&amp;19,Índice!$A$4:$A$1000,0)),"")</f>
        <v>https://correiaricardina-ui.github.io/questionarios/MCP_Breve.html</v>
      </c>
    </row>
    <row r="23" customFormat="false" ht="42" hidden="false" customHeight="true" outlineLevel="0" collapsed="false">
      <c r="A23" s="5" t="n">
        <f aca="false">IFERROR(INDEX(Catálogo!A$4:A$1000,MATCH($A$1&amp;"|"&amp;20,Índice!$A$4:$A$1000,0)),"")</f>
        <v>99</v>
      </c>
      <c r="B23" s="6" t="str">
        <f aca="false">IFERROR(INDEX(Catálogo!B$4:B$1000,MATCH($A$1&amp;"|"&amp;20,Índice!$A$4:$A$1000,0)),"")</f>
        <v>MCP Completo — Mapeamento de Configuração Parental</v>
      </c>
      <c r="C23" s="6" t="str">
        <f aca="false">IFERROR(INDEX(Catálogo!C$4:C$1000,MATCH($A$1&amp;"|"&amp;20,Índice!$A$4:$A$1000,0)),"")</f>
        <v>Família &amp; Parentalidade</v>
      </c>
      <c r="D23" s="6" t="str">
        <f aca="false">IFERROR(INDEX(Catálogo!D$4:D$1000,MATCH($A$1&amp;"|"&amp;20,Índice!$A$4:$A$1000,0)),"")</f>
        <v>Mãe, Pai, Madrasta, Padrasto, Enc. Educação, Tutor(a) legal</v>
      </c>
      <c r="E23" s="6" t="str">
        <f aca="false">IFERROR(INDEX(Catálogo!E$4:E$1000,MATCH($A$1&amp;"|"&amp;20,Índice!$A$4:$A$1000,0)),"")</f>
        <v>3–17 anos</v>
      </c>
      <c r="F23" s="5" t="n">
        <f aca="false">IFERROR(INDEX(Catálogo!F$4:F$1000,MATCH($A$1&amp;"|"&amp;20,Índice!$A$4:$A$1000,0)),"")</f>
        <v>3</v>
      </c>
      <c r="G23" s="5" t="n">
        <f aca="false">IFERROR(INDEX(Catálogo!G$4:G$1000,MATCH($A$1&amp;"|"&amp;20,Índice!$A$4:$A$1000,0)),"")</f>
        <v>17.9</v>
      </c>
      <c r="H23" s="5" t="n">
        <f aca="false">IFERROR(INDEX(Catálogo!H$4:H$1000,MATCH($A$1&amp;"|"&amp;20,Índice!$A$4:$A$1000,0)),"")</f>
        <v>10</v>
      </c>
      <c r="I23" s="6" t="str">
        <f aca="false">IFERROR(INDEX(Catálogo!I$4:I$1000,MATCH($A$1&amp;"|"&amp;20,Índice!$A$4:$A$1000,0)),"")</f>
        <v>Instrumento clínico ad-hoc (sem validação psicométrica formal — uso orientativo, articulado com entrevista). Mapeamento APROFUNDADO da configuração parental e clima educativo em famílias com múltiplos adultos coabitantes: coabitantes (S1, com início e perspectiva de futuro), distribuição funcional (S2, 6 situações), autoridade educativa (S3, 6 itens + resposta aberta), relação afetiva da criança com cada figura adulta (S4, 3 itens × N figuras + duas perguntas qualitativas), acomodação/resposta dos outros adultos a sintomas da criança (S5, 5 itens), posição parental do informante (S6, 4 itens + aberta) e síntese clínica (S7, duas questões abertas: "o que funciona" / "o que mudaria"). Pai e mãe podem submeter em separado (dedupe por nome_informante). Saída clínica: heatmap S2 + mapa relacional S4 por figura + Média Autoridade (S3) + Média Acomodação parcial (S5: itens 1-3) + Média Bem-Estar (S6) + comentários abertos.</v>
      </c>
      <c r="J23" s="6" t="str">
        <f aca="false">IFERROR(INDEX(Catálogo!J$4:J$1000,MATCH($A$1&amp;"|"&amp;20,Índice!$A$4:$A$1000,0)),"")</f>
        <v>Coabitantes (S1); Distribuição funcional (S2); Autoridade educativa (S3); Relação afetiva por figura (S4); Resposta dos outros / Acomodação (S5); Posição e bem-estar parental (S6); Síntese clínica aberta (S7); Média Autoridade; Média Acomodação; Média Bem-Estar</v>
      </c>
      <c r="K23" s="6" t="str">
        <f aca="false">IFERROR(INDEX(Catálogo!K$4:K$1000,MATCH($A$1&amp;"|"&amp;20,Índice!$A$4:$A$1000,0)),"")</f>
        <v>mcp_completo</v>
      </c>
      <c r="L23" s="6" t="str">
        <f aca="false">IFERROR(INDEX(Catálogo!L$4:L$1000,MATCH($A$1&amp;"|"&amp;20,Índice!$A$4:$A$1000,0)),"")</f>
        <v>q_mcp_completo</v>
      </c>
      <c r="M23" s="7" t="str">
        <f aca="false">IFERROR(INDEX(Catálogo!M$4:M$1000,MATCH($A$1&amp;"|"&amp;20,Índice!$A$4:$A$1000,0)),"")</f>
        <v>https://correiaricardina-ui.github.io/questionarios/MCP_Completo.html</v>
      </c>
    </row>
    <row r="24" customFormat="false" ht="42" hidden="false" customHeight="true" outlineLevel="0" collapsed="false">
      <c r="A24" s="5" t="n">
        <f aca="false">IFERROR(INDEX(Catálogo!A$4:A$1000,MATCH($A$1&amp;"|"&amp;21,Índice!$A$4:$A$1000,0)),"")</f>
        <v>117</v>
      </c>
      <c r="B24" s="6" t="str">
        <f aca="false">IFERROR(INDEX(Catálogo!B$4:B$1000,MATCH($A$1&amp;"|"&amp;21,Índice!$A$4:$A$1000,0)),"")</f>
        <v>PSI-4 adap — Escala de Avaliação do Stress Parental</v>
      </c>
      <c r="C24" s="6" t="str">
        <f aca="false">IFERROR(INDEX(Catálogo!C$4:C$1000,MATCH($A$1&amp;"|"&amp;21,Índice!$A$4:$A$1000,0)),"")</f>
        <v>Família &amp; Parentalidade</v>
      </c>
      <c r="D24" s="6" t="str">
        <f aca="false">IFERROR(INDEX(Catálogo!D$4:D$1000,MATCH($A$1&amp;"|"&amp;21,Índice!$A$4:$A$1000,0)),"")</f>
        <v>Mãe, Pai, Enc. Educação, Cuidador</v>
      </c>
      <c r="E24" s="6" t="str">
        <f aca="false">IFERROR(INDEX(Catálogo!E$4:E$1000,MATCH($A$1&amp;"|"&amp;21,Índice!$A$4:$A$1000,0)),"")</f>
        <v>Pais/cuidadores de crianças 0–~12 anos</v>
      </c>
      <c r="F24" s="5" t="n">
        <f aca="false">IFERROR(INDEX(Catálogo!F$4:F$1000,MATCH($A$1&amp;"|"&amp;21,Índice!$A$4:$A$1000,0)),"")</f>
        <v>0</v>
      </c>
      <c r="G24" s="5" t="n">
        <f aca="false">IFERROR(INDEX(Catálogo!G$4:G$1000,MATCH($A$1&amp;"|"&amp;21,Índice!$A$4:$A$1000,0)),"")</f>
        <v>13</v>
      </c>
      <c r="H24" s="5" t="n">
        <f aca="false">IFERROR(INDEX(Catálogo!H$4:H$1000,MATCH($A$1&amp;"|"&amp;21,Índice!$A$4:$A$1000,0)),"")</f>
        <v>4</v>
      </c>
      <c r="I24" s="6" t="str">
        <f aca="false">IFERROR(INDEX(Catálogo!I$4:I$1000,MATCH($A$1&amp;"|"&amp;21,Índice!$A$4:$A$1000,0)),"")</f>
        <v>Despiste exploratório do stress parental por autorrelato do cuidador (36 itens, escala 1-5) em 3 domínios: Mal-estar Parental, Interação Disfuncional Pais-Criança e Criança Difícil. Adaptação inspirada (Via B) no modelo de Abidin (1990/1995/2012) — NÃO reproduz o PSI-4-SF (PAR, 2012) nem as suas normas/cut-offs. Sem normas portuguesas: resultados descritivos por POMP % e bandas (referenciadas à amplitude teórica), com Índice RD de validade e itens sentinela. A interpretação clínica é da responsabilidade do psicólogo.</v>
      </c>
      <c r="J24" s="6" t="str">
        <f aca="false">IFERROR(INDEX(Catálogo!J$4:J$1000,MATCH($A$1&amp;"|"&amp;21,Índice!$A$4:$A$1000,0)),"")</f>
        <v>Mal-estar Parental (MP); Interação Disfuncional Pais-Criança (ID); Criança Difícil (CD); Stress Total</v>
      </c>
      <c r="K24" s="6" t="str">
        <f aca="false">IFERROR(INDEX(Catálogo!K$4:K$1000,MATCH($A$1&amp;"|"&amp;21,Índice!$A$4:$A$1000,0)),"")</f>
        <v>psi4adap</v>
      </c>
      <c r="L24" s="6" t="str">
        <f aca="false">IFERROR(INDEX(Catálogo!L$4:L$1000,MATCH($A$1&amp;"|"&amp;21,Índice!$A$4:$A$1000,0)),"")</f>
        <v>q_psi4adap</v>
      </c>
      <c r="M24" s="7" t="str">
        <f aca="false">IFERROR(INDEX(Catálogo!M$4:M$1000,MATCH($A$1&amp;"|"&amp;21,Índice!$A$4:$A$1000,0)),"")</f>
        <v>https://correiaricardina-ui.github.io/questionarios/PSI4_adap.html</v>
      </c>
    </row>
    <row r="25" customFormat="false" ht="42" hidden="false" customHeight="true" outlineLevel="0" collapsed="false">
      <c r="A25" s="5" t="n">
        <f aca="false">IFERROR(INDEX(Catálogo!A$4:A$1000,MATCH($A$1&amp;"|"&amp;22,Índice!$A$4:$A$1000,0)),"")</f>
        <v>120</v>
      </c>
      <c r="B25" s="6" t="str">
        <f aca="false">IFERROR(INDEX(Catálogo!B$4:B$1000,MATCH($A$1&amp;"|"&amp;22,Índice!$A$4:$A$1000,0)),"")</f>
        <v>QC Coparentalidade — Mãe</v>
      </c>
      <c r="C25" s="6" t="str">
        <f aca="false">IFERROR(INDEX(Catálogo!C$4:C$1000,MATCH($A$1&amp;"|"&amp;22,Índice!$A$4:$A$1000,0)),"")</f>
        <v>Família &amp; Parentalidade</v>
      </c>
      <c r="D25" s="6" t="str">
        <f aca="false">IFERROR(INDEX(Catálogo!D$4:D$1000,MATCH($A$1&amp;"|"&amp;22,Índice!$A$4:$A$1000,0)),"")</f>
        <v>Mãe</v>
      </c>
      <c r="E25" s="6" t="str">
        <f aca="false">IFERROR(INDEX(Catálogo!E$4:E$1000,MATCH($A$1&amp;"|"&amp;22,Índice!$A$4:$A$1000,0)),"")</f>
        <v>Adultos</v>
      </c>
      <c r="F25" s="5" t="n">
        <f aca="false">IFERROR(INDEX(Catálogo!F$4:F$1000,MATCH($A$1&amp;"|"&amp;22,Índice!$A$4:$A$1000,0)),"")</f>
        <v>0</v>
      </c>
      <c r="G25" s="5" t="n">
        <f aca="false">IFERROR(INDEX(Catálogo!G$4:G$1000,MATCH($A$1&amp;"|"&amp;22,Índice!$A$4:$A$1000,0)),"")</f>
        <v>99</v>
      </c>
      <c r="H25" s="5" t="n">
        <f aca="false">IFERROR(INDEX(Catálogo!H$4:H$1000,MATCH($A$1&amp;"|"&amp;22,Índice!$A$4:$A$1000,0)),"")</f>
        <v>3</v>
      </c>
      <c r="I25" s="6" t="str">
        <f aca="false">IFERROR(INDEX(Catálogo!I$4:I$1000,MATCH($A$1&amp;"|"&amp;22,Índice!$A$4:$A$1000,0)),"")</f>
        <v>Avalia cooperação, triangulação e conflito coparental — versão mãe</v>
      </c>
      <c r="J25" s="6" t="str">
        <f aca="false">IFERROR(INDEX(Catálogo!J$4:J$1000,MATCH($A$1&amp;"|"&amp;22,Índice!$A$4:$A$1000,0)),"")</f>
        <v>Cooperação; Triangulação; Conflito</v>
      </c>
      <c r="K25" s="6" t="str">
        <f aca="false">IFERROR(INDEX(Catálogo!K$4:K$1000,MATCH($A$1&amp;"|"&amp;22,Índice!$A$4:$A$1000,0)),"")</f>
        <v>qc_mae</v>
      </c>
      <c r="L25" s="6" t="str">
        <f aca="false">IFERROR(INDEX(Catálogo!L$4:L$1000,MATCH($A$1&amp;"|"&amp;22,Índice!$A$4:$A$1000,0)),"")</f>
        <v>q_qc_mae</v>
      </c>
      <c r="M25" s="7" t="str">
        <f aca="false">IFERROR(INDEX(Catálogo!M$4:M$1000,MATCH($A$1&amp;"|"&amp;22,Índice!$A$4:$A$1000,0)),"")</f>
        <v>https://correiaricardina-ui.github.io/questionarios/QC_Mae.html</v>
      </c>
    </row>
    <row r="26" customFormat="false" ht="42" hidden="false" customHeight="true" outlineLevel="0" collapsed="false">
      <c r="A26" s="5" t="n">
        <f aca="false">IFERROR(INDEX(Catálogo!A$4:A$1000,MATCH($A$1&amp;"|"&amp;23,Índice!$A$4:$A$1000,0)),"")</f>
        <v>121</v>
      </c>
      <c r="B26" s="6" t="str">
        <f aca="false">IFERROR(INDEX(Catálogo!B$4:B$1000,MATCH($A$1&amp;"|"&amp;23,Índice!$A$4:$A$1000,0)),"")</f>
        <v>QC Coparentalidade — Pai</v>
      </c>
      <c r="C26" s="6" t="str">
        <f aca="false">IFERROR(INDEX(Catálogo!C$4:C$1000,MATCH($A$1&amp;"|"&amp;23,Índice!$A$4:$A$1000,0)),"")</f>
        <v>Família &amp; Parentalidade</v>
      </c>
      <c r="D26" s="6" t="str">
        <f aca="false">IFERROR(INDEX(Catálogo!D$4:D$1000,MATCH($A$1&amp;"|"&amp;23,Índice!$A$4:$A$1000,0)),"")</f>
        <v>Pai</v>
      </c>
      <c r="E26" s="6" t="str">
        <f aca="false">IFERROR(INDEX(Catálogo!E$4:E$1000,MATCH($A$1&amp;"|"&amp;23,Índice!$A$4:$A$1000,0)),"")</f>
        <v>Adultos</v>
      </c>
      <c r="F26" s="5" t="n">
        <f aca="false">IFERROR(INDEX(Catálogo!F$4:F$1000,MATCH($A$1&amp;"|"&amp;23,Índice!$A$4:$A$1000,0)),"")</f>
        <v>0</v>
      </c>
      <c r="G26" s="5" t="n">
        <f aca="false">IFERROR(INDEX(Catálogo!G$4:G$1000,MATCH($A$1&amp;"|"&amp;23,Índice!$A$4:$A$1000,0)),"")</f>
        <v>99</v>
      </c>
      <c r="H26" s="5" t="n">
        <f aca="false">IFERROR(INDEX(Catálogo!H$4:H$1000,MATCH($A$1&amp;"|"&amp;23,Índice!$A$4:$A$1000,0)),"")</f>
        <v>3</v>
      </c>
      <c r="I26" s="6" t="str">
        <f aca="false">IFERROR(INDEX(Catálogo!I$4:I$1000,MATCH($A$1&amp;"|"&amp;23,Índice!$A$4:$A$1000,0)),"")</f>
        <v>Avalia cooperação, triangulação e conflito coparental — versão pai</v>
      </c>
      <c r="J26" s="6" t="str">
        <f aca="false">IFERROR(INDEX(Catálogo!J$4:J$1000,MATCH($A$1&amp;"|"&amp;23,Índice!$A$4:$A$1000,0)),"")</f>
        <v>Cooperação; Triangulação; Conflito</v>
      </c>
      <c r="K26" s="6" t="str">
        <f aca="false">IFERROR(INDEX(Catálogo!K$4:K$1000,MATCH($A$1&amp;"|"&amp;23,Índice!$A$4:$A$1000,0)),"")</f>
        <v>qc_pai</v>
      </c>
      <c r="L26" s="6" t="str">
        <f aca="false">IFERROR(INDEX(Catálogo!L$4:L$1000,MATCH($A$1&amp;"|"&amp;23,Índice!$A$4:$A$1000,0)),"")</f>
        <v>q_qc_pai</v>
      </c>
      <c r="M26" s="7" t="str">
        <f aca="false">IFERROR(INDEX(Catálogo!M$4:M$1000,MATCH($A$1&amp;"|"&amp;23,Índice!$A$4:$A$1000,0)),"")</f>
        <v>https://correiaricardina-ui.github.io/questionarios/QC_Pai.html</v>
      </c>
    </row>
    <row r="27" customFormat="false" ht="42" hidden="false" customHeight="true" outlineLevel="0" collapsed="false">
      <c r="A27" s="5" t="n">
        <f aca="false">IFERROR(INDEX(Catálogo!A$4:A$1000,MATCH($A$1&amp;"|"&amp;24,Índice!$A$4:$A$1000,0)),"")</f>
        <v>123</v>
      </c>
      <c r="B27" s="6" t="str">
        <f aca="false">IFERROR(INDEX(Catálogo!B$4:B$1000,MATCH($A$1&amp;"|"&amp;24,Índice!$A$4:$A$1000,0)),"")</f>
        <v>QEDP</v>
      </c>
      <c r="C27" s="6" t="str">
        <f aca="false">IFERROR(INDEX(Catálogo!C$4:C$1000,MATCH($A$1&amp;"|"&amp;24,Índice!$A$4:$A$1000,0)),"")</f>
        <v>Família &amp; Parentalidade</v>
      </c>
      <c r="D27" s="6" t="str">
        <f aca="false">IFERROR(INDEX(Catálogo!D$4:D$1000,MATCH($A$1&amp;"|"&amp;24,Índice!$A$4:$A$1000,0)),"")</f>
        <v>Mãe, Pai, Enc. Educação</v>
      </c>
      <c r="E27" s="6" t="str">
        <f aca="false">IFERROR(INDEX(Catálogo!E$4:E$1000,MATCH($A$1&amp;"|"&amp;24,Índice!$A$4:$A$1000,0)),"")</f>
        <v>0–5 anos</v>
      </c>
      <c r="F27" s="5" t="n">
        <f aca="false">IFERROR(INDEX(Catálogo!F$4:F$1000,MATCH($A$1&amp;"|"&amp;24,Índice!$A$4:$A$1000,0)),"")</f>
        <v>0</v>
      </c>
      <c r="G27" s="5" t="n">
        <f aca="false">IFERROR(INDEX(Catálogo!G$4:G$1000,MATCH($A$1&amp;"|"&amp;24,Índice!$A$4:$A$1000,0)),"")</f>
        <v>5.9</v>
      </c>
      <c r="H27" s="5" t="n">
        <f aca="false">IFERROR(INDEX(Catálogo!H$4:H$1000,MATCH($A$1&amp;"|"&amp;24,Índice!$A$4:$A$1000,0)),"")</f>
        <v>3</v>
      </c>
      <c r="I27" s="6" t="str">
        <f aca="false">IFERROR(INDEX(Catálogo!I$4:I$1000,MATCH($A$1&amp;"|"&amp;24,Índice!$A$4:$A$1000,0)),"")</f>
        <v>Avalia envolvimento e desenvolvimento parental</v>
      </c>
      <c r="J27" s="6" t="str">
        <f aca="false">IFERROR(INDEX(Catálogo!J$4:J$1000,MATCH($A$1&amp;"|"&amp;24,Índice!$A$4:$A$1000,0)),"")</f>
        <v>Demandingness; Autonomia; Percepcao</v>
      </c>
      <c r="K27" s="6" t="str">
        <f aca="false">IFERROR(INDEX(Catálogo!K$4:K$1000,MATCH($A$1&amp;"|"&amp;24,Índice!$A$4:$A$1000,0)),"")</f>
        <v>qedp</v>
      </c>
      <c r="L27" s="6" t="str">
        <f aca="false">IFERROR(INDEX(Catálogo!L$4:L$1000,MATCH($A$1&amp;"|"&amp;24,Índice!$A$4:$A$1000,0)),"")</f>
        <v>q_qedp</v>
      </c>
      <c r="M27" s="7" t="str">
        <f aca="false">IFERROR(INDEX(Catálogo!M$4:M$1000,MATCH($A$1&amp;"|"&amp;24,Índice!$A$4:$A$1000,0)),"")</f>
        <v>https://correiaricardina-ui.github.io/questionarios/QEDP_v2.html</v>
      </c>
    </row>
    <row r="28" customFormat="false" ht="42" hidden="false" customHeight="true" outlineLevel="0" collapsed="false">
      <c r="A28" s="5" t="n">
        <f aca="false">IFERROR(INDEX(Catálogo!A$4:A$1000,MATCH($A$1&amp;"|"&amp;25,Índice!$A$4:$A$1000,0)),"")</f>
        <v>170</v>
      </c>
      <c r="B28" s="6" t="str">
        <f aca="false">IFERROR(INDEX(Catálogo!B$4:B$1000,MATCH($A$1&amp;"|"&amp;25,Índice!$A$4:$A$1000,0)),"")</f>
        <v>QRF-C — Questionário de Relação Fraterna (Criança)</v>
      </c>
      <c r="C28" s="6" t="str">
        <f aca="false">IFERROR(INDEX(Catálogo!C$4:C$1000,MATCH($A$1&amp;"|"&amp;25,Índice!$A$4:$A$1000,0)),"")</f>
        <v>Família &amp; Parentalidade</v>
      </c>
      <c r="D28" s="6" t="str">
        <f aca="false">IFERROR(INDEX(Catálogo!D$4:D$1000,MATCH($A$1&amp;"|"&amp;25,Índice!$A$4:$A$1000,0)),"")</f>
        <v>Paciente</v>
      </c>
      <c r="E28" s="6" t="str">
        <f aca="false">IFERROR(INDEX(Catálogo!E$4:E$1000,MATCH($A$1&amp;"|"&amp;25,Índice!$A$4:$A$1000,0)),"")</f>
        <v>8–16 anos</v>
      </c>
      <c r="F28" s="5" t="n">
        <f aca="false">IFERROR(INDEX(Catálogo!F$4:F$1000,MATCH($A$1&amp;"|"&amp;25,Índice!$A$4:$A$1000,0)),"")</f>
        <v>8</v>
      </c>
      <c r="G28" s="5" t="n">
        <f aca="false">IFERROR(INDEX(Catálogo!G$4:G$1000,MATCH($A$1&amp;"|"&amp;25,Índice!$A$4:$A$1000,0)),"")</f>
        <v>16</v>
      </c>
      <c r="H28" s="5" t="n">
        <f aca="false">IFERROR(INDEX(Catálogo!H$4:H$1000,MATCH($A$1&amp;"|"&amp;25,Índice!$A$4:$A$1000,0)),"")</f>
        <v>13</v>
      </c>
      <c r="I28" s="6" t="str">
        <f aca="false">IFERROR(INDEX(Catálogo!I$4:I$1000,MATCH($A$1&amp;"|"&amp;25,Índice!$A$4:$A$1000,0)),"")</f>
        <v>Descreve a perceção da criança sobre a relação com um irmão específico e sobre a parcialidade parental percebida (43 itens, autorrelato, métrica 1–5). Instrumento ORIGINAL de Ricardina Correia (Via B), inspirado no modelo estrutural de Furman &amp; Buhrmester (1985): NÃO é o SRQ, não é tradução do SRQ e não é equivalente ao SRQ. SEM aferição portuguesa e SEM estudo psicométrico próprio — não existem normas, percentis, pontuações T nem pontos de corte clínicos; todas as bandas são descritivas e ancoradas na métrica de resposta. Leituras válidas: discrepância intradiádica (os dois irmãos respondem sobre a mesma relação), discrepância entre informadores e medida repetida intraindividual. Uma aplicação = uma díade: com dois irmãos, atribuir dois protocolos.</v>
      </c>
      <c r="J28" s="6" t="str">
        <f aca="false">IFERROR(INDEX(Catálogo!J$4:J$1000,MATCH($A$1&amp;"|"&amp;25,Índice!$A$4:$A$1000,0)),"")</f>
        <v>Calor / Proximidade (dimensão: Companheirismo + Intimidade + Afeto e conduta prossocial + Admiração dirigida; exige 3 das 4 escalas). Conflito (Discussão + Antagonismo + Competição; exige 2 das 3). Estatuto / Poder relativo (diferencial com sinal preservado: média de Cuidado prestado e Dominância exercida menos média de Cuidado recebido e Dominância sofrida; amplitude −4 a +4, positivo = polo no próprio; exige as 4 escalas). Intensidade do estatuto (média das quatro escalas do bloco II). Rivalidade (máximo das magnitudes de parcialidade percebida; amplitude 0 a 2; média retida como auxiliar). Parcialidade percebida — Figura parental 1 (direção = média dos itens menos 3, amplitude −2 a +2; magnitude = valor absoluto). Parcialidade percebida — Figura parental 2 (idem). Configuração da parcialidade (sem parcialidade relevante / unifigural / bifigural). Assimetria interparental (direção Figura 1 menos direção Figura 2). Legitimidade do tratamento diferencial — Figura 1 (moderador autónomo, fora das dimensões). Legitimidade do tratamento diferencial — Figura 2 (idem). Satisfação com a relação fraterna (âncora avaliativa global). Importância atribuída à relação fraterna (âncora avaliativa global). Índices de controlo: invariância de resposta (desvio-padrão zero = protocolo não interpretável), variabilidade reduzida, tendência de resposta extrema e centralização no ponto médio.</v>
      </c>
      <c r="K28" s="6" t="str">
        <f aca="false">IFERROR(INDEX(Catálogo!K$4:K$1000,MATCH($A$1&amp;"|"&amp;25,Índice!$A$4:$A$1000,0)),"")</f>
        <v>qrfc</v>
      </c>
      <c r="L28" s="6" t="str">
        <f aca="false">IFERROR(INDEX(Catálogo!L$4:L$1000,MATCH($A$1&amp;"|"&amp;25,Índice!$A$4:$A$1000,0)),"")</f>
        <v>q_qrfc</v>
      </c>
      <c r="M28" s="7" t="str">
        <f aca="false">IFERROR(INDEX(Catálogo!M$4:M$1000,MATCH($A$1&amp;"|"&amp;25,Índice!$A$4:$A$1000,0)),"")</f>
        <v>https://correiaricardina-ui.github.io/questionarios/QRFC_v1.html</v>
      </c>
    </row>
    <row r="29" customFormat="false" ht="42" hidden="false" customHeight="true" outlineLevel="0" collapsed="false">
      <c r="A29" s="5" t="n">
        <f aca="false">IFERROR(INDEX(Catálogo!A$4:A$1000,MATCH($A$1&amp;"|"&amp;26,Índice!$A$4:$A$1000,0)),"")</f>
        <v>171</v>
      </c>
      <c r="B29" s="6" t="str">
        <f aca="false">IFERROR(INDEX(Catálogo!B$4:B$1000,MATCH($A$1&amp;"|"&amp;26,Índice!$A$4:$A$1000,0)),"")</f>
        <v>QCF-P — Questionário de Comportamento Fraterno (Parental)</v>
      </c>
      <c r="C29" s="6" t="str">
        <f aca="false">IFERROR(INDEX(Catálogo!C$4:C$1000,MATCH($A$1&amp;"|"&amp;26,Índice!$A$4:$A$1000,0)),"")</f>
        <v>Família &amp; Parentalidade</v>
      </c>
      <c r="D29" s="6" t="str">
        <f aca="false">IFERROR(INDEX(Catálogo!D$4:D$1000,MATCH($A$1&amp;"|"&amp;26,Índice!$A$4:$A$1000,0)),"")</f>
        <v>Mãe, Pai, Enc. Educação</v>
      </c>
      <c r="E29" s="6" t="str">
        <f aca="false">IFERROR(INDEX(Catálogo!E$4:E$1000,MATCH($A$1&amp;"|"&amp;26,Índice!$A$4:$A$1000,0)),"")</f>
        <v>0–18 anos</v>
      </c>
      <c r="F29" s="5" t="n">
        <f aca="false">IFERROR(INDEX(Catálogo!F$4:F$1000,MATCH($A$1&amp;"|"&amp;26,Índice!$A$4:$A$1000,0)),"")</f>
        <v>0</v>
      </c>
      <c r="G29" s="5" t="n">
        <f aca="false">IFERROR(INDEX(Catálogo!G$4:G$1000,MATCH($A$1&amp;"|"&amp;26,Índice!$A$4:$A$1000,0)),"")</f>
        <v>18</v>
      </c>
      <c r="H29" s="5" t="n">
        <f aca="false">IFERROR(INDEX(Catálogo!H$4:H$1000,MATCH($A$1&amp;"|"&amp;26,Índice!$A$4:$A$1000,0)),"")</f>
        <v>15</v>
      </c>
      <c r="I29" s="6" t="str">
        <f aca="false">IFERROR(INDEX(Catálogo!I$4:I$1000,MATCH($A$1&amp;"|"&amp;26,Índice!$A$4:$A$1000,0)),"")</f>
        <v>Descreve o comportamento observável de cada filho em relação aos irmãos e o tratamento diferencial relatado pelo progenitor (29 itens por filho, até 4 filhos descritos lado a lado no mesmo protocolo, métrica de frequência 1–5). Contrapartida parental do QRF-C. Instrumento ORIGINAL de Ricardina Correia (Via B), inspirado na estrutura de seis fatores do Sibling Inventory of Behavior: NÃO é o SIB, não é tradução do SIB e não é equivalente ao SIB. SEM aferição portuguesa e SEM estudo psicométrico próprio — não existem normas, percentis, pontuações T nem pontos de corte clínicos. NENHUM VALOR DESCREVE A QUALIDADE DO EXERCÍCIO PARENTAL: descreve o comportamento relatado dos filhos entre si e a estrutura da descrição feita por este informador. Um progenitor por protocolo: numa família com dois progenitores, uma ronda completa são dois protocolos, preenchidos separadamente e sem consulta mútua. Mínimo de dois filhos identificados.</v>
      </c>
      <c r="J29" s="6" t="str">
        <f aca="false">IFERROR(INDEX(Catálogo!J$4:J$1000,MATCH($A$1&amp;"|"&amp;26,Índice!$A$4:$A$1000,0)),"")</f>
        <v>Companheirismo (itens 1–4). Empatia (5–8). Ensino / Tutoria (9–12). Rivalidade (13–16) — atenção: aqui designa comportamento rivalitário observado, e não a parcialidade parental percebida do QRF-C; a contrapartida real é a Competição (E11). Agressão (17–20). Evitamento (21–24) — sem contrapartida no QRF-C. Polo positivo e Polo negativo (índices auxiliares descritivos, não fatores: o modelo de dois fatores não ajusta no referencial de origem, CFI = 0,607). Tratamento diferencial (25–27, sem prorating): direção com sinal preservado (−2 a +2, positivo = este filho recebe mais do que os irmãos) e magnitude, a partir de atenção, carinho e permissividade. Perceção estimada pelo progenitor (item 28) e Legitimidade estimada (item 29). Índice de simetria descritiva entre filhos (média das seis amplitudes máx−mín). Coerência espelho (só com exatamente dois filhos). Perfil de fratria (onde o diferencial se concentra). Convergência com o QRF-C, sempre por diferença e nunca por soma, incluindo triangulação relatado · percebido · estimado. Índices de controlo: invariância, variabilidade reduzida, tendência extrema, centralização e indiferenciação entre colunas.</v>
      </c>
      <c r="K29" s="6" t="str">
        <f aca="false">IFERROR(INDEX(Catálogo!K$4:K$1000,MATCH($A$1&amp;"|"&amp;26,Índice!$A$4:$A$1000,0)),"")</f>
        <v>qcfp</v>
      </c>
      <c r="L29" s="6" t="str">
        <f aca="false">IFERROR(INDEX(Catálogo!L$4:L$1000,MATCH($A$1&amp;"|"&amp;26,Índice!$A$4:$A$1000,0)),"")</f>
        <v>q_qcfp</v>
      </c>
      <c r="M29" s="7" t="str">
        <f aca="false">IFERROR(INDEX(Catálogo!M$4:M$1000,MATCH($A$1&amp;"|"&amp;26,Índice!$A$4:$A$1000,0)),"")</f>
        <v>https://correiaricardina-ui.github.io/questionarios/QCFP_v1.html</v>
      </c>
    </row>
    <row r="30" customFormat="false" ht="42" hidden="false" customHeight="true" outlineLevel="0" collapsed="false">
      <c r="A30" s="5" t="str">
        <f aca="false">IFERROR(INDEX(Catálogo!A$4:A$1000,MATCH($A$1&amp;"|"&amp;27,Índice!$A$4:$A$1000,0)),"")</f>
        <v/>
      </c>
      <c r="B30" s="6" t="str">
        <f aca="false">IFERROR(INDEX(Catálogo!B$4:B$1000,MATCH($A$1&amp;"|"&amp;27,Índice!$A$4:$A$1000,0)),"")</f>
        <v/>
      </c>
      <c r="C30" s="6" t="str">
        <f aca="false">IFERROR(INDEX(Catálogo!C$4:C$1000,MATCH($A$1&amp;"|"&amp;27,Índice!$A$4:$A$1000,0)),"")</f>
        <v/>
      </c>
      <c r="D30" s="6" t="str">
        <f aca="false">IFERROR(INDEX(Catálogo!D$4:D$1000,MATCH($A$1&amp;"|"&amp;27,Índice!$A$4:$A$1000,0)),"")</f>
        <v/>
      </c>
      <c r="E30" s="6" t="str">
        <f aca="false">IFERROR(INDEX(Catálogo!E$4:E$1000,MATCH($A$1&amp;"|"&amp;27,Índice!$A$4:$A$1000,0)),"")</f>
        <v/>
      </c>
      <c r="F30" s="5" t="str">
        <f aca="false">IFERROR(INDEX(Catálogo!F$4:F$1000,MATCH($A$1&amp;"|"&amp;27,Índice!$A$4:$A$1000,0)),"")</f>
        <v/>
      </c>
      <c r="G30" s="5" t="str">
        <f aca="false">IFERROR(INDEX(Catálogo!G$4:G$1000,MATCH($A$1&amp;"|"&amp;27,Índice!$A$4:$A$1000,0)),"")</f>
        <v/>
      </c>
      <c r="H30" s="5" t="str">
        <f aca="false">IFERROR(INDEX(Catálogo!H$4:H$1000,MATCH($A$1&amp;"|"&amp;27,Índice!$A$4:$A$1000,0)),"")</f>
        <v/>
      </c>
      <c r="I30" s="6" t="str">
        <f aca="false">IFERROR(INDEX(Catálogo!I$4:I$1000,MATCH($A$1&amp;"|"&amp;27,Índice!$A$4:$A$1000,0)),"")</f>
        <v/>
      </c>
      <c r="J30" s="6" t="str">
        <f aca="false">IFERROR(INDEX(Catálogo!J$4:J$1000,MATCH($A$1&amp;"|"&amp;27,Índice!$A$4:$A$1000,0)),"")</f>
        <v/>
      </c>
      <c r="K30" s="6" t="str">
        <f aca="false">IFERROR(INDEX(Catálogo!K$4:K$1000,MATCH($A$1&amp;"|"&amp;27,Índice!$A$4:$A$1000,0)),"")</f>
        <v/>
      </c>
      <c r="L30" s="6" t="str">
        <f aca="false">IFERROR(INDEX(Catálogo!L$4:L$1000,MATCH($A$1&amp;"|"&amp;27,Índice!$A$4:$A$1000,0)),"")</f>
        <v/>
      </c>
      <c r="M30" s="7" t="str">
        <f aca="false">IFERROR(INDEX(Catálogo!M$4:M$1000,MATCH($A$1&amp;"|"&amp;27,Índice!$A$4:$A$1000,0)),"")</f>
        <v/>
      </c>
    </row>
    <row r="31" customFormat="false" ht="42" hidden="false" customHeight="true" outlineLevel="0" collapsed="false">
      <c r="A31" s="5" t="str">
        <f aca="false">IFERROR(INDEX(Catálogo!A$4:A$1000,MATCH($A$1&amp;"|"&amp;28,Índice!$A$4:$A$1000,0)),"")</f>
        <v/>
      </c>
      <c r="B31" s="6" t="str">
        <f aca="false">IFERROR(INDEX(Catálogo!B$4:B$1000,MATCH($A$1&amp;"|"&amp;28,Índice!$A$4:$A$1000,0)),"")</f>
        <v/>
      </c>
      <c r="C31" s="6" t="str">
        <f aca="false">IFERROR(INDEX(Catálogo!C$4:C$1000,MATCH($A$1&amp;"|"&amp;28,Índice!$A$4:$A$1000,0)),"")</f>
        <v/>
      </c>
      <c r="D31" s="6" t="str">
        <f aca="false">IFERROR(INDEX(Catálogo!D$4:D$1000,MATCH($A$1&amp;"|"&amp;28,Índice!$A$4:$A$1000,0)),"")</f>
        <v/>
      </c>
      <c r="E31" s="6" t="str">
        <f aca="false">IFERROR(INDEX(Catálogo!E$4:E$1000,MATCH($A$1&amp;"|"&amp;28,Índice!$A$4:$A$1000,0)),"")</f>
        <v/>
      </c>
      <c r="F31" s="5" t="str">
        <f aca="false">IFERROR(INDEX(Catálogo!F$4:F$1000,MATCH($A$1&amp;"|"&amp;28,Índice!$A$4:$A$1000,0)),"")</f>
        <v/>
      </c>
      <c r="G31" s="5" t="str">
        <f aca="false">IFERROR(INDEX(Catálogo!G$4:G$1000,MATCH($A$1&amp;"|"&amp;28,Índice!$A$4:$A$1000,0)),"")</f>
        <v/>
      </c>
      <c r="H31" s="5" t="str">
        <f aca="false">IFERROR(INDEX(Catálogo!H$4:H$1000,MATCH($A$1&amp;"|"&amp;28,Índice!$A$4:$A$1000,0)),"")</f>
        <v/>
      </c>
      <c r="I31" s="6" t="str">
        <f aca="false">IFERROR(INDEX(Catálogo!I$4:I$1000,MATCH($A$1&amp;"|"&amp;28,Índice!$A$4:$A$1000,0)),"")</f>
        <v/>
      </c>
      <c r="J31" s="6" t="str">
        <f aca="false">IFERROR(INDEX(Catálogo!J$4:J$1000,MATCH($A$1&amp;"|"&amp;28,Índice!$A$4:$A$1000,0)),"")</f>
        <v/>
      </c>
      <c r="K31" s="6" t="str">
        <f aca="false">IFERROR(INDEX(Catálogo!K$4:K$1000,MATCH($A$1&amp;"|"&amp;28,Índice!$A$4:$A$1000,0)),"")</f>
        <v/>
      </c>
      <c r="L31" s="6" t="str">
        <f aca="false">IFERROR(INDEX(Catálogo!L$4:L$1000,MATCH($A$1&amp;"|"&amp;28,Índice!$A$4:$A$1000,0)),"")</f>
        <v/>
      </c>
      <c r="M31" s="7" t="str">
        <f aca="false">IFERROR(INDEX(Catálogo!M$4:M$1000,MATCH($A$1&amp;"|"&amp;28,Índice!$A$4:$A$1000,0)),"")</f>
        <v/>
      </c>
    </row>
    <row r="32" customFormat="false" ht="42" hidden="false" customHeight="true" outlineLevel="0" collapsed="false">
      <c r="A32" s="5" t="str">
        <f aca="false">IFERROR(INDEX(Catálogo!A$4:A$1000,MATCH($A$1&amp;"|"&amp;29,Índice!$A$4:$A$1000,0)),"")</f>
        <v/>
      </c>
      <c r="B32" s="6" t="str">
        <f aca="false">IFERROR(INDEX(Catálogo!B$4:B$1000,MATCH($A$1&amp;"|"&amp;29,Índice!$A$4:$A$1000,0)),"")</f>
        <v/>
      </c>
      <c r="C32" s="6" t="str">
        <f aca="false">IFERROR(INDEX(Catálogo!C$4:C$1000,MATCH($A$1&amp;"|"&amp;29,Índice!$A$4:$A$1000,0)),"")</f>
        <v/>
      </c>
      <c r="D32" s="6" t="str">
        <f aca="false">IFERROR(INDEX(Catálogo!D$4:D$1000,MATCH($A$1&amp;"|"&amp;29,Índice!$A$4:$A$1000,0)),"")</f>
        <v/>
      </c>
      <c r="E32" s="6" t="str">
        <f aca="false">IFERROR(INDEX(Catálogo!E$4:E$1000,MATCH($A$1&amp;"|"&amp;29,Índice!$A$4:$A$1000,0)),"")</f>
        <v/>
      </c>
      <c r="F32" s="5" t="str">
        <f aca="false">IFERROR(INDEX(Catálogo!F$4:F$1000,MATCH($A$1&amp;"|"&amp;29,Índice!$A$4:$A$1000,0)),"")</f>
        <v/>
      </c>
      <c r="G32" s="5" t="str">
        <f aca="false">IFERROR(INDEX(Catálogo!G$4:G$1000,MATCH($A$1&amp;"|"&amp;29,Índice!$A$4:$A$1000,0)),"")</f>
        <v/>
      </c>
      <c r="H32" s="5" t="str">
        <f aca="false">IFERROR(INDEX(Catálogo!H$4:H$1000,MATCH($A$1&amp;"|"&amp;29,Índice!$A$4:$A$1000,0)),"")</f>
        <v/>
      </c>
      <c r="I32" s="6" t="str">
        <f aca="false">IFERROR(INDEX(Catálogo!I$4:I$1000,MATCH($A$1&amp;"|"&amp;29,Índice!$A$4:$A$1000,0)),"")</f>
        <v/>
      </c>
      <c r="J32" s="6" t="str">
        <f aca="false">IFERROR(INDEX(Catálogo!J$4:J$1000,MATCH($A$1&amp;"|"&amp;29,Índice!$A$4:$A$1000,0)),"")</f>
        <v/>
      </c>
      <c r="K32" s="6" t="str">
        <f aca="false">IFERROR(INDEX(Catálogo!K$4:K$1000,MATCH($A$1&amp;"|"&amp;29,Índice!$A$4:$A$1000,0)),"")</f>
        <v/>
      </c>
      <c r="L32" s="6" t="str">
        <f aca="false">IFERROR(INDEX(Catálogo!L$4:L$1000,MATCH($A$1&amp;"|"&amp;29,Índice!$A$4:$A$1000,0)),"")</f>
        <v/>
      </c>
      <c r="M32" s="7" t="str">
        <f aca="false">IFERROR(INDEX(Catálogo!M$4:M$1000,MATCH($A$1&amp;"|"&amp;29,Índice!$A$4:$A$1000,0)),"")</f>
        <v/>
      </c>
    </row>
    <row r="33" customFormat="false" ht="42" hidden="false" customHeight="true" outlineLevel="0" collapsed="false">
      <c r="A33" s="5" t="str">
        <f aca="false">IFERROR(INDEX(Catálogo!A$4:A$1000,MATCH($A$1&amp;"|"&amp;30,Índice!$A$4:$A$1000,0)),"")</f>
        <v/>
      </c>
      <c r="B33" s="6" t="str">
        <f aca="false">IFERROR(INDEX(Catálogo!B$4:B$1000,MATCH($A$1&amp;"|"&amp;30,Índice!$A$4:$A$1000,0)),"")</f>
        <v/>
      </c>
      <c r="C33" s="6" t="str">
        <f aca="false">IFERROR(INDEX(Catálogo!C$4:C$1000,MATCH($A$1&amp;"|"&amp;30,Índice!$A$4:$A$1000,0)),"")</f>
        <v/>
      </c>
      <c r="D33" s="6" t="str">
        <f aca="false">IFERROR(INDEX(Catálogo!D$4:D$1000,MATCH($A$1&amp;"|"&amp;30,Índice!$A$4:$A$1000,0)),"")</f>
        <v/>
      </c>
      <c r="E33" s="6" t="str">
        <f aca="false">IFERROR(INDEX(Catálogo!E$4:E$1000,MATCH($A$1&amp;"|"&amp;30,Índice!$A$4:$A$1000,0)),"")</f>
        <v/>
      </c>
      <c r="F33" s="5" t="str">
        <f aca="false">IFERROR(INDEX(Catálogo!F$4:F$1000,MATCH($A$1&amp;"|"&amp;30,Índice!$A$4:$A$1000,0)),"")</f>
        <v/>
      </c>
      <c r="G33" s="5" t="str">
        <f aca="false">IFERROR(INDEX(Catálogo!G$4:G$1000,MATCH($A$1&amp;"|"&amp;30,Índice!$A$4:$A$1000,0)),"")</f>
        <v/>
      </c>
      <c r="H33" s="5" t="str">
        <f aca="false">IFERROR(INDEX(Catálogo!H$4:H$1000,MATCH($A$1&amp;"|"&amp;30,Índice!$A$4:$A$1000,0)),"")</f>
        <v/>
      </c>
      <c r="I33" s="6" t="str">
        <f aca="false">IFERROR(INDEX(Catálogo!I$4:I$1000,MATCH($A$1&amp;"|"&amp;30,Índice!$A$4:$A$1000,0)),"")</f>
        <v/>
      </c>
      <c r="J33" s="6" t="str">
        <f aca="false">IFERROR(INDEX(Catálogo!J$4:J$1000,MATCH($A$1&amp;"|"&amp;30,Índice!$A$4:$A$1000,0)),"")</f>
        <v/>
      </c>
      <c r="K33" s="6" t="str">
        <f aca="false">IFERROR(INDEX(Catálogo!K$4:K$1000,MATCH($A$1&amp;"|"&amp;30,Índice!$A$4:$A$1000,0)),"")</f>
        <v/>
      </c>
      <c r="L33" s="6" t="str">
        <f aca="false">IFERROR(INDEX(Catálogo!L$4:L$1000,MATCH($A$1&amp;"|"&amp;30,Índice!$A$4:$A$1000,0)),"")</f>
        <v/>
      </c>
      <c r="M33" s="7" t="str">
        <f aca="false">IFERROR(INDEX(Catálogo!M$4:M$1000,MATCH($A$1&amp;"|"&amp;30,Índice!$A$4:$A$1000,0)),"")</f>
        <v/>
      </c>
    </row>
    <row r="34" customFormat="false" ht="42" hidden="false" customHeight="true" outlineLevel="0" collapsed="false">
      <c r="A34" s="5" t="str">
        <f aca="false">IFERROR(INDEX(Catálogo!A$4:A$1000,MATCH($A$1&amp;"|"&amp;31,Índice!$A$4:$A$1000,0)),"")</f>
        <v/>
      </c>
      <c r="B34" s="6" t="str">
        <f aca="false">IFERROR(INDEX(Catálogo!B$4:B$1000,MATCH($A$1&amp;"|"&amp;31,Índice!$A$4:$A$1000,0)),"")</f>
        <v/>
      </c>
      <c r="C34" s="6" t="str">
        <f aca="false">IFERROR(INDEX(Catálogo!C$4:C$1000,MATCH($A$1&amp;"|"&amp;31,Índice!$A$4:$A$1000,0)),"")</f>
        <v/>
      </c>
      <c r="D34" s="6" t="str">
        <f aca="false">IFERROR(INDEX(Catálogo!D$4:D$1000,MATCH($A$1&amp;"|"&amp;31,Índice!$A$4:$A$1000,0)),"")</f>
        <v/>
      </c>
      <c r="E34" s="6" t="str">
        <f aca="false">IFERROR(INDEX(Catálogo!E$4:E$1000,MATCH($A$1&amp;"|"&amp;31,Índice!$A$4:$A$1000,0)),"")</f>
        <v/>
      </c>
      <c r="F34" s="5" t="str">
        <f aca="false">IFERROR(INDEX(Catálogo!F$4:F$1000,MATCH($A$1&amp;"|"&amp;31,Índice!$A$4:$A$1000,0)),"")</f>
        <v/>
      </c>
      <c r="G34" s="5" t="str">
        <f aca="false">IFERROR(INDEX(Catálogo!G$4:G$1000,MATCH($A$1&amp;"|"&amp;31,Índice!$A$4:$A$1000,0)),"")</f>
        <v/>
      </c>
      <c r="H34" s="5" t="str">
        <f aca="false">IFERROR(INDEX(Catálogo!H$4:H$1000,MATCH($A$1&amp;"|"&amp;31,Índice!$A$4:$A$1000,0)),"")</f>
        <v/>
      </c>
      <c r="I34" s="6" t="str">
        <f aca="false">IFERROR(INDEX(Catálogo!I$4:I$1000,MATCH($A$1&amp;"|"&amp;31,Índice!$A$4:$A$1000,0)),"")</f>
        <v/>
      </c>
      <c r="J34" s="6" t="str">
        <f aca="false">IFERROR(INDEX(Catálogo!J$4:J$1000,MATCH($A$1&amp;"|"&amp;31,Índice!$A$4:$A$1000,0)),"")</f>
        <v/>
      </c>
      <c r="K34" s="6" t="str">
        <f aca="false">IFERROR(INDEX(Catálogo!K$4:K$1000,MATCH($A$1&amp;"|"&amp;31,Índice!$A$4:$A$1000,0)),"")</f>
        <v/>
      </c>
      <c r="L34" s="6" t="str">
        <f aca="false">IFERROR(INDEX(Catálogo!L$4:L$1000,MATCH($A$1&amp;"|"&amp;31,Índice!$A$4:$A$1000,0)),"")</f>
        <v/>
      </c>
      <c r="M34" s="7" t="str">
        <f aca="false">IFERROR(INDEX(Catálogo!M$4:M$1000,MATCH($A$1&amp;"|"&amp;31,Índice!$A$4:$A$1000,0)),"")</f>
        <v/>
      </c>
    </row>
    <row r="35" customFormat="false" ht="42" hidden="false" customHeight="true" outlineLevel="0" collapsed="false">
      <c r="A35" s="5" t="str">
        <f aca="false">IFERROR(INDEX(Catálogo!A$4:A$1000,MATCH($A$1&amp;"|"&amp;32,Índice!$A$4:$A$1000,0)),"")</f>
        <v/>
      </c>
      <c r="B35" s="6" t="str">
        <f aca="false">IFERROR(INDEX(Catálogo!B$4:B$1000,MATCH($A$1&amp;"|"&amp;32,Índice!$A$4:$A$1000,0)),"")</f>
        <v/>
      </c>
      <c r="C35" s="6" t="str">
        <f aca="false">IFERROR(INDEX(Catálogo!C$4:C$1000,MATCH($A$1&amp;"|"&amp;32,Índice!$A$4:$A$1000,0)),"")</f>
        <v/>
      </c>
      <c r="D35" s="6" t="str">
        <f aca="false">IFERROR(INDEX(Catálogo!D$4:D$1000,MATCH($A$1&amp;"|"&amp;32,Índice!$A$4:$A$1000,0)),"")</f>
        <v/>
      </c>
      <c r="E35" s="6" t="str">
        <f aca="false">IFERROR(INDEX(Catálogo!E$4:E$1000,MATCH($A$1&amp;"|"&amp;32,Índice!$A$4:$A$1000,0)),"")</f>
        <v/>
      </c>
      <c r="F35" s="5" t="str">
        <f aca="false">IFERROR(INDEX(Catálogo!F$4:F$1000,MATCH($A$1&amp;"|"&amp;32,Índice!$A$4:$A$1000,0)),"")</f>
        <v/>
      </c>
      <c r="G35" s="5" t="str">
        <f aca="false">IFERROR(INDEX(Catálogo!G$4:G$1000,MATCH($A$1&amp;"|"&amp;32,Índice!$A$4:$A$1000,0)),"")</f>
        <v/>
      </c>
      <c r="H35" s="5" t="str">
        <f aca="false">IFERROR(INDEX(Catálogo!H$4:H$1000,MATCH($A$1&amp;"|"&amp;32,Índice!$A$4:$A$1000,0)),"")</f>
        <v/>
      </c>
      <c r="I35" s="6" t="str">
        <f aca="false">IFERROR(INDEX(Catálogo!I$4:I$1000,MATCH($A$1&amp;"|"&amp;32,Índice!$A$4:$A$1000,0)),"")</f>
        <v/>
      </c>
      <c r="J35" s="6" t="str">
        <f aca="false">IFERROR(INDEX(Catálogo!J$4:J$1000,MATCH($A$1&amp;"|"&amp;32,Índice!$A$4:$A$1000,0)),"")</f>
        <v/>
      </c>
      <c r="K35" s="6" t="str">
        <f aca="false">IFERROR(INDEX(Catálogo!K$4:K$1000,MATCH($A$1&amp;"|"&amp;32,Índice!$A$4:$A$1000,0)),"")</f>
        <v/>
      </c>
      <c r="L35" s="6" t="str">
        <f aca="false">IFERROR(INDEX(Catálogo!L$4:L$1000,MATCH($A$1&amp;"|"&amp;32,Índice!$A$4:$A$1000,0)),"")</f>
        <v/>
      </c>
      <c r="M35" s="7" t="str">
        <f aca="false">IFERROR(INDEX(Catálogo!M$4:M$1000,MATCH($A$1&amp;"|"&amp;32,Índice!$A$4:$A$1000,0)),"")</f>
        <v/>
      </c>
    </row>
    <row r="36" customFormat="false" ht="42" hidden="false" customHeight="true" outlineLevel="0" collapsed="false">
      <c r="A36" s="5" t="str">
        <f aca="false">IFERROR(INDEX(Catálogo!A$4:A$1000,MATCH($A$1&amp;"|"&amp;33,Índice!$A$4:$A$1000,0)),"")</f>
        <v/>
      </c>
      <c r="B36" s="6" t="str">
        <f aca="false">IFERROR(INDEX(Catálogo!B$4:B$1000,MATCH($A$1&amp;"|"&amp;33,Índice!$A$4:$A$1000,0)),"")</f>
        <v/>
      </c>
      <c r="C36" s="6" t="str">
        <f aca="false">IFERROR(INDEX(Catálogo!C$4:C$1000,MATCH($A$1&amp;"|"&amp;33,Índice!$A$4:$A$1000,0)),"")</f>
        <v/>
      </c>
      <c r="D36" s="6" t="str">
        <f aca="false">IFERROR(INDEX(Catálogo!D$4:D$1000,MATCH($A$1&amp;"|"&amp;33,Índice!$A$4:$A$1000,0)),"")</f>
        <v/>
      </c>
      <c r="E36" s="6" t="str">
        <f aca="false">IFERROR(INDEX(Catálogo!E$4:E$1000,MATCH($A$1&amp;"|"&amp;33,Índice!$A$4:$A$1000,0)),"")</f>
        <v/>
      </c>
      <c r="F36" s="5" t="str">
        <f aca="false">IFERROR(INDEX(Catálogo!F$4:F$1000,MATCH($A$1&amp;"|"&amp;33,Índice!$A$4:$A$1000,0)),"")</f>
        <v/>
      </c>
      <c r="G36" s="5" t="str">
        <f aca="false">IFERROR(INDEX(Catálogo!G$4:G$1000,MATCH($A$1&amp;"|"&amp;33,Índice!$A$4:$A$1000,0)),"")</f>
        <v/>
      </c>
      <c r="H36" s="5" t="str">
        <f aca="false">IFERROR(INDEX(Catálogo!H$4:H$1000,MATCH($A$1&amp;"|"&amp;33,Índice!$A$4:$A$1000,0)),"")</f>
        <v/>
      </c>
      <c r="I36" s="6" t="str">
        <f aca="false">IFERROR(INDEX(Catálogo!I$4:I$1000,MATCH($A$1&amp;"|"&amp;33,Índice!$A$4:$A$1000,0)),"")</f>
        <v/>
      </c>
      <c r="J36" s="6" t="str">
        <f aca="false">IFERROR(INDEX(Catálogo!J$4:J$1000,MATCH($A$1&amp;"|"&amp;33,Índice!$A$4:$A$1000,0)),"")</f>
        <v/>
      </c>
      <c r="K36" s="6" t="str">
        <f aca="false">IFERROR(INDEX(Catálogo!K$4:K$1000,MATCH($A$1&amp;"|"&amp;33,Índice!$A$4:$A$1000,0)),"")</f>
        <v/>
      </c>
      <c r="L36" s="6" t="str">
        <f aca="false">IFERROR(INDEX(Catálogo!L$4:L$1000,MATCH($A$1&amp;"|"&amp;33,Índice!$A$4:$A$1000,0)),"")</f>
        <v/>
      </c>
      <c r="M36" s="7" t="str">
        <f aca="false">IFERROR(INDEX(Catálogo!M$4:M$1000,MATCH($A$1&amp;"|"&amp;33,Índice!$A$4:$A$1000,0)),"")</f>
        <v/>
      </c>
    </row>
    <row r="37" customFormat="false" ht="42" hidden="false" customHeight="true" outlineLevel="0" collapsed="false">
      <c r="A37" s="5" t="str">
        <f aca="false">IFERROR(INDEX(Catálogo!A$4:A$1000,MATCH($A$1&amp;"|"&amp;34,Índice!$A$4:$A$1000,0)),"")</f>
        <v/>
      </c>
      <c r="B37" s="6" t="str">
        <f aca="false">IFERROR(INDEX(Catálogo!B$4:B$1000,MATCH($A$1&amp;"|"&amp;34,Índice!$A$4:$A$1000,0)),"")</f>
        <v/>
      </c>
      <c r="C37" s="6" t="str">
        <f aca="false">IFERROR(INDEX(Catálogo!C$4:C$1000,MATCH($A$1&amp;"|"&amp;34,Índice!$A$4:$A$1000,0)),"")</f>
        <v/>
      </c>
      <c r="D37" s="6" t="str">
        <f aca="false">IFERROR(INDEX(Catálogo!D$4:D$1000,MATCH($A$1&amp;"|"&amp;34,Índice!$A$4:$A$1000,0)),"")</f>
        <v/>
      </c>
      <c r="E37" s="6" t="str">
        <f aca="false">IFERROR(INDEX(Catálogo!E$4:E$1000,MATCH($A$1&amp;"|"&amp;34,Índice!$A$4:$A$1000,0)),"")</f>
        <v/>
      </c>
      <c r="F37" s="5" t="str">
        <f aca="false">IFERROR(INDEX(Catálogo!F$4:F$1000,MATCH($A$1&amp;"|"&amp;34,Índice!$A$4:$A$1000,0)),"")</f>
        <v/>
      </c>
      <c r="G37" s="5" t="str">
        <f aca="false">IFERROR(INDEX(Catálogo!G$4:G$1000,MATCH($A$1&amp;"|"&amp;34,Índice!$A$4:$A$1000,0)),"")</f>
        <v/>
      </c>
      <c r="H37" s="5" t="str">
        <f aca="false">IFERROR(INDEX(Catálogo!H$4:H$1000,MATCH($A$1&amp;"|"&amp;34,Índice!$A$4:$A$1000,0)),"")</f>
        <v/>
      </c>
      <c r="I37" s="6" t="str">
        <f aca="false">IFERROR(INDEX(Catálogo!I$4:I$1000,MATCH($A$1&amp;"|"&amp;34,Índice!$A$4:$A$1000,0)),"")</f>
        <v/>
      </c>
      <c r="J37" s="6" t="str">
        <f aca="false">IFERROR(INDEX(Catálogo!J$4:J$1000,MATCH($A$1&amp;"|"&amp;34,Índice!$A$4:$A$1000,0)),"")</f>
        <v/>
      </c>
      <c r="K37" s="6" t="str">
        <f aca="false">IFERROR(INDEX(Catálogo!K$4:K$1000,MATCH($A$1&amp;"|"&amp;34,Índice!$A$4:$A$1000,0)),"")</f>
        <v/>
      </c>
      <c r="L37" s="6" t="str">
        <f aca="false">IFERROR(INDEX(Catálogo!L$4:L$1000,MATCH($A$1&amp;"|"&amp;34,Índice!$A$4:$A$1000,0)),"")</f>
        <v/>
      </c>
      <c r="M37" s="7" t="str">
        <f aca="false">IFERROR(INDEX(Catálogo!M$4:M$1000,MATCH($A$1&amp;"|"&amp;34,Índice!$A$4:$A$1000,0)),"")</f>
        <v/>
      </c>
    </row>
  </sheetData>
  <autoFilter ref="A3:M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397</v>
      </c>
      <c r="I1" s="17" t="str">
        <f aca="false">COUNTIF(Catálogo!$C$4:$C$1000,$A$1)&amp;IF(COUNTIF(Catálogo!$C$4:$C$1000,$A$1)=1," instrumento nesta área"," instrumentos nesta área")</f>
        <v>12 instrumentos nesta área</v>
      </c>
    </row>
    <row r="2" customFormat="false" ht="15" hidden="false" customHeight="true" outlineLevel="0" collapsed="false">
      <c r="A2" s="18" t="s">
        <v>1488</v>
      </c>
      <c r="I2" s="19" t="str">
        <f aca="false">IF(COUNTIF(Catálogo!$C$4:$C$1000,$A$1)&gt;20,"⚠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56</v>
      </c>
      <c r="B4" s="6" t="str">
        <f aca="false">IFERROR(INDEX(Catálogo!B$4:B$1000,MATCH($A$1&amp;"|"&amp;1,Índice!$A$4:$A$1000,0)),"")</f>
        <v>EAFE</v>
      </c>
      <c r="C4" s="6" t="str">
        <f aca="false">IFERROR(INDEX(Catálogo!C$4:C$1000,MATCH($A$1&amp;"|"&amp;1,Índice!$A$4:$A$1000,0)),"")</f>
        <v>Escola, Motivação &amp; Aprendizagem</v>
      </c>
      <c r="D4" s="6" t="str">
        <f aca="false">IFERROR(INDEX(Catálogo!D$4:D$1000,MATCH($A$1&amp;"|"&amp;1,Índice!$A$4:$A$1000,0)),"")</f>
        <v>Paciente</v>
      </c>
      <c r="E4" s="6" t="str">
        <f aca="false">IFERROR(INDEX(Catálogo!E$4:E$1000,MATCH($A$1&amp;"|"&amp;1,Índice!$A$4:$A$1000,0)),"")</f>
        <v>8–18 anos</v>
      </c>
      <c r="F4" s="5" t="n">
        <f aca="false">IFERROR(INDEX(Catálogo!F$4:F$1000,MATCH($A$1&amp;"|"&amp;1,Índice!$A$4:$A$1000,0)),"")</f>
        <v>8</v>
      </c>
      <c r="G4" s="5" t="n">
        <f aca="false">IFERROR(INDEX(Catálogo!G$4:G$1000,MATCH($A$1&amp;"|"&amp;1,Índice!$A$4:$A$1000,0)),"")</f>
        <v>17.9</v>
      </c>
      <c r="H4" s="5" t="n">
        <f aca="false">IFERROR(INDEX(Catálogo!H$4:H$1000,MATCH($A$1&amp;"|"&amp;1,Índice!$A$4:$A$1000,0)),"")</f>
        <v>5</v>
      </c>
      <c r="I4" s="6" t="str">
        <f aca="false">IFERROR(INDEX(Catálogo!I$4:I$1000,MATCH($A$1&amp;"|"&amp;1,Índice!$A$4:$A$1000,0)),"")</f>
        <v>Entrevista de Análise Funcional do Estudo — avalia dificuldades de regulação emocional no estudo</v>
      </c>
      <c r="J4" s="6" t="str">
        <f aca="false">IFERROR(INDEX(Catálogo!J$4:J$1000,MATCH($A$1&amp;"|"&amp;1,Índice!$A$4:$A$1000,0)),"")</f>
        <v>Défice Executivo (DE); Desmotivação Reativa (DR); Evitamento Emocional (EE); Dependência de Regulação Externa (DRE); Auto-Limitação Protectora (ALP)</v>
      </c>
      <c r="K4" s="6" t="str">
        <f aca="false">IFERROR(INDEX(Catálogo!K$4:K$1000,MATCH($A$1&amp;"|"&amp;1,Índice!$A$4:$A$1000,0)),"")</f>
        <v>eafe</v>
      </c>
      <c r="L4" s="6" t="str">
        <f aca="false">IFERROR(INDEX(Catálogo!L$4:L$1000,MATCH($A$1&amp;"|"&amp;1,Índice!$A$4:$A$1000,0)),"")</f>
        <v>q_eafe</v>
      </c>
      <c r="M4" s="7" t="str">
        <f aca="false">IFERROR(INDEX(Catálogo!M$4:M$1000,MATCH($A$1&amp;"|"&amp;1,Índice!$A$4:$A$1000,0)),"")</f>
        <v>https://correiaricardina-ui.github.io/questionarios/EAFE_v2.html</v>
      </c>
    </row>
    <row r="5" customFormat="false" ht="42" hidden="false" customHeight="true" outlineLevel="0" collapsed="false">
      <c r="A5" s="5" t="n">
        <f aca="false">IFERROR(INDEX(Catálogo!A$4:A$1000,MATCH($A$1&amp;"|"&amp;2,Índice!$A$4:$A$1000,0)),"")</f>
        <v>96</v>
      </c>
      <c r="B5" s="6" t="str">
        <f aca="false">IFERROR(INDEX(Catálogo!B$4:B$1000,MATCH($A$1&amp;"|"&amp;2,Índice!$A$4:$A$1000,0)),"")</f>
        <v>MBI-SS — Escala de Burnout para Estudantes</v>
      </c>
      <c r="C5" s="6" t="str">
        <f aca="false">IFERROR(INDEX(Catálogo!C$4:C$1000,MATCH($A$1&amp;"|"&amp;2,Índice!$A$4:$A$1000,0)),"")</f>
        <v>Escola, Motivação &amp; Aprendizagem</v>
      </c>
      <c r="D5" s="6" t="str">
        <f aca="false">IFERROR(INDEX(Catálogo!D$4:D$1000,MATCH($A$1&amp;"|"&amp;2,Índice!$A$4:$A$1000,0)),"")</f>
        <v>Paciente</v>
      </c>
      <c r="E5" s="6" t="str">
        <f aca="false">IFERROR(INDEX(Catálogo!E$4:E$1000,MATCH($A$1&amp;"|"&amp;2,Índice!$A$4:$A$1000,0)),"")</f>
        <v>17+ anos</v>
      </c>
      <c r="F5" s="5" t="n">
        <f aca="false">IFERROR(INDEX(Catálogo!F$4:F$1000,MATCH($A$1&amp;"|"&amp;2,Índice!$A$4:$A$1000,0)),"")</f>
        <v>17</v>
      </c>
      <c r="G5" s="5" t="n">
        <f aca="false">IFERROR(INDEX(Catálogo!G$4:G$1000,MATCH($A$1&amp;"|"&amp;2,Índice!$A$4:$A$1000,0)),"")</f>
        <v>99</v>
      </c>
      <c r="H5" s="5" t="n">
        <f aca="false">IFERROR(INDEX(Catálogo!H$4:H$1000,MATCH($A$1&amp;"|"&amp;2,Índice!$A$4:$A$1000,0)),"")</f>
        <v>3</v>
      </c>
      <c r="I5" s="6" t="str">
        <f aca="false">IFERROR(INDEX(Catálogo!I$4:I$1000,MATCH($A$1&amp;"|"&amp;2,Índice!$A$4:$A$1000,0)),"")</f>
        <v>Avaliar burnout académico: exaustão emocional, descrença e eficácia (Maroco &amp; Tecedeiro, 2009)</v>
      </c>
      <c r="J5" s="6" t="str">
        <f aca="false">IFERROR(INDEX(Catálogo!J$4:J$1000,MATCH($A$1&amp;"|"&amp;2,Índice!$A$4:$A$1000,0)),"")</f>
        <v>Exaustão Emocional; Descrença; Eficácia Académica</v>
      </c>
      <c r="K5" s="6" t="str">
        <f aca="false">IFERROR(INDEX(Catálogo!K$4:K$1000,MATCH($A$1&amp;"|"&amp;2,Índice!$A$4:$A$1000,0)),"")</f>
        <v>mbiss</v>
      </c>
      <c r="L5" s="6" t="str">
        <f aca="false">IFERROR(INDEX(Catálogo!L$4:L$1000,MATCH($A$1&amp;"|"&amp;2,Índice!$A$4:$A$1000,0)),"")</f>
        <v>q_mbiss</v>
      </c>
      <c r="M5" s="7" t="str">
        <f aca="false">IFERROR(INDEX(Catálogo!M$4:M$1000,MATCH($A$1&amp;"|"&amp;2,Índice!$A$4:$A$1000,0)),"")</f>
        <v>https://correiaricardina-ui.github.io/questionarios/MBI-SS_v1.html</v>
      </c>
    </row>
    <row r="6" customFormat="false" ht="42" hidden="false" customHeight="true" outlineLevel="0" collapsed="false">
      <c r="A6" s="5" t="n">
        <f aca="false">IFERROR(INDEX(Catálogo!A$4:A$1000,MATCH($A$1&amp;"|"&amp;3,Índice!$A$4:$A$1000,0)),"")</f>
        <v>106</v>
      </c>
      <c r="B6" s="6" t="str">
        <f aca="false">IFERROR(INDEX(Catálogo!B$4:B$1000,MATCH($A$1&amp;"|"&amp;3,Índice!$A$4:$A$1000,0)),"")</f>
        <v>PALS — Aluno (2.º e 3.º ciclo)</v>
      </c>
      <c r="C6" s="6" t="str">
        <f aca="false">IFERROR(INDEX(Catálogo!C$4:C$1000,MATCH($A$1&amp;"|"&amp;3,Índice!$A$4:$A$1000,0)),"")</f>
        <v>Escola, Motivação &amp; Aprendizagem</v>
      </c>
      <c r="D6" s="6" t="str">
        <f aca="false">IFERROR(INDEX(Catálogo!D$4:D$1000,MATCH($A$1&amp;"|"&amp;3,Índice!$A$4:$A$1000,0)),"")</f>
        <v>Paciente</v>
      </c>
      <c r="E6" s="6" t="str">
        <f aca="false">IFERROR(INDEX(Catálogo!E$4:E$1000,MATCH($A$1&amp;"|"&amp;3,Índice!$A$4:$A$1000,0)),"")</f>
        <v>10–14 anos</v>
      </c>
      <c r="F6" s="5" t="n">
        <f aca="false">IFERROR(INDEX(Catálogo!F$4:F$1000,MATCH($A$1&amp;"|"&amp;3,Índice!$A$4:$A$1000,0)),"")</f>
        <v>10</v>
      </c>
      <c r="G6" s="5" t="n">
        <f aca="false">IFERROR(INDEX(Catálogo!G$4:G$1000,MATCH($A$1&amp;"|"&amp;3,Índice!$A$4:$A$1000,0)),"")</f>
        <v>13.9</v>
      </c>
      <c r="H6" s="5" t="n">
        <f aca="false">IFERROR(INDEX(Catálogo!H$4:H$1000,MATCH($A$1&amp;"|"&amp;3,Índice!$A$4:$A$1000,0)),"")</f>
        <v>10</v>
      </c>
      <c r="I6" s="6" t="str">
        <f aca="false">IFERROR(INDEX(Catálogo!I$4:I$1000,MATCH($A$1&amp;"|"&amp;3,Índice!$A$4:$A$1000,0)),"")</f>
        <v>Avaliar padrões adaptativos/maladaptativos de motivação académica, eficácia, estratégias e clima familiar — versão adaptada à pré-adolescência (Midgley et al., 2000)</v>
      </c>
      <c r="J6" s="6" t="str">
        <f aca="false">IFERROR(INDEX(Catálogo!J$4:J$1000,MATCH($A$1&amp;"|"&amp;3,Índice!$A$4:$A$1000,0)),"")</f>
        <v>Orientações pessoais; Clima sala; Eficácia + estratégias; Família; Eixos motivacionais 2×2; Índice de Funcionamento Adaptativo Académico (IFAA); Índice de Risco Motivacional (IRM); Índice de Externalização Académica (IEA); Índice de Discrepância Pessoa-Contexto (Mastery) (IDPCm); Índice de Discrepância Pessoa-Contexto (Performance) (IDPCp)</v>
      </c>
      <c r="K6" s="6" t="str">
        <f aca="false">IFERROR(INDEX(Catálogo!K$4:K$1000,MATCH($A$1&amp;"|"&amp;3,Índice!$A$4:$A$1000,0)),"")</f>
        <v>palsstudent23c</v>
      </c>
      <c r="L6" s="6" t="str">
        <f aca="false">IFERROR(INDEX(Catálogo!L$4:L$1000,MATCH($A$1&amp;"|"&amp;3,Índice!$A$4:$A$1000,0)),"")</f>
        <v>q_pals_student_23c</v>
      </c>
      <c r="M6" s="7" t="str">
        <f aca="false">IFERROR(INDEX(Catálogo!M$4:M$1000,MATCH($A$1&amp;"|"&amp;3,Índice!$A$4:$A$1000,0)),"")</f>
        <v>https://correiaricardina-ui.github.io/questionarios/PALS_Student_2-3ciclo_v1.html</v>
      </c>
    </row>
    <row r="7" customFormat="false" ht="42" hidden="false" customHeight="true" outlineLevel="0" collapsed="false">
      <c r="A7" s="5" t="n">
        <f aca="false">IFERROR(INDEX(Catálogo!A$4:A$1000,MATCH($A$1&amp;"|"&amp;4,Índice!$A$4:$A$1000,0)),"")</f>
        <v>107</v>
      </c>
      <c r="B7" s="6" t="str">
        <f aca="false">IFERROR(INDEX(Catálogo!B$4:B$1000,MATCH($A$1&amp;"|"&amp;4,Índice!$A$4:$A$1000,0)),"")</f>
        <v>PALS — Aluno (Secundário)</v>
      </c>
      <c r="C7" s="6" t="str">
        <f aca="false">IFERROR(INDEX(Catálogo!C$4:C$1000,MATCH($A$1&amp;"|"&amp;4,Índice!$A$4:$A$1000,0)),"")</f>
        <v>Escola, Motivação &amp; Aprendizagem</v>
      </c>
      <c r="D7" s="6" t="str">
        <f aca="false">IFERROR(INDEX(Catálogo!D$4:D$1000,MATCH($A$1&amp;"|"&amp;4,Índice!$A$4:$A$1000,0)),"")</f>
        <v>Paciente</v>
      </c>
      <c r="E7" s="6" t="str">
        <f aca="false">IFERROR(INDEX(Catálogo!E$4:E$1000,MATCH($A$1&amp;"|"&amp;4,Índice!$A$4:$A$1000,0)),"")</f>
        <v>14–18 anos</v>
      </c>
      <c r="F7" s="5" t="n">
        <f aca="false">IFERROR(INDEX(Catálogo!F$4:F$1000,MATCH($A$1&amp;"|"&amp;4,Índice!$A$4:$A$1000,0)),"")</f>
        <v>14</v>
      </c>
      <c r="G7" s="5" t="n">
        <f aca="false">IFERROR(INDEX(Catálogo!G$4:G$1000,MATCH($A$1&amp;"|"&amp;4,Índice!$A$4:$A$1000,0)),"")</f>
        <v>17.9</v>
      </c>
      <c r="H7" s="5" t="n">
        <f aca="false">IFERROR(INDEX(Catálogo!H$4:H$1000,MATCH($A$1&amp;"|"&amp;4,Índice!$A$4:$A$1000,0)),"")</f>
        <v>11</v>
      </c>
      <c r="I7" s="6" t="str">
        <f aca="false">IFERROR(INDEX(Catálogo!I$4:I$1000,MATCH($A$1&amp;"|"&amp;4,Índice!$A$4:$A$1000,0)),"")</f>
        <v>Avaliar padrões adaptativos/maladaptativos de motivação académica, eficácia, estratégias e clima familiar — inclui foco vocacional (Midgley et al., 2000)</v>
      </c>
      <c r="J7" s="6" t="str">
        <f aca="false">IFERROR(INDEX(Catálogo!J$4:J$1000,MATCH($A$1&amp;"|"&amp;4,Índice!$A$4:$A$1000,0)),"")</f>
        <v>Orientações pessoais; Clima sala; Eficácia + estratégias; Família; Vocacional; Eixos motivacionais 2×2; Índice de Funcionamento Adaptativo Académico (IFAA); Índice de Risco Motivacional (IRM); Índice de Externalização Académica (IEA); Índice de Discrepância Pessoa-Contexto (Mastery) (IDPCm); Índice de Discrepância Pessoa-Contexto (Performance) (IDPCp)</v>
      </c>
      <c r="K7" s="6" t="str">
        <f aca="false">IFERROR(INDEX(Catálogo!K$4:K$1000,MATCH($A$1&amp;"|"&amp;4,Índice!$A$4:$A$1000,0)),"")</f>
        <v>palsstudentsec</v>
      </c>
      <c r="L7" s="6" t="str">
        <f aca="false">IFERROR(INDEX(Catálogo!L$4:L$1000,MATCH($A$1&amp;"|"&amp;4,Índice!$A$4:$A$1000,0)),"")</f>
        <v>q_pals_student_sec</v>
      </c>
      <c r="M7" s="7" t="str">
        <f aca="false">IFERROR(INDEX(Catálogo!M$4:M$1000,MATCH($A$1&amp;"|"&amp;4,Índice!$A$4:$A$1000,0)),"")</f>
        <v>https://correiaricardina-ui.github.io/questionarios/PALS_Student_Secundario_v1.html</v>
      </c>
    </row>
    <row r="8" customFormat="false" ht="42" hidden="false" customHeight="true" outlineLevel="0" collapsed="false">
      <c r="A8" s="5" t="n">
        <f aca="false">IFERROR(INDEX(Catálogo!A$4:A$1000,MATCH($A$1&amp;"|"&amp;5,Índice!$A$4:$A$1000,0)),"")</f>
        <v>108</v>
      </c>
      <c r="B8" s="6" t="str">
        <f aca="false">IFERROR(INDEX(Catálogo!B$4:B$1000,MATCH($A$1&amp;"|"&amp;5,Índice!$A$4:$A$1000,0)),"")</f>
        <v>PALS — Aluno 2.º/3.º Ciclo (Reduzido)</v>
      </c>
      <c r="C8" s="6" t="str">
        <f aca="false">IFERROR(INDEX(Catálogo!C$4:C$1000,MATCH($A$1&amp;"|"&amp;5,Índice!$A$4:$A$1000,0)),"")</f>
        <v>Escola, Motivação &amp; Aprendizagem</v>
      </c>
      <c r="D8" s="6" t="str">
        <f aca="false">IFERROR(INDEX(Catálogo!D$4:D$1000,MATCH($A$1&amp;"|"&amp;5,Índice!$A$4:$A$1000,0)),"")</f>
        <v>Paciente</v>
      </c>
      <c r="E8" s="6" t="str">
        <f aca="false">IFERROR(INDEX(Catálogo!E$4:E$1000,MATCH($A$1&amp;"|"&amp;5,Índice!$A$4:$A$1000,0)),"")</f>
        <v>10–14 anos</v>
      </c>
      <c r="F8" s="5" t="n">
        <f aca="false">IFERROR(INDEX(Catálogo!F$4:F$1000,MATCH($A$1&amp;"|"&amp;5,Índice!$A$4:$A$1000,0)),"")</f>
        <v>10</v>
      </c>
      <c r="G8" s="5" t="n">
        <f aca="false">IFERROR(INDEX(Catálogo!G$4:G$1000,MATCH($A$1&amp;"|"&amp;5,Índice!$A$4:$A$1000,0)),"")</f>
        <v>13.9</v>
      </c>
      <c r="H8" s="5" t="n">
        <f aca="false">IFERROR(INDEX(Catálogo!H$4:H$1000,MATCH($A$1&amp;"|"&amp;5,Índice!$A$4:$A$1000,0)),"")</f>
        <v>10</v>
      </c>
      <c r="I8" s="6" t="str">
        <f aca="false">IFERROR(INDEX(Catálogo!I$4:I$1000,MATCH($A$1&amp;"|"&amp;5,Índice!$A$4:$A$1000,0)),"")</f>
        <v>Versão breve (46 itens) do PALS Aluno 2.º/3.º ciclo — mesmas 18 subescalas, 5 índices e 7 perfis da versão completa, linguagem adaptada à pré-adolescência (Midgley et al., 2000)</v>
      </c>
      <c r="J8" s="6" t="str">
        <f aca="false">IFERROR(INDEX(Catálogo!J$4:J$1000,MATCH($A$1&amp;"|"&amp;5,Índice!$A$4:$A$1000,0)),"")</f>
        <v>Orientações pessoais; Clima sala; Eficácia + estratégias; Família; Eixos motivacionais 2×2; Índice de Funcionamento Adaptativo Académico (IFAA); Índice de Risco Motivacional (IRM); Índice de Externalização Académica (IEA); Índice de Discrepância Pessoa-Contexto (Mastery) (IDPCm); Índice de Discrepância Pessoa-Contexto (Performance) (IDPCp)</v>
      </c>
      <c r="K8" s="6" t="str">
        <f aca="false">IFERROR(INDEX(Catálogo!K$4:K$1000,MATCH($A$1&amp;"|"&amp;5,Índice!$A$4:$A$1000,0)),"")</f>
        <v>palsstudent23cred</v>
      </c>
      <c r="L8" s="6" t="str">
        <f aca="false">IFERROR(INDEX(Catálogo!L$4:L$1000,MATCH($A$1&amp;"|"&amp;5,Índice!$A$4:$A$1000,0)),"")</f>
        <v>q_pals_student_23c_red</v>
      </c>
      <c r="M8" s="7" t="str">
        <f aca="false">IFERROR(INDEX(Catálogo!M$4:M$1000,MATCH($A$1&amp;"|"&amp;5,Índice!$A$4:$A$1000,0)),"")</f>
        <v>https://correiaricardina-ui.github.io/questionarios/PALS_Student_2-3ciclo_Reduzido_v1.html</v>
      </c>
    </row>
    <row r="9" customFormat="false" ht="42" hidden="false" customHeight="true" outlineLevel="0" collapsed="false">
      <c r="A9" s="5" t="n">
        <f aca="false">IFERROR(INDEX(Catálogo!A$4:A$1000,MATCH($A$1&amp;"|"&amp;6,Índice!$A$4:$A$1000,0)),"")</f>
        <v>109</v>
      </c>
      <c r="B9" s="6" t="str">
        <f aca="false">IFERROR(INDEX(Catálogo!B$4:B$1000,MATCH($A$1&amp;"|"&amp;6,Índice!$A$4:$A$1000,0)),"")</f>
        <v>PALS — Aluno Secundário (Reduzido)</v>
      </c>
      <c r="C9" s="6" t="str">
        <f aca="false">IFERROR(INDEX(Catálogo!C$4:C$1000,MATCH($A$1&amp;"|"&amp;6,Índice!$A$4:$A$1000,0)),"")</f>
        <v>Escola, Motivação &amp; Aprendizagem</v>
      </c>
      <c r="D9" s="6" t="str">
        <f aca="false">IFERROR(INDEX(Catálogo!D$4:D$1000,MATCH($A$1&amp;"|"&amp;6,Índice!$A$4:$A$1000,0)),"")</f>
        <v>Paciente</v>
      </c>
      <c r="E9" s="6" t="str">
        <f aca="false">IFERROR(INDEX(Catálogo!E$4:E$1000,MATCH($A$1&amp;"|"&amp;6,Índice!$A$4:$A$1000,0)),"")</f>
        <v>14–18 anos</v>
      </c>
      <c r="F9" s="5" t="n">
        <f aca="false">IFERROR(INDEX(Catálogo!F$4:F$1000,MATCH($A$1&amp;"|"&amp;6,Índice!$A$4:$A$1000,0)),"")</f>
        <v>14</v>
      </c>
      <c r="G9" s="5" t="n">
        <f aca="false">IFERROR(INDEX(Catálogo!G$4:G$1000,MATCH($A$1&amp;"|"&amp;6,Índice!$A$4:$A$1000,0)),"")</f>
        <v>17.9</v>
      </c>
      <c r="H9" s="5" t="n">
        <f aca="false">IFERROR(INDEX(Catálogo!H$4:H$1000,MATCH($A$1&amp;"|"&amp;6,Índice!$A$4:$A$1000,0)),"")</f>
        <v>11</v>
      </c>
      <c r="I9" s="6" t="str">
        <f aca="false">IFERROR(INDEX(Catálogo!I$4:I$1000,MATCH($A$1&amp;"|"&amp;6,Índice!$A$4:$A$1000,0)),"")</f>
        <v>Versão breve (46 itens) do PALS Aluno Secundário — mesmas 18 subescalas, 5 índices e 8 perfis da versão completa, inclui foco vocacional (Midgley et al., 2000)</v>
      </c>
      <c r="J9" s="6" t="str">
        <f aca="false">IFERROR(INDEX(Catálogo!J$4:J$1000,MATCH($A$1&amp;"|"&amp;6,Índice!$A$4:$A$1000,0)),"")</f>
        <v>Orientações pessoais; Clima sala; Eficácia + estratégias; Família; Vocacional; Eixos motivacionais 2×2; Índice de Funcionamento Adaptativo Académico (IFAA); Índice de Risco Motivacional (IRM); Índice de Externalização Académica (IEA); Índice de Discrepância Pessoa-Contexto (Mastery) (IDPCm); Índice de Discrepância Pessoa-Contexto (Performance) (IDPCp)</v>
      </c>
      <c r="K9" s="6" t="str">
        <f aca="false">IFERROR(INDEX(Catálogo!K$4:K$1000,MATCH($A$1&amp;"|"&amp;6,Índice!$A$4:$A$1000,0)),"")</f>
        <v>palsstudentsecred</v>
      </c>
      <c r="L9" s="6" t="str">
        <f aca="false">IFERROR(INDEX(Catálogo!L$4:L$1000,MATCH($A$1&amp;"|"&amp;6,Índice!$A$4:$A$1000,0)),"")</f>
        <v>q_pals_student_sec_red</v>
      </c>
      <c r="M9" s="7" t="str">
        <f aca="false">IFERROR(INDEX(Catálogo!M$4:M$1000,MATCH($A$1&amp;"|"&amp;6,Índice!$A$4:$A$1000,0)),"")</f>
        <v>https://correiaricardina-ui.github.io/questionarios/PALS_Student_Secundario_Reduzido_v1.html</v>
      </c>
    </row>
    <row r="10" customFormat="false" ht="42" hidden="false" customHeight="true" outlineLevel="0" collapsed="false">
      <c r="A10" s="5" t="n">
        <f aca="false">IFERROR(INDEX(Catálogo!A$4:A$1000,MATCH($A$1&amp;"|"&amp;7,Índice!$A$4:$A$1000,0)),"")</f>
        <v>110</v>
      </c>
      <c r="B10" s="6" t="str">
        <f aca="false">IFERROR(INDEX(Catálogo!B$4:B$1000,MATCH($A$1&amp;"|"&amp;7,Índice!$A$4:$A$1000,0)),"")</f>
        <v>PALS — Parent</v>
      </c>
      <c r="C10" s="6" t="str">
        <f aca="false">IFERROR(INDEX(Catálogo!C$4:C$1000,MATCH($A$1&amp;"|"&amp;7,Índice!$A$4:$A$1000,0)),"")</f>
        <v>Escola, Motivação &amp; Aprendizagem</v>
      </c>
      <c r="D10" s="6" t="str">
        <f aca="false">IFERROR(INDEX(Catálogo!D$4:D$1000,MATCH($A$1&amp;"|"&amp;7,Índice!$A$4:$A$1000,0)),"")</f>
        <v>Mãe, Pai, Enc. Educação</v>
      </c>
      <c r="E10" s="6" t="str">
        <f aca="false">IFERROR(INDEX(Catálogo!E$4:E$1000,MATCH($A$1&amp;"|"&amp;7,Índice!$A$4:$A$1000,0)),"")</f>
        <v>6–18 anos</v>
      </c>
      <c r="F10" s="5" t="n">
        <f aca="false">IFERROR(INDEX(Catálogo!F$4:F$1000,MATCH($A$1&amp;"|"&amp;7,Índice!$A$4:$A$1000,0)),"")</f>
        <v>6</v>
      </c>
      <c r="G10" s="5" t="n">
        <f aca="false">IFERROR(INDEX(Catálogo!G$4:G$1000,MATCH($A$1&amp;"|"&amp;7,Índice!$A$4:$A$1000,0)),"")</f>
        <v>17.9</v>
      </c>
      <c r="H10" s="5" t="n">
        <f aca="false">IFERROR(INDEX(Catálogo!H$4:H$1000,MATCH($A$1&amp;"|"&amp;7,Índice!$A$4:$A$1000,0)),"")</f>
        <v>15</v>
      </c>
      <c r="I10" s="6" t="str">
        <f aca="false">IFERROR(INDEX(Catálogo!I$4:I$1000,MATCH($A$1&amp;"|"&amp;7,Índice!$A$4:$A$1000,0)),"")</f>
        <v>Mapear orientações motivacionais parentais, pressão academica e clima familiar de eficácia/afeto face à escola (Midgley et al., 2000)</v>
      </c>
      <c r="J10" s="6" t="str">
        <f aca="false">IFERROR(INDEX(Catálogo!J$4:J$1000,MATCH($A$1&amp;"|"&amp;7,Índice!$A$4:$A$1000,0)),"")</f>
        <v>Mastery parental; Performance parental; Eficácia parental; Afeto face à escola; Polaridade de Orientações Parentais (POP); Polaridade do Clima Escolar (perceção parental) (PCEP); Índice de Funcionamento Parental (IFP); Índice de Pressão Académica Parental (IPCA); Índice de Risco de Pressão-Avoidance (IRPA); Índice de Coerência Casa-Escola (Mastery) (ICEFM); Índice de Coerência Casa-Escola (Performance) (ICEFP); Índice de Risco Parental-Familiar (IRPF); Índice de Investimento Parental Adaptativo (IIP); Índice de Pressão Internalizante (IPI); Índice de Discrepância Casa-Escola Global (IDC)</v>
      </c>
      <c r="K10" s="6" t="str">
        <f aca="false">IFERROR(INDEX(Catálogo!K$4:K$1000,MATCH($A$1&amp;"|"&amp;7,Índice!$A$4:$A$1000,0)),"")</f>
        <v>palsparent</v>
      </c>
      <c r="L10" s="6" t="str">
        <f aca="false">IFERROR(INDEX(Catálogo!L$4:L$1000,MATCH($A$1&amp;"|"&amp;7,Índice!$A$4:$A$1000,0)),"")</f>
        <v>q_pals_parent</v>
      </c>
      <c r="M10" s="7" t="str">
        <f aca="false">IFERROR(INDEX(Catálogo!M$4:M$1000,MATCH($A$1&amp;"|"&amp;7,Índice!$A$4:$A$1000,0)),"")</f>
        <v>https://correiaricardina-ui.github.io/questionarios/PALS_Parent_v1.html</v>
      </c>
    </row>
    <row r="11" customFormat="false" ht="42" hidden="false" customHeight="true" outlineLevel="0" collapsed="false">
      <c r="A11" s="5" t="n">
        <f aca="false">IFERROR(INDEX(Catálogo!A$4:A$1000,MATCH($A$1&amp;"|"&amp;8,Índice!$A$4:$A$1000,0)),"")</f>
        <v>111</v>
      </c>
      <c r="B11" s="6" t="str">
        <f aca="false">IFERROR(INDEX(Catálogo!B$4:B$1000,MATCH($A$1&amp;"|"&amp;8,Índice!$A$4:$A$1000,0)),"")</f>
        <v>PALS — Parent (Reduzido)</v>
      </c>
      <c r="C11" s="6" t="str">
        <f aca="false">IFERROR(INDEX(Catálogo!C$4:C$1000,MATCH($A$1&amp;"|"&amp;8,Índice!$A$4:$A$1000,0)),"")</f>
        <v>Escola, Motivação &amp; Aprendizagem</v>
      </c>
      <c r="D11" s="6" t="str">
        <f aca="false">IFERROR(INDEX(Catálogo!D$4:D$1000,MATCH($A$1&amp;"|"&amp;8,Índice!$A$4:$A$1000,0)),"")</f>
        <v>Mãe, Pai, Enc. Educação</v>
      </c>
      <c r="E11" s="6" t="str">
        <f aca="false">IFERROR(INDEX(Catálogo!E$4:E$1000,MATCH($A$1&amp;"|"&amp;8,Índice!$A$4:$A$1000,0)),"")</f>
        <v>6–18 anos</v>
      </c>
      <c r="F11" s="5" t="n">
        <f aca="false">IFERROR(INDEX(Catálogo!F$4:F$1000,MATCH($A$1&amp;"|"&amp;8,Índice!$A$4:$A$1000,0)),"")</f>
        <v>6</v>
      </c>
      <c r="G11" s="5" t="n">
        <f aca="false">IFERROR(INDEX(Catálogo!G$4:G$1000,MATCH($A$1&amp;"|"&amp;8,Índice!$A$4:$A$1000,0)),"")</f>
        <v>17.9</v>
      </c>
      <c r="H11" s="5" t="n">
        <f aca="false">IFERROR(INDEX(Catálogo!H$4:H$1000,MATCH($A$1&amp;"|"&amp;8,Índice!$A$4:$A$1000,0)),"")</f>
        <v>15</v>
      </c>
      <c r="I11" s="6" t="str">
        <f aca="false">IFERROR(INDEX(Catálogo!I$4:I$1000,MATCH($A$1&amp;"|"&amp;8,Índice!$A$4:$A$1000,0)),"")</f>
        <v>Versão breve (21 itens) do PALS Parent — mesmas 8 subescalas, 9 índices clínicos e 7 perfis da versão completa, com menor tempo de administração (Midgley et al., 2000)</v>
      </c>
      <c r="J11" s="6" t="str">
        <f aca="false">IFERROR(INDEX(Catálogo!J$4:J$1000,MATCH($A$1&amp;"|"&amp;8,Índice!$A$4:$A$1000,0)),"")</f>
        <v>Mastery parental; Performance parental; Eficácia parental; Afeto face à escola; Polaridade de Orientações Parentais (POP); Polaridade do Clima Escolar (perceção parental) (PCEP); Índice de Funcionamento Parental (IFP); Índice de Pressão Académica Parental (IPCA); Índice de Risco de Pressão-Avoidance (IRPA); Índice de Coerência Casa-Escola (Mastery) (ICEFM); Índice de Coerência Casa-Escola (Performance) (ICEFP); Índice de Risco Parental-Familiar (IRPF); Índice de Investimento Parental Adaptativo (IIP); Índice de Pressão Internalizante (IPI); Índice de Discrepância Casa-Escola Global (IDC)</v>
      </c>
      <c r="K11" s="6" t="str">
        <f aca="false">IFERROR(INDEX(Catálogo!K$4:K$1000,MATCH($A$1&amp;"|"&amp;8,Índice!$A$4:$A$1000,0)),"")</f>
        <v>palsparentred</v>
      </c>
      <c r="L11" s="6" t="str">
        <f aca="false">IFERROR(INDEX(Catálogo!L$4:L$1000,MATCH($A$1&amp;"|"&amp;8,Índice!$A$4:$A$1000,0)),"")</f>
        <v>q_pals_parent_red</v>
      </c>
      <c r="M11" s="7" t="str">
        <f aca="false">IFERROR(INDEX(Catálogo!M$4:M$1000,MATCH($A$1&amp;"|"&amp;8,Índice!$A$4:$A$1000,0)),"")</f>
        <v>https://correiaricardina-ui.github.io/questionarios/PALS_Parent_Reduzido_v1.html</v>
      </c>
    </row>
    <row r="12" customFormat="false" ht="42" hidden="false" customHeight="true" outlineLevel="0" collapsed="false">
      <c r="A12" s="5" t="n">
        <f aca="false">IFERROR(INDEX(Catálogo!A$4:A$1000,MATCH($A$1&amp;"|"&amp;9,Índice!$A$4:$A$1000,0)),"")</f>
        <v>112</v>
      </c>
      <c r="B12" s="6" t="str">
        <f aca="false">IFERROR(INDEX(Catálogo!B$4:B$1000,MATCH($A$1&amp;"|"&amp;9,Índice!$A$4:$A$1000,0)),"")</f>
        <v>PALS — Teacher</v>
      </c>
      <c r="C12" s="6" t="str">
        <f aca="false">IFERROR(INDEX(Catálogo!C$4:C$1000,MATCH($A$1&amp;"|"&amp;9,Índice!$A$4:$A$1000,0)),"")</f>
        <v>Escola, Motivação &amp; Aprendizagem</v>
      </c>
      <c r="D12" s="6" t="str">
        <f aca="false">IFERROR(INDEX(Catálogo!D$4:D$1000,MATCH($A$1&amp;"|"&amp;9,Índice!$A$4:$A$1000,0)),"")</f>
        <v>Professor(a)</v>
      </c>
      <c r="E12" s="6" t="str">
        <f aca="false">IFERROR(INDEX(Catálogo!E$4:E$1000,MATCH($A$1&amp;"|"&amp;9,Índice!$A$4:$A$1000,0)),"")</f>
        <v>6–18 anos</v>
      </c>
      <c r="F12" s="5" t="n">
        <f aca="false">IFERROR(INDEX(Catálogo!F$4:F$1000,MATCH($A$1&amp;"|"&amp;9,Índice!$A$4:$A$1000,0)),"")</f>
        <v>6</v>
      </c>
      <c r="G12" s="5" t="n">
        <f aca="false">IFERROR(INDEX(Catálogo!G$4:G$1000,MATCH($A$1&amp;"|"&amp;9,Índice!$A$4:$A$1000,0)),"")</f>
        <v>17.9</v>
      </c>
      <c r="H12" s="5" t="n">
        <f aca="false">IFERROR(INDEX(Catálogo!H$4:H$1000,MATCH($A$1&amp;"|"&amp;9,Índice!$A$4:$A$1000,0)),"")</f>
        <v>11</v>
      </c>
      <c r="I12" s="6" t="str">
        <f aca="false">IFERROR(INDEX(Catálogo!I$4:I$1000,MATCH($A$1&amp;"|"&amp;9,Índice!$A$4:$A$1000,0)),"")</f>
        <v>Mapear estruturas de meta da sala, abordagens à instrução e eficácia/afeto docente (Midgley et al., 2000)</v>
      </c>
      <c r="J12" s="6" t="str">
        <f aca="false">IFERROR(INDEX(Catálogo!J$4:J$1000,MATCH($A$1&amp;"|"&amp;9,Índice!$A$4:$A$1000,0)),"")</f>
        <v>Estruturas de meta; Abordagens instrução; Eficácia docente; Afeto profissional; Polaridade do Clima Escolar (PCS); Polaridade do Clima de Instrução (PCI); Índice de Funcionamento Docente (IFD); Índice de Coerência (Mastery) (ICA); Índice de Coerência (Performance) (ICP); Índice de Risco Performance-Avoidance Climático (IRP); Índice de Risco de Burnout Docente (IRBD)</v>
      </c>
      <c r="K12" s="6" t="str">
        <f aca="false">IFERROR(INDEX(Catálogo!K$4:K$1000,MATCH($A$1&amp;"|"&amp;9,Índice!$A$4:$A$1000,0)),"")</f>
        <v>palsteacher</v>
      </c>
      <c r="L12" s="6" t="str">
        <f aca="false">IFERROR(INDEX(Catálogo!L$4:L$1000,MATCH($A$1&amp;"|"&amp;9,Índice!$A$4:$A$1000,0)),"")</f>
        <v>q_pals_teacher</v>
      </c>
      <c r="M12" s="7" t="str">
        <f aca="false">IFERROR(INDEX(Catálogo!M$4:M$1000,MATCH($A$1&amp;"|"&amp;9,Índice!$A$4:$A$1000,0)),"")</f>
        <v>https://correiaricardina-ui.github.io/questionarios/PALS_Teacher_v1.html</v>
      </c>
    </row>
    <row r="13" customFormat="false" ht="42" hidden="false" customHeight="true" outlineLevel="0" collapsed="false">
      <c r="A13" s="5" t="n">
        <f aca="false">IFERROR(INDEX(Catálogo!A$4:A$1000,MATCH($A$1&amp;"|"&amp;10,Índice!$A$4:$A$1000,0)),"")</f>
        <v>113</v>
      </c>
      <c r="B13" s="6" t="str">
        <f aca="false">IFERROR(INDEX(Catálogo!B$4:B$1000,MATCH($A$1&amp;"|"&amp;10,Índice!$A$4:$A$1000,0)),"")</f>
        <v>PALS — Teacher (Reduzido)</v>
      </c>
      <c r="C13" s="6" t="str">
        <f aca="false">IFERROR(INDEX(Catálogo!C$4:C$1000,MATCH($A$1&amp;"|"&amp;10,Índice!$A$4:$A$1000,0)),"")</f>
        <v>Escola, Motivação &amp; Aprendizagem</v>
      </c>
      <c r="D13" s="6" t="str">
        <f aca="false">IFERROR(INDEX(Catálogo!D$4:D$1000,MATCH($A$1&amp;"|"&amp;10,Índice!$A$4:$A$1000,0)),"")</f>
        <v>Professor(a)</v>
      </c>
      <c r="E13" s="6" t="str">
        <f aca="false">IFERROR(INDEX(Catálogo!E$4:E$1000,MATCH($A$1&amp;"|"&amp;10,Índice!$A$4:$A$1000,0)),"")</f>
        <v>6–18 anos</v>
      </c>
      <c r="F13" s="5" t="n">
        <f aca="false">IFERROR(INDEX(Catálogo!F$4:F$1000,MATCH($A$1&amp;"|"&amp;10,Índice!$A$4:$A$1000,0)),"")</f>
        <v>6</v>
      </c>
      <c r="G13" s="5" t="n">
        <f aca="false">IFERROR(INDEX(Catálogo!G$4:G$1000,MATCH($A$1&amp;"|"&amp;10,Índice!$A$4:$A$1000,0)),"")</f>
        <v>17.9</v>
      </c>
      <c r="H13" s="5" t="n">
        <f aca="false">IFERROR(INDEX(Catálogo!H$4:H$1000,MATCH($A$1&amp;"|"&amp;10,Índice!$A$4:$A$1000,0)),"")</f>
        <v>11</v>
      </c>
      <c r="I13" s="6" t="str">
        <f aca="false">IFERROR(INDEX(Catálogo!I$4:I$1000,MATCH($A$1&amp;"|"&amp;10,Índice!$A$4:$A$1000,0)),"")</f>
        <v>Versão breve (20 itens) do PALS Teacher — mesmas 7 subescalas, 5 índices e 6 perfis da versão completa (Midgley et al., 2000)</v>
      </c>
      <c r="J13" s="6" t="str">
        <f aca="false">IFERROR(INDEX(Catálogo!J$4:J$1000,MATCH($A$1&amp;"|"&amp;10,Índice!$A$4:$A$1000,0)),"")</f>
        <v>Estruturas de meta; Abordagens instrução; Eficácia docente; Afeto profissional; Polaridade do Clima Escolar (PCS); Polaridade do Clima de Instrução (PCI); Índice de Funcionamento Docente (IFD); Índice de Coerência (Mastery) (ICA); Índice de Coerência (Performance) (ICP); Índice de Risco Performance-Avoidance Climático (IRP); Índice de Risco de Burnout Docente (IRBD)</v>
      </c>
      <c r="K13" s="6" t="str">
        <f aca="false">IFERROR(INDEX(Catálogo!K$4:K$1000,MATCH($A$1&amp;"|"&amp;10,Índice!$A$4:$A$1000,0)),"")</f>
        <v>palsteacherred</v>
      </c>
      <c r="L13" s="6" t="str">
        <f aca="false">IFERROR(INDEX(Catálogo!L$4:L$1000,MATCH($A$1&amp;"|"&amp;10,Índice!$A$4:$A$1000,0)),"")</f>
        <v>q_pals_teacher_red</v>
      </c>
      <c r="M13" s="7" t="str">
        <f aca="false">IFERROR(INDEX(Catálogo!M$4:M$1000,MATCH($A$1&amp;"|"&amp;10,Índice!$A$4:$A$1000,0)),"")</f>
        <v>https://correiaricardina-ui.github.io/questionarios/PALS_Teacher_Reduzido_v1.html</v>
      </c>
    </row>
    <row r="14" customFormat="false" ht="42" hidden="false" customHeight="true" outlineLevel="0" collapsed="false">
      <c r="A14" s="5" t="n">
        <f aca="false">IFERROR(INDEX(Catálogo!A$4:A$1000,MATCH($A$1&amp;"|"&amp;11,Índice!$A$4:$A$1000,0)),"")</f>
        <v>136</v>
      </c>
      <c r="B14" s="6" t="str">
        <f aca="false">IFERROR(INDEX(Catálogo!B$4:B$1000,MATCH($A$1&amp;"|"&amp;11,Índice!$A$4:$A$1000,0)),"")</f>
        <v>SEQ-C — Autoeficácia para Crianças</v>
      </c>
      <c r="C14" s="6" t="str">
        <f aca="false">IFERROR(INDEX(Catálogo!C$4:C$1000,MATCH($A$1&amp;"|"&amp;11,Índice!$A$4:$A$1000,0)),"")</f>
        <v>Escola, Motivação &amp; Aprendizagem</v>
      </c>
      <c r="D14" s="6" t="str">
        <f aca="false">IFERROR(INDEX(Catálogo!D$4:D$1000,MATCH($A$1&amp;"|"&amp;11,Índice!$A$4:$A$1000,0)),"")</f>
        <v>Paciente, Jovem avaliado</v>
      </c>
      <c r="E14" s="6" t="str">
        <f aca="false">IFERROR(INDEX(Catálogo!E$4:E$1000,MATCH($A$1&amp;"|"&amp;11,Índice!$A$4:$A$1000,0)),"")</f>
        <v>7.º–12.º ano</v>
      </c>
      <c r="F14" s="5" t="n">
        <f aca="false">IFERROR(INDEX(Catálogo!F$4:F$1000,MATCH($A$1&amp;"|"&amp;11,Índice!$A$4:$A$1000,0)),"")</f>
        <v>11</v>
      </c>
      <c r="G14" s="5" t="n">
        <f aca="false">IFERROR(INDEX(Catálogo!G$4:G$1000,MATCH($A$1&amp;"|"&amp;11,Índice!$A$4:$A$1000,0)),"")</f>
        <v>17.9</v>
      </c>
      <c r="H14" s="5" t="n">
        <f aca="false">IFERROR(INDEX(Catálogo!H$4:H$1000,MATCH($A$1&amp;"|"&amp;11,Índice!$A$4:$A$1000,0)),"")</f>
        <v>4</v>
      </c>
      <c r="I14" s="6" t="str">
        <f aca="false">IFERROR(INDEX(Catálogo!I$4:I$1000,MATCH($A$1&amp;"|"&amp;11,Índice!$A$4:$A$1000,0)),"")</f>
        <v>Avalia crenças de autoeficácia em três domínios: académico, social e emocional (Nogueira, 2003)</v>
      </c>
      <c r="J14" s="6" t="str">
        <f aca="false">IFERROR(INDEX(Catálogo!J$4:J$1000,MATCH($A$1&amp;"|"&amp;11,Índice!$A$4:$A$1000,0)),"")</f>
        <v>AE Académica; AE Social; AE Emocional; AE Global</v>
      </c>
      <c r="K14" s="6" t="str">
        <f aca="false">IFERROR(INDEX(Catálogo!K$4:K$1000,MATCH($A$1&amp;"|"&amp;11,Índice!$A$4:$A$1000,0)),"")</f>
        <v>seqc</v>
      </c>
      <c r="L14" s="6" t="str">
        <f aca="false">IFERROR(INDEX(Catálogo!L$4:L$1000,MATCH($A$1&amp;"|"&amp;11,Índice!$A$4:$A$1000,0)),"")</f>
        <v>q_seqc</v>
      </c>
      <c r="M14" s="7" t="str">
        <f aca="false">IFERROR(INDEX(Catálogo!M$4:M$1000,MATCH($A$1&amp;"|"&amp;11,Índice!$A$4:$A$1000,0)),"")</f>
        <v>https://correiaricardina-ui.github.io/questionarios/SEQC_v2.html</v>
      </c>
    </row>
    <row r="15" customFormat="false" ht="42" hidden="false" customHeight="true" outlineLevel="0" collapsed="false">
      <c r="A15" s="5" t="n">
        <f aca="false">IFERROR(INDEX(Catálogo!A$4:A$1000,MATCH($A$1&amp;"|"&amp;12,Índice!$A$4:$A$1000,0)),"")</f>
        <v>138</v>
      </c>
      <c r="B15" s="6" t="str">
        <f aca="false">IFERROR(INDEX(Catálogo!B$4:B$1000,MATCH($A$1&amp;"|"&amp;12,Índice!$A$4:$A$1000,0)),"")</f>
        <v>Sociograma · Mapa Social</v>
      </c>
      <c r="C15" s="6" t="str">
        <f aca="false">IFERROR(INDEX(Catálogo!C$4:C$1000,MATCH($A$1&amp;"|"&amp;12,Índice!$A$4:$A$1000,0)),"")</f>
        <v>Escola, Motivação &amp; Aprendizagem</v>
      </c>
      <c r="D15" s="6" t="str">
        <f aca="false">IFERROR(INDEX(Catálogo!D$4:D$1000,MATCH($A$1&amp;"|"&amp;12,Índice!$A$4:$A$1000,0)),"")</f>
        <v>Criança/Adolescente, Pais, Mãe, Pai, Enc. Educação, Professor, Diretor de Turma</v>
      </c>
      <c r="E15" s="6" t="str">
        <f aca="false">IFERROR(INDEX(Catálogo!E$4:E$1000,MATCH($A$1&amp;"|"&amp;12,Índice!$A$4:$A$1000,0)),"")</f>
        <v>6–18 anos</v>
      </c>
      <c r="F15" s="5" t="n">
        <f aca="false">IFERROR(INDEX(Catálogo!F$4:F$1000,MATCH($A$1&amp;"|"&amp;12,Índice!$A$4:$A$1000,0)),"")</f>
        <v>6</v>
      </c>
      <c r="G15" s="5" t="n">
        <f aca="false">IFERROR(INDEX(Catálogo!G$4:G$1000,MATCH($A$1&amp;"|"&amp;12,Índice!$A$4:$A$1000,0)),"")</f>
        <v>17.9</v>
      </c>
      <c r="H15" s="5" t="n">
        <f aca="false">IFERROR(INDEX(Catálogo!H$4:H$1000,MATCH($A$1&amp;"|"&amp;12,Índice!$A$4:$A$1000,0)),"")</f>
        <v>6</v>
      </c>
      <c r="I15" s="6" t="str">
        <f aca="false">IFERROR(INDEX(Catálogo!I$4:I$1000,MATCH($A$1&amp;"|"&amp;12,Índice!$A$4:$A$1000,0)),"")</f>
        <v>Sociograma informal e entrevista ecológica — mapa visual das relações de apoio, afiliação e distância na turma + ecologia da escola (espaços confortáveis vs evitados) + auto-percepção vs percepção atribuída à turma. Baseado em Moreno (1934), Coie &amp; Dodge (1988), Bronfenbrenner (1979), Cillessen &amp; Marks (2011), Resnick et al. (1997) e Hagerty et al. (1992). Não substitui sociometria formal aplicada à turma; serve como ponto de partida para entrevista clínica e observação ecológica.</v>
      </c>
      <c r="J15" s="6" t="str">
        <f aca="false">IFERROR(INDEX(Catálogo!J$4:J$1000,MATCH($A$1&amp;"|"&amp;12,Índice!$A$4:$A$1000,0)),"")</f>
        <v>Apoio emocional; Pertença e escolha mútua; Distância/Exclusão; Self vs Other; Mapa ecológico; Adultos de referência</v>
      </c>
      <c r="K15" s="6" t="str">
        <f aca="false">IFERROR(INDEX(Catálogo!K$4:K$1000,MATCH($A$1&amp;"|"&amp;12,Índice!$A$4:$A$1000,0)),"")</f>
        <v>sociograma</v>
      </c>
      <c r="L15" s="6" t="str">
        <f aca="false">IFERROR(INDEX(Catálogo!L$4:L$1000,MATCH($A$1&amp;"|"&amp;12,Índice!$A$4:$A$1000,0)),"")</f>
        <v>q_sociograma</v>
      </c>
      <c r="M15" s="7" t="str">
        <f aca="false">IFERROR(INDEX(Catálogo!M$4:M$1000,MATCH($A$1&amp;"|"&amp;12,Índice!$A$4:$A$1000,0)),"")</f>
        <v>https://correiaricardina-ui.github.io/questionarios/SOCIOGRAMA_RC_v1.html</v>
      </c>
    </row>
    <row r="16" customFormat="false" ht="42" hidden="false" customHeight="true" outlineLevel="0" collapsed="false">
      <c r="A16" s="5" t="str">
        <f aca="false">IFERROR(INDEX(Catálogo!A$4:A$1000,MATCH($A$1&amp;"|"&amp;13,Índice!$A$4:$A$1000,0)),"")</f>
        <v/>
      </c>
      <c r="B16" s="6" t="str">
        <f aca="false">IFERROR(INDEX(Catálogo!B$4:B$1000,MATCH($A$1&amp;"|"&amp;13,Índice!$A$4:$A$1000,0)),"")</f>
        <v/>
      </c>
      <c r="C16" s="6" t="str">
        <f aca="false">IFERROR(INDEX(Catálogo!C$4:C$1000,MATCH($A$1&amp;"|"&amp;13,Índice!$A$4:$A$1000,0)),"")</f>
        <v/>
      </c>
      <c r="D16" s="6" t="str">
        <f aca="false">IFERROR(INDEX(Catálogo!D$4:D$1000,MATCH($A$1&amp;"|"&amp;13,Índice!$A$4:$A$1000,0)),"")</f>
        <v/>
      </c>
      <c r="E16" s="6" t="str">
        <f aca="false">IFERROR(INDEX(Catálogo!E$4:E$1000,MATCH($A$1&amp;"|"&amp;13,Índice!$A$4:$A$1000,0)),"")</f>
        <v/>
      </c>
      <c r="F16" s="5" t="str">
        <f aca="false">IFERROR(INDEX(Catálogo!F$4:F$1000,MATCH($A$1&amp;"|"&amp;13,Índice!$A$4:$A$1000,0)),"")</f>
        <v/>
      </c>
      <c r="G16" s="5" t="str">
        <f aca="false">IFERROR(INDEX(Catálogo!G$4:G$1000,MATCH($A$1&amp;"|"&amp;13,Índice!$A$4:$A$1000,0)),"")</f>
        <v/>
      </c>
      <c r="H16" s="5" t="str">
        <f aca="false">IFERROR(INDEX(Catálogo!H$4:H$1000,MATCH($A$1&amp;"|"&amp;13,Índice!$A$4:$A$1000,0)),"")</f>
        <v/>
      </c>
      <c r="I16" s="6" t="str">
        <f aca="false">IFERROR(INDEX(Catálogo!I$4:I$1000,MATCH($A$1&amp;"|"&amp;13,Índice!$A$4:$A$1000,0)),"")</f>
        <v/>
      </c>
      <c r="J16" s="6" t="str">
        <f aca="false">IFERROR(INDEX(Catálogo!J$4:J$1000,MATCH($A$1&amp;"|"&amp;13,Índice!$A$4:$A$1000,0)),"")</f>
        <v/>
      </c>
      <c r="K16" s="6" t="str">
        <f aca="false">IFERROR(INDEX(Catálogo!K$4:K$1000,MATCH($A$1&amp;"|"&amp;13,Índice!$A$4:$A$1000,0)),"")</f>
        <v/>
      </c>
      <c r="L16" s="6" t="str">
        <f aca="false">IFERROR(INDEX(Catálogo!L$4:L$1000,MATCH($A$1&amp;"|"&amp;13,Índice!$A$4:$A$1000,0)),"")</f>
        <v/>
      </c>
      <c r="M16" s="7" t="str">
        <f aca="false">IFERROR(INDEX(Catálogo!M$4:M$1000,MATCH($A$1&amp;"|"&amp;13,Índice!$A$4:$A$1000,0)),"")</f>
        <v/>
      </c>
    </row>
    <row r="17" customFormat="false" ht="42" hidden="false" customHeight="true" outlineLevel="0" collapsed="false">
      <c r="A17" s="5" t="str">
        <f aca="false">IFERROR(INDEX(Catálogo!A$4:A$1000,MATCH($A$1&amp;"|"&amp;14,Índice!$A$4:$A$1000,0)),"")</f>
        <v/>
      </c>
      <c r="B17" s="6" t="str">
        <f aca="false">IFERROR(INDEX(Catálogo!B$4:B$1000,MATCH($A$1&amp;"|"&amp;14,Índice!$A$4:$A$1000,0)),"")</f>
        <v/>
      </c>
      <c r="C17" s="6" t="str">
        <f aca="false">IFERROR(INDEX(Catálogo!C$4:C$1000,MATCH($A$1&amp;"|"&amp;14,Índice!$A$4:$A$1000,0)),"")</f>
        <v/>
      </c>
      <c r="D17" s="6" t="str">
        <f aca="false">IFERROR(INDEX(Catálogo!D$4:D$1000,MATCH($A$1&amp;"|"&amp;14,Índice!$A$4:$A$1000,0)),"")</f>
        <v/>
      </c>
      <c r="E17" s="6" t="str">
        <f aca="false">IFERROR(INDEX(Catálogo!E$4:E$1000,MATCH($A$1&amp;"|"&amp;14,Índice!$A$4:$A$1000,0)),"")</f>
        <v/>
      </c>
      <c r="F17" s="5" t="str">
        <f aca="false">IFERROR(INDEX(Catálogo!F$4:F$1000,MATCH($A$1&amp;"|"&amp;14,Índice!$A$4:$A$1000,0)),"")</f>
        <v/>
      </c>
      <c r="G17" s="5" t="str">
        <f aca="false">IFERROR(INDEX(Catálogo!G$4:G$1000,MATCH($A$1&amp;"|"&amp;14,Índice!$A$4:$A$1000,0)),"")</f>
        <v/>
      </c>
      <c r="H17" s="5" t="str">
        <f aca="false">IFERROR(INDEX(Catálogo!H$4:H$1000,MATCH($A$1&amp;"|"&amp;14,Índice!$A$4:$A$1000,0)),"")</f>
        <v/>
      </c>
      <c r="I17" s="6" t="str">
        <f aca="false">IFERROR(INDEX(Catálogo!I$4:I$1000,MATCH($A$1&amp;"|"&amp;14,Índice!$A$4:$A$1000,0)),"")</f>
        <v/>
      </c>
      <c r="J17" s="6" t="str">
        <f aca="false">IFERROR(INDEX(Catálogo!J$4:J$1000,MATCH($A$1&amp;"|"&amp;14,Índice!$A$4:$A$1000,0)),"")</f>
        <v/>
      </c>
      <c r="K17" s="6" t="str">
        <f aca="false">IFERROR(INDEX(Catálogo!K$4:K$1000,MATCH($A$1&amp;"|"&amp;14,Índice!$A$4:$A$1000,0)),"")</f>
        <v/>
      </c>
      <c r="L17" s="6" t="str">
        <f aca="false">IFERROR(INDEX(Catálogo!L$4:L$1000,MATCH($A$1&amp;"|"&amp;14,Índice!$A$4:$A$1000,0)),"")</f>
        <v/>
      </c>
      <c r="M17" s="7" t="str">
        <f aca="false">IFERROR(INDEX(Catálogo!M$4:M$1000,MATCH($A$1&amp;"|"&amp;14,Índice!$A$4:$A$1000,0)),"")</f>
        <v/>
      </c>
    </row>
    <row r="18" customFormat="false" ht="42" hidden="false" customHeight="true" outlineLevel="0" collapsed="false">
      <c r="A18" s="5" t="str">
        <f aca="false">IFERROR(INDEX(Catálogo!A$4:A$1000,MATCH($A$1&amp;"|"&amp;15,Índice!$A$4:$A$1000,0)),"")</f>
        <v/>
      </c>
      <c r="B18" s="6" t="str">
        <f aca="false">IFERROR(INDEX(Catálogo!B$4:B$1000,MATCH($A$1&amp;"|"&amp;15,Índice!$A$4:$A$1000,0)),"")</f>
        <v/>
      </c>
      <c r="C18" s="6" t="str">
        <f aca="false">IFERROR(INDEX(Catálogo!C$4:C$1000,MATCH($A$1&amp;"|"&amp;15,Índice!$A$4:$A$1000,0)),"")</f>
        <v/>
      </c>
      <c r="D18" s="6" t="str">
        <f aca="false">IFERROR(INDEX(Catálogo!D$4:D$1000,MATCH($A$1&amp;"|"&amp;15,Índice!$A$4:$A$1000,0)),"")</f>
        <v/>
      </c>
      <c r="E18" s="6" t="str">
        <f aca="false">IFERROR(INDEX(Catálogo!E$4:E$1000,MATCH($A$1&amp;"|"&amp;15,Índice!$A$4:$A$1000,0)),"")</f>
        <v/>
      </c>
      <c r="F18" s="5" t="str">
        <f aca="false">IFERROR(INDEX(Catálogo!F$4:F$1000,MATCH($A$1&amp;"|"&amp;15,Índice!$A$4:$A$1000,0)),"")</f>
        <v/>
      </c>
      <c r="G18" s="5" t="str">
        <f aca="false">IFERROR(INDEX(Catálogo!G$4:G$1000,MATCH($A$1&amp;"|"&amp;15,Índice!$A$4:$A$1000,0)),"")</f>
        <v/>
      </c>
      <c r="H18" s="5" t="str">
        <f aca="false">IFERROR(INDEX(Catálogo!H$4:H$1000,MATCH($A$1&amp;"|"&amp;15,Índice!$A$4:$A$1000,0)),"")</f>
        <v/>
      </c>
      <c r="I18" s="6" t="str">
        <f aca="false">IFERROR(INDEX(Catálogo!I$4:I$1000,MATCH($A$1&amp;"|"&amp;15,Índice!$A$4:$A$1000,0)),"")</f>
        <v/>
      </c>
      <c r="J18" s="6" t="str">
        <f aca="false">IFERROR(INDEX(Catálogo!J$4:J$1000,MATCH($A$1&amp;"|"&amp;15,Índice!$A$4:$A$1000,0)),"")</f>
        <v/>
      </c>
      <c r="K18" s="6" t="str">
        <f aca="false">IFERROR(INDEX(Catálogo!K$4:K$1000,MATCH($A$1&amp;"|"&amp;15,Índice!$A$4:$A$1000,0)),"")</f>
        <v/>
      </c>
      <c r="L18" s="6" t="str">
        <f aca="false">IFERROR(INDEX(Catálogo!L$4:L$1000,MATCH($A$1&amp;"|"&amp;15,Índice!$A$4:$A$1000,0)),"")</f>
        <v/>
      </c>
      <c r="M18" s="7" t="str">
        <f aca="false">IFERROR(INDEX(Catálogo!M$4:M$1000,MATCH($A$1&amp;"|"&amp;15,Índice!$A$4:$A$1000,0)),"")</f>
        <v/>
      </c>
    </row>
    <row r="19" customFormat="false" ht="42" hidden="false" customHeight="true" outlineLevel="0" collapsed="false">
      <c r="A19" s="5" t="str">
        <f aca="false">IFERROR(INDEX(Catálogo!A$4:A$1000,MATCH($A$1&amp;"|"&amp;16,Índice!$A$4:$A$1000,0)),"")</f>
        <v/>
      </c>
      <c r="B19" s="6" t="str">
        <f aca="false">IFERROR(INDEX(Catálogo!B$4:B$1000,MATCH($A$1&amp;"|"&amp;16,Índice!$A$4:$A$1000,0)),"")</f>
        <v/>
      </c>
      <c r="C19" s="6" t="str">
        <f aca="false">IFERROR(INDEX(Catálogo!C$4:C$1000,MATCH($A$1&amp;"|"&amp;16,Índice!$A$4:$A$1000,0)),"")</f>
        <v/>
      </c>
      <c r="D19" s="6" t="str">
        <f aca="false">IFERROR(INDEX(Catálogo!D$4:D$1000,MATCH($A$1&amp;"|"&amp;16,Índice!$A$4:$A$1000,0)),"")</f>
        <v/>
      </c>
      <c r="E19" s="6" t="str">
        <f aca="false">IFERROR(INDEX(Catálogo!E$4:E$1000,MATCH($A$1&amp;"|"&amp;16,Índice!$A$4:$A$1000,0)),"")</f>
        <v/>
      </c>
      <c r="F19" s="5" t="str">
        <f aca="false">IFERROR(INDEX(Catálogo!F$4:F$1000,MATCH($A$1&amp;"|"&amp;16,Índice!$A$4:$A$1000,0)),"")</f>
        <v/>
      </c>
      <c r="G19" s="5" t="str">
        <f aca="false">IFERROR(INDEX(Catálogo!G$4:G$1000,MATCH($A$1&amp;"|"&amp;16,Índice!$A$4:$A$1000,0)),"")</f>
        <v/>
      </c>
      <c r="H19" s="5" t="str">
        <f aca="false">IFERROR(INDEX(Catálogo!H$4:H$1000,MATCH($A$1&amp;"|"&amp;16,Índice!$A$4:$A$1000,0)),"")</f>
        <v/>
      </c>
      <c r="I19" s="6" t="str">
        <f aca="false">IFERROR(INDEX(Catálogo!I$4:I$1000,MATCH($A$1&amp;"|"&amp;16,Índice!$A$4:$A$1000,0)),"")</f>
        <v/>
      </c>
      <c r="J19" s="6" t="str">
        <f aca="false">IFERROR(INDEX(Catálogo!J$4:J$1000,MATCH($A$1&amp;"|"&amp;16,Índice!$A$4:$A$1000,0)),"")</f>
        <v/>
      </c>
      <c r="K19" s="6" t="str">
        <f aca="false">IFERROR(INDEX(Catálogo!K$4:K$1000,MATCH($A$1&amp;"|"&amp;16,Índice!$A$4:$A$1000,0)),"")</f>
        <v/>
      </c>
      <c r="L19" s="6" t="str">
        <f aca="false">IFERROR(INDEX(Catálogo!L$4:L$1000,MATCH($A$1&amp;"|"&amp;16,Índice!$A$4:$A$1000,0)),"")</f>
        <v/>
      </c>
      <c r="M19" s="7" t="str">
        <f aca="false">IFERROR(INDEX(Catálogo!M$4:M$1000,MATCH($A$1&amp;"|"&amp;16,Índice!$A$4:$A$1000,0)),"")</f>
        <v/>
      </c>
    </row>
    <row r="20" customFormat="false" ht="42" hidden="false" customHeight="true" outlineLevel="0" collapsed="false">
      <c r="A20" s="5" t="str">
        <f aca="false">IFERROR(INDEX(Catálogo!A$4:A$1000,MATCH($A$1&amp;"|"&amp;17,Índice!$A$4:$A$1000,0)),"")</f>
        <v/>
      </c>
      <c r="B20" s="6" t="str">
        <f aca="false">IFERROR(INDEX(Catálogo!B$4:B$1000,MATCH($A$1&amp;"|"&amp;17,Índice!$A$4:$A$1000,0)),"")</f>
        <v/>
      </c>
      <c r="C20" s="6" t="str">
        <f aca="false">IFERROR(INDEX(Catálogo!C$4:C$1000,MATCH($A$1&amp;"|"&amp;17,Índice!$A$4:$A$1000,0)),"")</f>
        <v/>
      </c>
      <c r="D20" s="6" t="str">
        <f aca="false">IFERROR(INDEX(Catálogo!D$4:D$1000,MATCH($A$1&amp;"|"&amp;17,Índice!$A$4:$A$1000,0)),"")</f>
        <v/>
      </c>
      <c r="E20" s="6" t="str">
        <f aca="false">IFERROR(INDEX(Catálogo!E$4:E$1000,MATCH($A$1&amp;"|"&amp;17,Índice!$A$4:$A$1000,0)),"")</f>
        <v/>
      </c>
      <c r="F20" s="5" t="str">
        <f aca="false">IFERROR(INDEX(Catálogo!F$4:F$1000,MATCH($A$1&amp;"|"&amp;17,Índice!$A$4:$A$1000,0)),"")</f>
        <v/>
      </c>
      <c r="G20" s="5" t="str">
        <f aca="false">IFERROR(INDEX(Catálogo!G$4:G$1000,MATCH($A$1&amp;"|"&amp;17,Índice!$A$4:$A$1000,0)),"")</f>
        <v/>
      </c>
      <c r="H20" s="5" t="str">
        <f aca="false">IFERROR(INDEX(Catálogo!H$4:H$1000,MATCH($A$1&amp;"|"&amp;17,Índice!$A$4:$A$1000,0)),"")</f>
        <v/>
      </c>
      <c r="I20" s="6" t="str">
        <f aca="false">IFERROR(INDEX(Catálogo!I$4:I$1000,MATCH($A$1&amp;"|"&amp;17,Índice!$A$4:$A$1000,0)),"")</f>
        <v/>
      </c>
      <c r="J20" s="6" t="str">
        <f aca="false">IFERROR(INDEX(Catálogo!J$4:J$1000,MATCH($A$1&amp;"|"&amp;17,Índice!$A$4:$A$1000,0)),"")</f>
        <v/>
      </c>
      <c r="K20" s="6" t="str">
        <f aca="false">IFERROR(INDEX(Catálogo!K$4:K$1000,MATCH($A$1&amp;"|"&amp;17,Índice!$A$4:$A$1000,0)),"")</f>
        <v/>
      </c>
      <c r="L20" s="6" t="str">
        <f aca="false">IFERROR(INDEX(Catálogo!L$4:L$1000,MATCH($A$1&amp;"|"&amp;17,Índice!$A$4:$A$1000,0)),"")</f>
        <v/>
      </c>
      <c r="M20" s="7" t="str">
        <f aca="false">IFERROR(INDEX(Catálogo!M$4:M$1000,MATCH($A$1&amp;"|"&amp;17,Índice!$A$4:$A$1000,0)),"")</f>
        <v/>
      </c>
    </row>
    <row r="21" customFormat="false" ht="42" hidden="false" customHeight="true" outlineLevel="0" collapsed="false">
      <c r="A21" s="5" t="str">
        <f aca="false">IFERROR(INDEX(Catálogo!A$4:A$1000,MATCH($A$1&amp;"|"&amp;18,Índice!$A$4:$A$1000,0)),"")</f>
        <v/>
      </c>
      <c r="B21" s="6" t="str">
        <f aca="false">IFERROR(INDEX(Catálogo!B$4:B$1000,MATCH($A$1&amp;"|"&amp;18,Índice!$A$4:$A$1000,0)),"")</f>
        <v/>
      </c>
      <c r="C21" s="6" t="str">
        <f aca="false">IFERROR(INDEX(Catálogo!C$4:C$1000,MATCH($A$1&amp;"|"&amp;18,Índice!$A$4:$A$1000,0)),"")</f>
        <v/>
      </c>
      <c r="D21" s="6" t="str">
        <f aca="false">IFERROR(INDEX(Catálogo!D$4:D$1000,MATCH($A$1&amp;"|"&amp;18,Índice!$A$4:$A$1000,0)),"")</f>
        <v/>
      </c>
      <c r="E21" s="6" t="str">
        <f aca="false">IFERROR(INDEX(Catálogo!E$4:E$1000,MATCH($A$1&amp;"|"&amp;18,Índice!$A$4:$A$1000,0)),"")</f>
        <v/>
      </c>
      <c r="F21" s="5" t="str">
        <f aca="false">IFERROR(INDEX(Catálogo!F$4:F$1000,MATCH($A$1&amp;"|"&amp;18,Índice!$A$4:$A$1000,0)),"")</f>
        <v/>
      </c>
      <c r="G21" s="5" t="str">
        <f aca="false">IFERROR(INDEX(Catálogo!G$4:G$1000,MATCH($A$1&amp;"|"&amp;18,Índice!$A$4:$A$1000,0)),"")</f>
        <v/>
      </c>
      <c r="H21" s="5" t="str">
        <f aca="false">IFERROR(INDEX(Catálogo!H$4:H$1000,MATCH($A$1&amp;"|"&amp;18,Índice!$A$4:$A$1000,0)),"")</f>
        <v/>
      </c>
      <c r="I21" s="6" t="str">
        <f aca="false">IFERROR(INDEX(Catálogo!I$4:I$1000,MATCH($A$1&amp;"|"&amp;18,Índice!$A$4:$A$1000,0)),"")</f>
        <v/>
      </c>
      <c r="J21" s="6" t="str">
        <f aca="false">IFERROR(INDEX(Catálogo!J$4:J$1000,MATCH($A$1&amp;"|"&amp;18,Índice!$A$4:$A$1000,0)),"")</f>
        <v/>
      </c>
      <c r="K21" s="6" t="str">
        <f aca="false">IFERROR(INDEX(Catálogo!K$4:K$1000,MATCH($A$1&amp;"|"&amp;18,Índice!$A$4:$A$1000,0)),"")</f>
        <v/>
      </c>
      <c r="L21" s="6" t="str">
        <f aca="false">IFERROR(INDEX(Catálogo!L$4:L$1000,MATCH($A$1&amp;"|"&amp;18,Índice!$A$4:$A$1000,0)),"")</f>
        <v/>
      </c>
      <c r="M21" s="7" t="str">
        <f aca="false">IFERROR(INDEX(Catálogo!M$4:M$1000,MATCH($A$1&amp;"|"&amp;18,Índice!$A$4:$A$1000,0)),"")</f>
        <v/>
      </c>
    </row>
    <row r="22" customFormat="false" ht="42" hidden="false" customHeight="true" outlineLevel="0" collapsed="false">
      <c r="A22" s="5" t="str">
        <f aca="false">IFERROR(INDEX(Catálogo!A$4:A$1000,MATCH($A$1&amp;"|"&amp;19,Índice!$A$4:$A$1000,0)),"")</f>
        <v/>
      </c>
      <c r="B22" s="6" t="str">
        <f aca="false">IFERROR(INDEX(Catálogo!B$4:B$1000,MATCH($A$1&amp;"|"&amp;19,Índice!$A$4:$A$1000,0)),"")</f>
        <v/>
      </c>
      <c r="C22" s="6" t="str">
        <f aca="false">IFERROR(INDEX(Catálogo!C$4:C$1000,MATCH($A$1&amp;"|"&amp;19,Índice!$A$4:$A$1000,0)),"")</f>
        <v/>
      </c>
      <c r="D22" s="6" t="str">
        <f aca="false">IFERROR(INDEX(Catálogo!D$4:D$1000,MATCH($A$1&amp;"|"&amp;19,Índice!$A$4:$A$1000,0)),"")</f>
        <v/>
      </c>
      <c r="E22" s="6" t="str">
        <f aca="false">IFERROR(INDEX(Catálogo!E$4:E$1000,MATCH($A$1&amp;"|"&amp;19,Índice!$A$4:$A$1000,0)),"")</f>
        <v/>
      </c>
      <c r="F22" s="5" t="str">
        <f aca="false">IFERROR(INDEX(Catálogo!F$4:F$1000,MATCH($A$1&amp;"|"&amp;19,Índice!$A$4:$A$1000,0)),"")</f>
        <v/>
      </c>
      <c r="G22" s="5" t="str">
        <f aca="false">IFERROR(INDEX(Catálogo!G$4:G$1000,MATCH($A$1&amp;"|"&amp;19,Índice!$A$4:$A$1000,0)),"")</f>
        <v/>
      </c>
      <c r="H22" s="5" t="str">
        <f aca="false">IFERROR(INDEX(Catálogo!H$4:H$1000,MATCH($A$1&amp;"|"&amp;19,Índice!$A$4:$A$1000,0)),"")</f>
        <v/>
      </c>
      <c r="I22" s="6" t="str">
        <f aca="false">IFERROR(INDEX(Catálogo!I$4:I$1000,MATCH($A$1&amp;"|"&amp;19,Índice!$A$4:$A$1000,0)),"")</f>
        <v/>
      </c>
      <c r="J22" s="6" t="str">
        <f aca="false">IFERROR(INDEX(Catálogo!J$4:J$1000,MATCH($A$1&amp;"|"&amp;19,Índice!$A$4:$A$1000,0)),"")</f>
        <v/>
      </c>
      <c r="K22" s="6" t="str">
        <f aca="false">IFERROR(INDEX(Catálogo!K$4:K$1000,MATCH($A$1&amp;"|"&amp;19,Índice!$A$4:$A$1000,0)),"")</f>
        <v/>
      </c>
      <c r="L22" s="6" t="str">
        <f aca="false">IFERROR(INDEX(Catálogo!L$4:L$1000,MATCH($A$1&amp;"|"&amp;19,Índice!$A$4:$A$1000,0)),"")</f>
        <v/>
      </c>
      <c r="M22" s="7" t="str">
        <f aca="false">IFERROR(INDEX(Catálogo!M$4:M$1000,MATCH($A$1&amp;"|"&amp;19,Índice!$A$4:$A$1000,0)),"")</f>
        <v/>
      </c>
    </row>
    <row r="23" customFormat="false" ht="42" hidden="false" customHeight="true" outlineLevel="0" collapsed="false">
      <c r="A23" s="5" t="str">
        <f aca="false">IFERROR(INDEX(Catálogo!A$4:A$1000,MATCH($A$1&amp;"|"&amp;20,Índice!$A$4:$A$1000,0)),"")</f>
        <v/>
      </c>
      <c r="B23" s="6" t="str">
        <f aca="false">IFERROR(INDEX(Catálogo!B$4:B$1000,MATCH($A$1&amp;"|"&amp;20,Índice!$A$4:$A$1000,0)),"")</f>
        <v/>
      </c>
      <c r="C23" s="6" t="str">
        <f aca="false">IFERROR(INDEX(Catálogo!C$4:C$1000,MATCH($A$1&amp;"|"&amp;20,Índice!$A$4:$A$1000,0)),"")</f>
        <v/>
      </c>
      <c r="D23" s="6" t="str">
        <f aca="false">IFERROR(INDEX(Catálogo!D$4:D$1000,MATCH($A$1&amp;"|"&amp;20,Índice!$A$4:$A$1000,0)),"")</f>
        <v/>
      </c>
      <c r="E23" s="6" t="str">
        <f aca="false">IFERROR(INDEX(Catálogo!E$4:E$1000,MATCH($A$1&amp;"|"&amp;20,Índice!$A$4:$A$1000,0)),"")</f>
        <v/>
      </c>
      <c r="F23" s="5" t="str">
        <f aca="false">IFERROR(INDEX(Catálogo!F$4:F$1000,MATCH($A$1&amp;"|"&amp;20,Índice!$A$4:$A$1000,0)),"")</f>
        <v/>
      </c>
      <c r="G23" s="5" t="str">
        <f aca="false">IFERROR(INDEX(Catálogo!G$4:G$1000,MATCH($A$1&amp;"|"&amp;20,Índice!$A$4:$A$1000,0)),"")</f>
        <v/>
      </c>
      <c r="H23" s="5" t="str">
        <f aca="false">IFERROR(INDEX(Catálogo!H$4:H$1000,MATCH($A$1&amp;"|"&amp;20,Índice!$A$4:$A$1000,0)),"")</f>
        <v/>
      </c>
      <c r="I23" s="6" t="str">
        <f aca="false">IFERROR(INDEX(Catálogo!I$4:I$1000,MATCH($A$1&amp;"|"&amp;20,Índice!$A$4:$A$1000,0)),"")</f>
        <v/>
      </c>
      <c r="J23" s="6" t="str">
        <f aca="false">IFERROR(INDEX(Catálogo!J$4:J$1000,MATCH($A$1&amp;"|"&amp;20,Índice!$A$4:$A$1000,0)),"")</f>
        <v/>
      </c>
      <c r="K23" s="6" t="str">
        <f aca="false">IFERROR(INDEX(Catálogo!K$4:K$1000,MATCH($A$1&amp;"|"&amp;20,Índice!$A$4:$A$1000,0)),"")</f>
        <v/>
      </c>
      <c r="L23" s="6" t="str">
        <f aca="false">IFERROR(INDEX(Catálogo!L$4:L$1000,MATCH($A$1&amp;"|"&amp;20,Índice!$A$4:$A$1000,0)),"")</f>
        <v/>
      </c>
      <c r="M23" s="7" t="str">
        <f aca="false">IFERROR(INDEX(Catálogo!M$4:M$1000,MATCH($A$1&amp;"|"&amp;20,Índice!$A$4:$A$1000,0)),"")</f>
        <v/>
      </c>
    </row>
  </sheetData>
  <autoFilter ref="A3:M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424</v>
      </c>
      <c r="I1" s="17" t="str">
        <f aca="false">COUNTIF(Catálogo!$C$4:$C$1000,$A$1)&amp;IF(COUNTIF(Catálogo!$C$4:$C$1000,$A$1)=1," instrumento nesta área"," instrumentos nesta área")</f>
        <v>10 instrumentos nesta área</v>
      </c>
    </row>
    <row r="2" customFormat="false" ht="15" hidden="false" customHeight="true" outlineLevel="0" collapsed="false">
      <c r="A2" s="18" t="s">
        <v>1488</v>
      </c>
      <c r="I2" s="19" t="str">
        <f aca="false">IF(COUNTIF(Catálogo!$C$4:$C$1000,$A$1)&gt;18,"⚠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60</v>
      </c>
      <c r="B4" s="6" t="str">
        <f aca="false">IFERROR(INDEX(Catálogo!B$4:B$1000,MATCH($A$1&amp;"|"&amp;1,Índice!$A$4:$A$1000,0)),"")</f>
        <v>EMP-F — Perfecionismo (Frost)</v>
      </c>
      <c r="C4" s="6" t="str">
        <f aca="false">IFERROR(INDEX(Catálogo!C$4:C$1000,MATCH($A$1&amp;"|"&amp;1,Índice!$A$4:$A$1000,0)),"")</f>
        <v>Personalidade &amp; Esquemas</v>
      </c>
      <c r="D4" s="6" t="str">
        <f aca="false">IFERROR(INDEX(Catálogo!D$4:D$1000,MATCH($A$1&amp;"|"&amp;1,Índice!$A$4:$A$1000,0)),"")</f>
        <v>Paciente, Jovem avaliado</v>
      </c>
      <c r="E4" s="6" t="str">
        <f aca="false">IFERROR(INDEX(Catálogo!E$4:E$1000,MATCH($A$1&amp;"|"&amp;1,Índice!$A$4:$A$1000,0)),"")</f>
        <v>Adolescentes / Adultos (≥ 12 anos)</v>
      </c>
      <c r="F4" s="5" t="n">
        <f aca="false">IFERROR(INDEX(Catálogo!F$4:F$1000,MATCH($A$1&amp;"|"&amp;1,Índice!$A$4:$A$1000,0)),"")</f>
        <v>12</v>
      </c>
      <c r="G4" s="5" t="n">
        <f aca="false">IFERROR(INDEX(Catálogo!G$4:G$1000,MATCH($A$1&amp;"|"&amp;1,Índice!$A$4:$A$1000,0)),"")</f>
        <v>99</v>
      </c>
      <c r="H4" s="5" t="n">
        <f aca="false">IFERROR(INDEX(Catálogo!H$4:H$1000,MATCH($A$1&amp;"|"&amp;1,Índice!$A$4:$A$1000,0)),"")</f>
        <v>6</v>
      </c>
      <c r="I4" s="6" t="str">
        <f aca="false">IFERROR(INDEX(Catálogo!I$4:I$1000,MATCH($A$1&amp;"|"&amp;1,Índice!$A$4:$A$1000,0)),"")</f>
        <v>Avalia perfecionismo em seis dimensões (Frost et al., 1990) — preocupação com erros, dúvidas sobre ações, expectativas parentais, críticas parentais, padrões pessoais e organização; versão reduzida de 24 itens</v>
      </c>
      <c r="J4" s="6" t="str">
        <f aca="false">IFERROR(INDEX(Catálogo!J$4:J$1000,MATCH($A$1&amp;"|"&amp;1,Índice!$A$4:$A$1000,0)),"")</f>
        <v>CM — Preocupações com Erros; DA — Dúvidas sobre Ações; PE — Expectativas Parentais; PC — Críticas Parentais; PS — Padrões Pessoais; O — Organização</v>
      </c>
      <c r="K4" s="6" t="str">
        <f aca="false">IFERROR(INDEX(Catálogo!K$4:K$1000,MATCH($A$1&amp;"|"&amp;1,Índice!$A$4:$A$1000,0)),"")</f>
        <v>emp_f</v>
      </c>
      <c r="L4" s="6" t="str">
        <f aca="false">IFERROR(INDEX(Catálogo!L$4:L$1000,MATCH($A$1&amp;"|"&amp;1,Índice!$A$4:$A$1000,0)),"")</f>
        <v>q_emp_f</v>
      </c>
      <c r="M4" s="7" t="str">
        <f aca="false">IFERROR(INDEX(Catálogo!M$4:M$1000,MATCH($A$1&amp;"|"&amp;1,Índice!$A$4:$A$1000,0)),"")</f>
        <v>https://correiaricardina-ui.github.io/questionarios/EMP_F_v1.html</v>
      </c>
    </row>
    <row r="5" customFormat="false" ht="42" hidden="false" customHeight="true" outlineLevel="0" collapsed="false">
      <c r="A5" s="5" t="n">
        <f aca="false">IFERROR(INDEX(Catálogo!A$4:A$1000,MATCH($A$1&amp;"|"&amp;2,Índice!$A$4:$A$1000,0)),"")</f>
        <v>61</v>
      </c>
      <c r="B5" s="6" t="str">
        <f aca="false">IFERROR(INDEX(Catálogo!B$4:B$1000,MATCH($A$1&amp;"|"&amp;2,Índice!$A$4:$A$1000,0)),"")</f>
        <v>EMP-H&amp;F — Perfecionismo (Hewitt &amp; Flett)</v>
      </c>
      <c r="C5" s="6" t="str">
        <f aca="false">IFERROR(INDEX(Catálogo!C$4:C$1000,MATCH($A$1&amp;"|"&amp;2,Índice!$A$4:$A$1000,0)),"")</f>
        <v>Personalidade &amp; Esquemas</v>
      </c>
      <c r="D5" s="6" t="str">
        <f aca="false">IFERROR(INDEX(Catálogo!D$4:D$1000,MATCH($A$1&amp;"|"&amp;2,Índice!$A$4:$A$1000,0)),"")</f>
        <v>Paciente, Jovem avaliado</v>
      </c>
      <c r="E5" s="6" t="str">
        <f aca="false">IFERROR(INDEX(Catálogo!E$4:E$1000,MATCH($A$1&amp;"|"&amp;2,Índice!$A$4:$A$1000,0)),"")</f>
        <v>Adolescentes / Adultos (≥ 12 anos)</v>
      </c>
      <c r="F5" s="5" t="n">
        <f aca="false">IFERROR(INDEX(Catálogo!F$4:F$1000,MATCH($A$1&amp;"|"&amp;2,Índice!$A$4:$A$1000,0)),"")</f>
        <v>12</v>
      </c>
      <c r="G5" s="5" t="n">
        <f aca="false">IFERROR(INDEX(Catálogo!G$4:G$1000,MATCH($A$1&amp;"|"&amp;2,Índice!$A$4:$A$1000,0)),"")</f>
        <v>99</v>
      </c>
      <c r="H5" s="5" t="n">
        <f aca="false">IFERROR(INDEX(Catálogo!H$4:H$1000,MATCH($A$1&amp;"|"&amp;2,Índice!$A$4:$A$1000,0)),"")</f>
        <v>4</v>
      </c>
      <c r="I5" s="6" t="str">
        <f aca="false">IFERROR(INDEX(Catálogo!I$4:I$1000,MATCH($A$1&amp;"|"&amp;2,Índice!$A$4:$A$1000,0)),"")</f>
        <v>Avalia perfecionismo em três dimensões — auto-orientado (PAO), socialmente prescrito (PSP) e orientado para os outros (POO); versão reduzida de 32 itens (Hewitt &amp; Flett, 1991)</v>
      </c>
      <c r="J5" s="6" t="str">
        <f aca="false">IFERROR(INDEX(Catálogo!J$4:J$1000,MATCH($A$1&amp;"|"&amp;2,Índice!$A$4:$A$1000,0)),"")</f>
        <v>PAO — Auto-Orientado; PSP — Socialmente Prescrito; POO — Orientado para Outros; Total EMP-H&amp;F</v>
      </c>
      <c r="K5" s="6" t="str">
        <f aca="false">IFERROR(INDEX(Catálogo!K$4:K$1000,MATCH($A$1&amp;"|"&amp;2,Índice!$A$4:$A$1000,0)),"")</f>
        <v>emp_hf</v>
      </c>
      <c r="L5" s="6" t="str">
        <f aca="false">IFERROR(INDEX(Catálogo!L$4:L$1000,MATCH($A$1&amp;"|"&amp;2,Índice!$A$4:$A$1000,0)),"")</f>
        <v>q_emp_hf</v>
      </c>
      <c r="M5" s="7" t="str">
        <f aca="false">IFERROR(INDEX(Catálogo!M$4:M$1000,MATCH($A$1&amp;"|"&amp;2,Índice!$A$4:$A$1000,0)),"")</f>
        <v>https://correiaricardina-ui.github.io/questionarios/EMP_HF_v1.html</v>
      </c>
    </row>
    <row r="6" customFormat="false" ht="42" hidden="false" customHeight="true" outlineLevel="0" collapsed="false">
      <c r="A6" s="5" t="n">
        <f aca="false">IFERROR(INDEX(Catálogo!A$4:A$1000,MATCH($A$1&amp;"|"&amp;3,Índice!$A$4:$A$1000,0)),"")</f>
        <v>87</v>
      </c>
      <c r="B6" s="6" t="str">
        <f aca="false">IFERROR(INDEX(Catálogo!B$4:B$1000,MATCH($A$1&amp;"|"&amp;3,Índice!$A$4:$A$1000,0)),"")</f>
        <v>JTCI — Inventário Júnior de Temperamento e Caráter</v>
      </c>
      <c r="C6" s="6" t="str">
        <f aca="false">IFERROR(INDEX(Catálogo!C$4:C$1000,MATCH($A$1&amp;"|"&amp;3,Índice!$A$4:$A$1000,0)),"")</f>
        <v>Personalidade &amp; Esquemas</v>
      </c>
      <c r="D6" s="6" t="str">
        <f aca="false">IFERROR(INDEX(Catálogo!D$4:D$1000,MATCH($A$1&amp;"|"&amp;3,Índice!$A$4:$A$1000,0)),"")</f>
        <v>Paciente</v>
      </c>
      <c r="E6" s="6" t="str">
        <f aca="false">IFERROR(INDEX(Catálogo!E$4:E$1000,MATCH($A$1&amp;"|"&amp;3,Índice!$A$4:$A$1000,0)),"")</f>
        <v>9–18 anos</v>
      </c>
      <c r="F6" s="5" t="n">
        <f aca="false">IFERROR(INDEX(Catálogo!F$4:F$1000,MATCH($A$1&amp;"|"&amp;3,Índice!$A$4:$A$1000,0)),"")</f>
        <v>9</v>
      </c>
      <c r="G6" s="5" t="n">
        <f aca="false">IFERROR(INDEX(Catálogo!G$4:G$1000,MATCH($A$1&amp;"|"&amp;3,Índice!$A$4:$A$1000,0)),"")</f>
        <v>17.9</v>
      </c>
      <c r="H6" s="5" t="n">
        <f aca="false">IFERROR(INDEX(Catálogo!H$4:H$1000,MATCH($A$1&amp;"|"&amp;3,Índice!$A$4:$A$1000,0)),"")</f>
        <v>6</v>
      </c>
      <c r="I6" s="6" t="str">
        <f aca="false">IFERROR(INDEX(Catálogo!I$4:I$1000,MATCH($A$1&amp;"|"&amp;3,Índice!$A$4:$A$1000,0)),"")</f>
        <v>Avalia temperamento (NS, HA, RD, P) e caráter (SD, CO) — 92 itens, autorrelato (Mondoni 2010 · Moreira et al. 2012)</v>
      </c>
      <c r="J6" s="6" t="str">
        <f aca="false">IFERROR(INDEX(Catálogo!J$4:J$1000,MATCH($A$1&amp;"|"&amp;3,Índice!$A$4:$A$1000,0)),"")</f>
        <v>Procura de Novidade (NS); Evitamento do Dano (HA); Dependência da Recompensa (RD); Persistência (P); Autodirecionamento (SD); Cooperação (CO)</v>
      </c>
      <c r="K6" s="6" t="str">
        <f aca="false">IFERROR(INDEX(Catálogo!K$4:K$1000,MATCH($A$1&amp;"|"&amp;3,Índice!$A$4:$A$1000,0)),"")</f>
        <v>jtci92</v>
      </c>
      <c r="L6" s="6" t="str">
        <f aca="false">IFERROR(INDEX(Catálogo!L$4:L$1000,MATCH($A$1&amp;"|"&amp;3,Índice!$A$4:$A$1000,0)),"")</f>
        <v>q_jtci92</v>
      </c>
      <c r="M6" s="7" t="str">
        <f aca="false">IFERROR(INDEX(Catálogo!M$4:M$1000,MATCH($A$1&amp;"|"&amp;3,Índice!$A$4:$A$1000,0)),"")</f>
        <v>https://correiaricardina-ui.github.io/questionarios/JTCI_92.html</v>
      </c>
    </row>
    <row r="7" customFormat="false" ht="42" hidden="false" customHeight="true" outlineLevel="0" collapsed="false">
      <c r="A7" s="5" t="n">
        <f aca="false">IFERROR(INDEX(Catálogo!A$4:A$1000,MATCH($A$1&amp;"|"&amp;4,Índice!$A$4:$A$1000,0)),"")</f>
        <v>101</v>
      </c>
      <c r="B7" s="6" t="str">
        <f aca="false">IFERROR(INDEX(Catálogo!B$4:B$1000,MATCH($A$1&amp;"|"&amp;4,Índice!$A$4:$A$1000,0)),"")</f>
        <v>NEO PI-R — Inventário de Personalidade NEO Revisto</v>
      </c>
      <c r="C7" s="6" t="str">
        <f aca="false">IFERROR(INDEX(Catálogo!C$4:C$1000,MATCH($A$1&amp;"|"&amp;4,Índice!$A$4:$A$1000,0)),"")</f>
        <v>Personalidade &amp; Esquemas</v>
      </c>
      <c r="D7" s="6" t="str">
        <f aca="false">IFERROR(INDEX(Catálogo!D$4:D$1000,MATCH($A$1&amp;"|"&amp;4,Índice!$A$4:$A$1000,0)),"")</f>
        <v>Paciente</v>
      </c>
      <c r="E7" s="6" t="str">
        <f aca="false">IFERROR(INDEX(Catálogo!E$4:E$1000,MATCH($A$1&amp;"|"&amp;4,Índice!$A$4:$A$1000,0)),"")</f>
        <v>17+ anos</v>
      </c>
      <c r="F7" s="5" t="n">
        <f aca="false">IFERROR(INDEX(Catálogo!F$4:F$1000,MATCH($A$1&amp;"|"&amp;4,Índice!$A$4:$A$1000,0)),"")</f>
        <v>17</v>
      </c>
      <c r="G7" s="5" t="n">
        <f aca="false">IFERROR(INDEX(Catálogo!G$4:G$1000,MATCH($A$1&amp;"|"&amp;4,Índice!$A$4:$A$1000,0)),"")</f>
        <v>99</v>
      </c>
      <c r="H7" s="5" t="n">
        <f aca="false">IFERROR(INDEX(Catálogo!H$4:H$1000,MATCH($A$1&amp;"|"&amp;4,Índice!$A$4:$A$1000,0)),"")</f>
        <v>5</v>
      </c>
      <c r="I7" s="6" t="str">
        <f aca="false">IFERROR(INDEX(Catálogo!I$4:I$1000,MATCH($A$1&amp;"|"&amp;4,Índice!$A$4:$A$1000,0)),"")</f>
        <v>Avaliação dos 5 grandes domínios de personalidade (N, E, O, A, C) e 30 facetas — 240 itens (Costa &amp; McCrae 1992 · Lima &amp; Simões 1997)</v>
      </c>
      <c r="J7" s="6" t="str">
        <f aca="false">IFERROR(INDEX(Catálogo!J$4:J$1000,MATCH($A$1&amp;"|"&amp;4,Índice!$A$4:$A$1000,0)),"")</f>
        <v>Neuroticismo; Extroversão; Abertura à Experiência; Amabilidade; Conscienciosidade</v>
      </c>
      <c r="K7" s="6" t="str">
        <f aca="false">IFERROR(INDEX(Catálogo!K$4:K$1000,MATCH($A$1&amp;"|"&amp;4,Índice!$A$4:$A$1000,0)),"")</f>
        <v>neopir</v>
      </c>
      <c r="L7" s="6" t="str">
        <f aca="false">IFERROR(INDEX(Catálogo!L$4:L$1000,MATCH($A$1&amp;"|"&amp;4,Índice!$A$4:$A$1000,0)),"")</f>
        <v>q_neopir</v>
      </c>
      <c r="M7" s="7" t="str">
        <f aca="false">IFERROR(INDEX(Catálogo!M$4:M$1000,MATCH($A$1&amp;"|"&amp;4,Índice!$A$4:$A$1000,0)),"")</f>
        <v>https://correiaricardina-ui.github.io/questionarios/NEO_PIR_v1.html</v>
      </c>
    </row>
    <row r="8" customFormat="false" ht="42" hidden="false" customHeight="true" outlineLevel="0" collapsed="false">
      <c r="A8" s="5" t="n">
        <f aca="false">IFERROR(INDEX(Catálogo!A$4:A$1000,MATCH($A$1&amp;"|"&amp;5,Índice!$A$4:$A$1000,0)),"")</f>
        <v>104</v>
      </c>
      <c r="B8" s="6" t="str">
        <f aca="false">IFERROR(INDEX(Catálogo!B$4:B$1000,MATCH($A$1&amp;"|"&amp;5,Índice!$A$4:$A$1000,0)),"")</f>
        <v>PAI — Adultos</v>
      </c>
      <c r="C8" s="6" t="str">
        <f aca="false">IFERROR(INDEX(Catálogo!C$4:C$1000,MATCH($A$1&amp;"|"&amp;5,Índice!$A$4:$A$1000,0)),"")</f>
        <v>Personalidade &amp; Esquemas</v>
      </c>
      <c r="D8" s="6" t="str">
        <f aca="false">IFERROR(INDEX(Catálogo!D$4:D$1000,MATCH($A$1&amp;"|"&amp;5,Índice!$A$4:$A$1000,0)),"")</f>
        <v>Paciente</v>
      </c>
      <c r="E8" s="6" t="str">
        <f aca="false">IFERROR(INDEX(Catálogo!E$4:E$1000,MATCH($A$1&amp;"|"&amp;5,Índice!$A$4:$A$1000,0)),"")</f>
        <v>18+ anos</v>
      </c>
      <c r="F8" s="5" t="n">
        <f aca="false">IFERROR(INDEX(Catálogo!F$4:F$1000,MATCH($A$1&amp;"|"&amp;5,Índice!$A$4:$A$1000,0)),"")</f>
        <v>18</v>
      </c>
      <c r="G8" s="5" t="n">
        <f aca="false">IFERROR(INDEX(Catálogo!G$4:G$1000,MATCH($A$1&amp;"|"&amp;5,Índice!$A$4:$A$1000,0)),"")</f>
        <v>99</v>
      </c>
      <c r="H8" s="5" t="n">
        <f aca="false">IFERROR(INDEX(Catálogo!H$4:H$1000,MATCH($A$1&amp;"|"&amp;5,Índice!$A$4:$A$1000,0)),"")</f>
        <v>18</v>
      </c>
      <c r="I8" s="6" t="str">
        <f aca="false">IFERROR(INDEX(Catálogo!I$4:I$1000,MATCH($A$1&amp;"|"&amp;5,Índice!$A$4:$A$1000,0)),"")</f>
        <v>Inventário de Avaliação da Personalidade — Adultos (344 itens, 22 escalas, normas PT Paulino et al. 2024)</v>
      </c>
      <c r="J8" s="6" t="str">
        <f aca="false">IFERROR(INDEX(Catálogo!J$4:J$1000,MATCH($A$1&amp;"|"&amp;5,Índice!$A$4:$A$1000,0)),"")</f>
        <v>Queixas Somáticas (SOM); Ansiedade (ANX); Perturbações Relacionadas com a Ansiedade (ARD); Depressão (DEP); Mania (MAN); Paranoia (PAR); Esquizofrenia (SCZ); Características Borderline (BOR); Características Antissociais (ANT); Problemas com Álcool (ALC); Problemas com Drogas (DRG); Agressão (AGG); Ideação Suicida (SUI); Stress (STR); Falta de Apoio Social (NON); Rejeição do Tratamento (RXR); Dominância (DOM); Afabilidade (WRM)</v>
      </c>
      <c r="K8" s="6" t="str">
        <f aca="false">IFERROR(INDEX(Catálogo!K$4:K$1000,MATCH($A$1&amp;"|"&amp;5,Índice!$A$4:$A$1000,0)),"")</f>
        <v>pai</v>
      </c>
      <c r="L8" s="6" t="str">
        <f aca="false">IFERROR(INDEX(Catálogo!L$4:L$1000,MATCH($A$1&amp;"|"&amp;5,Índice!$A$4:$A$1000,0)),"")</f>
        <v>q_pai_adult</v>
      </c>
      <c r="M8" s="7" t="str">
        <f aca="false">IFERROR(INDEX(Catálogo!M$4:M$1000,MATCH($A$1&amp;"|"&amp;5,Índice!$A$4:$A$1000,0)),"")</f>
        <v>https://correiaricardina-ui.github.io/questionarios/PAI_adult_final.html</v>
      </c>
    </row>
    <row r="9" customFormat="false" ht="42" hidden="false" customHeight="true" outlineLevel="0" collapsed="false">
      <c r="A9" s="5" t="n">
        <f aca="false">IFERROR(INDEX(Catálogo!A$4:A$1000,MATCH($A$1&amp;"|"&amp;6,Índice!$A$4:$A$1000,0)),"")</f>
        <v>105</v>
      </c>
      <c r="B9" s="6" t="str">
        <f aca="false">IFERROR(INDEX(Catálogo!B$4:B$1000,MATCH($A$1&amp;"|"&amp;6,Índice!$A$4:$A$1000,0)),"")</f>
        <v>PAI-A</v>
      </c>
      <c r="C9" s="6" t="str">
        <f aca="false">IFERROR(INDEX(Catálogo!C$4:C$1000,MATCH($A$1&amp;"|"&amp;6,Índice!$A$4:$A$1000,0)),"")</f>
        <v>Personalidade &amp; Esquemas</v>
      </c>
      <c r="D9" s="6" t="str">
        <f aca="false">IFERROR(INDEX(Catálogo!D$4:D$1000,MATCH($A$1&amp;"|"&amp;6,Índice!$A$4:$A$1000,0)),"")</f>
        <v>Paciente</v>
      </c>
      <c r="E9" s="6" t="str">
        <f aca="false">IFERROR(INDEX(Catálogo!E$4:E$1000,MATCH($A$1&amp;"|"&amp;6,Índice!$A$4:$A$1000,0)),"")</f>
        <v>12–18 anos</v>
      </c>
      <c r="F9" s="5" t="n">
        <f aca="false">IFERROR(INDEX(Catálogo!F$4:F$1000,MATCH($A$1&amp;"|"&amp;6,Índice!$A$4:$A$1000,0)),"")</f>
        <v>12</v>
      </c>
      <c r="G9" s="5" t="n">
        <f aca="false">IFERROR(INDEX(Catálogo!G$4:G$1000,MATCH($A$1&amp;"|"&amp;6,Índice!$A$4:$A$1000,0)),"")</f>
        <v>17.9</v>
      </c>
      <c r="H9" s="5" t="n">
        <f aca="false">IFERROR(INDEX(Catálogo!H$4:H$1000,MATCH($A$1&amp;"|"&amp;6,Índice!$A$4:$A$1000,0)),"")</f>
        <v>19</v>
      </c>
      <c r="I9" s="6" t="str">
        <f aca="false">IFERROR(INDEX(Catálogo!I$4:I$1000,MATCH($A$1&amp;"|"&amp;6,Índice!$A$4:$A$1000,0)),"")</f>
        <v>Inventário de Avaliação da Personalidade — Adolescente (316 itens, 19 escalas, Morey 2007)</v>
      </c>
      <c r="J9" s="6" t="str">
        <f aca="false">IFERROR(INDEX(Catálogo!J$4:J$1000,MATCH($A$1&amp;"|"&amp;6,Índice!$A$4:$A$1000,0)),"")</f>
        <v>Inconsistência (validade) (ICN); Infrequência (validade) (INF); Impressão Negativa (validade) (NIM); Impressão Positiva (validade) (PIM); Queixas Somáticas (SOM); Ansiedade (ANS); Depressão (DEP); Mania (MAN); Paranoia (PAR); Esquizofrenia (ESQ); Características Borderline (BPD); Características Antissociais (ANT); Problemas com Álcool (ALC); Problemas com Drogas (DRG); Agressão (AGR); Ideação Suicida (SUI); Stress (STR); Falta de Apoio Social (NON); Rejeição do Tratamento (RXR)</v>
      </c>
      <c r="K9" s="6" t="str">
        <f aca="false">IFERROR(INDEX(Catálogo!K$4:K$1000,MATCH($A$1&amp;"|"&amp;6,Índice!$A$4:$A$1000,0)),"")</f>
        <v>paia</v>
      </c>
      <c r="L9" s="6" t="str">
        <f aca="false">IFERROR(INDEX(Catálogo!L$4:L$1000,MATCH($A$1&amp;"|"&amp;6,Índice!$A$4:$A$1000,0)),"")</f>
        <v>q_pai_a</v>
      </c>
      <c r="M9" s="7" t="str">
        <f aca="false">IFERROR(INDEX(Catálogo!M$4:M$1000,MATCH($A$1&amp;"|"&amp;6,Índice!$A$4:$A$1000,0)),"")</f>
        <v>https://correiaricardina-ui.github.io/questionarios/PAI_A_final.html</v>
      </c>
    </row>
    <row r="10" customFormat="false" ht="42" hidden="false" customHeight="true" outlineLevel="0" collapsed="false">
      <c r="A10" s="5" t="n">
        <f aca="false">IFERROR(INDEX(Catálogo!A$4:A$1000,MATCH($A$1&amp;"|"&amp;7,Índice!$A$4:$A$1000,0)),"")</f>
        <v>122</v>
      </c>
      <c r="B10" s="6" t="str">
        <f aca="false">IFERROR(INDEX(Catálogo!B$4:B$1000,MATCH($A$1&amp;"|"&amp;7,Índice!$A$4:$A$1000,0)),"")</f>
        <v>QEA — Esquemas para Adolescentes</v>
      </c>
      <c r="C10" s="6" t="str">
        <f aca="false">IFERROR(INDEX(Catálogo!C$4:C$1000,MATCH($A$1&amp;"|"&amp;7,Índice!$A$4:$A$1000,0)),"")</f>
        <v>Personalidade &amp; Esquemas</v>
      </c>
      <c r="D10" s="6" t="str">
        <f aca="false">IFERROR(INDEX(Catálogo!D$4:D$1000,MATCH($A$1&amp;"|"&amp;7,Índice!$A$4:$A$1000,0)),"")</f>
        <v>Paciente, Jovem avaliado</v>
      </c>
      <c r="E10" s="6" t="str">
        <f aca="false">IFERROR(INDEX(Catálogo!E$4:E$1000,MATCH($A$1&amp;"|"&amp;7,Índice!$A$4:$A$1000,0)),"")</f>
        <v>10–25 anos</v>
      </c>
      <c r="F10" s="5" t="n">
        <f aca="false">IFERROR(INDEX(Catálogo!F$4:F$1000,MATCH($A$1&amp;"|"&amp;7,Índice!$A$4:$A$1000,0)),"")</f>
        <v>10</v>
      </c>
      <c r="G10" s="5" t="n">
        <f aca="false">IFERROR(INDEX(Catálogo!G$4:G$1000,MATCH($A$1&amp;"|"&amp;7,Índice!$A$4:$A$1000,0)),"")</f>
        <v>24.9</v>
      </c>
      <c r="H10" s="5" t="n">
        <f aca="false">IFERROR(INDEX(Catálogo!H$4:H$1000,MATCH($A$1&amp;"|"&amp;7,Índice!$A$4:$A$1000,0)),"")</f>
        <v>22</v>
      </c>
      <c r="I10" s="6" t="str">
        <f aca="false">IFERROR(INDEX(Catálogo!I$4:I$1000,MATCH($A$1&amp;"|"&amp;7,Índice!$A$4:$A$1000,0)),"")</f>
        <v>Avalia 18 esquemas precoces mal-adaptativos em adolescentes — auto-relato (Santos, Rijo &amp; Pinto-Gouveia, 2009); ponto de corte clínico: média ≥ 3,5</v>
      </c>
      <c r="J10" s="6" t="str">
        <f aca="false">IFERROR(INDEX(Catálogo!J$4:J$1000,MATCH($A$1&amp;"|"&amp;7,Índice!$A$4:$A$1000,0)),"")</f>
        <v>Isolamento Social/Alienação (IS); Emaranhamento (EMA); Padrões Excessivos/Rígidos de Realização (PER); Privação Emocional (PE); Abandono (AB); Auto-Punição (AP); Auto-Sacrifício (AS); Vulnerabilidade ao Mal e à Doença (VUL); Desconfiança/Abuso (DA); Inibição Emocional (IEMOC); Subjugação ao Grupo (SUB); Grandiosidade (GR); Fracasso (FR); Dependência/Incompetência Funcional (DEP); Defeito/Incapacidade de ser Amado (DF); Procura de Aprovação/Reconhecimento (REC); Auto-controlo/Auto-disciplina Insuficientes (AI); Pessimismo (PESS); Menos Valia e Desligamento (domínio 2.ª ordem) (MVD); Ligação Excessiva e Vulnerabilidade Pessoal (domínio 2.ª ordem) (LEV); Auto-engrandecimento (domínio 2.ª ordem) (AE); Média Global</v>
      </c>
      <c r="K10" s="6" t="str">
        <f aca="false">IFERROR(INDEX(Catálogo!K$4:K$1000,MATCH($A$1&amp;"|"&amp;7,Índice!$A$4:$A$1000,0)),"")</f>
        <v>qea</v>
      </c>
      <c r="L10" s="6" t="str">
        <f aca="false">IFERROR(INDEX(Catálogo!L$4:L$1000,MATCH($A$1&amp;"|"&amp;7,Índice!$A$4:$A$1000,0)),"")</f>
        <v>q_qea</v>
      </c>
      <c r="M10" s="7" t="str">
        <f aca="false">IFERROR(INDEX(Catálogo!M$4:M$1000,MATCH($A$1&amp;"|"&amp;7,Índice!$A$4:$A$1000,0)),"")</f>
        <v>https://correiaricardina-ui.github.io/questionarios/QEA_questionario.html</v>
      </c>
    </row>
    <row r="11" customFormat="false" ht="42" hidden="false" customHeight="true" outlineLevel="0" collapsed="false">
      <c r="A11" s="5" t="n">
        <f aca="false">IFERROR(INDEX(Catálogo!A$4:A$1000,MATCH($A$1&amp;"|"&amp;8,Índice!$A$4:$A$1000,0)),"")</f>
        <v>172</v>
      </c>
      <c r="B11" s="6" t="str">
        <f aca="false">IFERROR(INDEX(Catálogo!B$4:B$1000,MATCH($A$1&amp;"|"&amp;8,Índice!$A$4:$A$1000,0)),"")</f>
        <v>CAPS-22 — Escala de Perfecionismo de Crianças e Adolescentes (Autorrelato)</v>
      </c>
      <c r="C11" s="6" t="str">
        <f aca="false">IFERROR(INDEX(Catálogo!C$4:C$1000,MATCH($A$1&amp;"|"&amp;8,Índice!$A$4:$A$1000,0)),"")</f>
        <v>Personalidade &amp; Esquemas</v>
      </c>
      <c r="D11" s="6" t="str">
        <f aca="false">IFERROR(INDEX(Catálogo!D$4:D$1000,MATCH($A$1&amp;"|"&amp;8,Índice!$A$4:$A$1000,0)),"")</f>
        <v>Paciente</v>
      </c>
      <c r="E11" s="6" t="str">
        <f aca="false">IFERROR(INDEX(Catálogo!E$4:E$1000,MATCH($A$1&amp;"|"&amp;8,Índice!$A$4:$A$1000,0)),"")</f>
        <v>6–18 anos</v>
      </c>
      <c r="F11" s="5" t="n">
        <f aca="false">IFERROR(INDEX(Catálogo!F$4:F$1000,MATCH($A$1&amp;"|"&amp;8,Índice!$A$4:$A$1000,0)),"")</f>
        <v>6</v>
      </c>
      <c r="G11" s="5" t="n">
        <f aca="false">IFERROR(INDEX(Catálogo!G$4:G$1000,MATCH($A$1&amp;"|"&amp;8,Índice!$A$4:$A$1000,0)),"")</f>
        <v>18</v>
      </c>
      <c r="H11" s="5" t="n">
        <f aca="false">IFERROR(INDEX(Catálogo!H$4:H$1000,MATCH($A$1&amp;"|"&amp;8,Índice!$A$4:$A$1000,0)),"")</f>
        <v>11</v>
      </c>
      <c r="I11" s="6" t="str">
        <f aca="false">IFERROR(INDEX(Catálogo!I$4:I$1000,MATCH($A$1&amp;"|"&amp;8,Índice!$A$4:$A$1000,0)),"")</f>
        <v>Avalia o perfecionismo auto-orientado e o perfecionismo socialmente prescrito por autorrelato da criança ou adolescente (22 itens, escala 1–5, administração assistida com leitura dos itens em voz alta; 10 a 15 minutos). Flett, Hewitt, Boucher, Davidson &amp; Munro (1997/2001) e Flett et al. (2016) — Via A, distribuição oficial pelos autores (Perfectionism and Psychotherapy Lab, UBC). O articulado utilizado é TRADUÇÃO TÉCNICA DE TRABALHO a partir da versão oficial de 22 itens e NÃO a versão validada de Bento, Pereira, Saraiva &amp; Macedo (2014), cuja amostra abrangeu apenas adolescentes de 14 a 18 anos. NÃO existem pontos de corte clínicos publicados para a CAPS, em nenhuma versão, nem normas portuguesas para idade escolar: as bandas são DESCRITIVAS e derivam de norma comunitária canadiana de 6–12 anos, sem estudo de invariância de medida para a população portuguesa. Norma primária por sexo, norma mista sempre calculada em paralelo. Tolerância de 2 omissões por subescala com prorrateio automático; acima disso o índice é declarado INVÁLIDO. Confirmar sempre a compreensão dos itens invertidos 3, 9 e 18 por reformulação da criança. Advertência desenvolvimental: em idade escolar precoce um SPP baixo ou médio NÃO permite excluir um sistema de expectativas ativo — um SPP elevado é achado forte e interpretável, um SPP não elevado é inconclusivo.</v>
      </c>
      <c r="J11" s="6" t="str">
        <f aca="false">IFERROR(INDEX(Catálogo!J$4:J$1000,MATCH($A$1&amp;"|"&amp;8,Índice!$A$4:$A$1000,0)),"")</f>
        <v>Perfecionismo auto-orientado, SOP (itens 1, 2, 4, 6, 7, 9*, 11, 14, 16, 18*, 20, 22; amplitude 12–60; norma por sexo e norma mista; z, T, percentil e banda descritiva). Perfecionismo socialmente prescrito, SPP (itens 3*, 5, 8, 10, 12, 13, 15, 17, 19, 21; amplitude 10–50; norma por sexo e norma mista). Total (todos os 22 itens; amplitude 22–110; sem norma publicada). SOP prorrateado (10 itens diretos prorrateados a 12; itens invertidos tratados como omissão; índice secundário sem norma própria). SPP prorrateado (9 itens diretos prorrateados a 10). SOP prorrateado excluindo também o item 4 (9 itens; índice exploratório: o item 4 apresenta correlação item-total corrigida inferior a .30). Forma curta SOP-SF (itens 1, 2, 7, 16; amplitude 4–20; tolerância zero; comparável ao SOP-PR na métrica de resposta). Forma curta SPP-SF (itens 5, 8, 13, 15, 21; amplitude 5–25; tolerância zero; comparável ao SPP-PR). Índice R — discriminação entre resposta coerente e resposta literal aos itens invertidos, por proximidade a duas predições concorrentes (Δ observado versus Δ predito sob não processamento da negação; zona de indeterminação quando a média dos itens diretos se situa entre 2,75 e 3,25; estado NÃO APLICÁVEL quando todos os invertidos estão omissos). Verificações determinísticas de validade: resposta uniforme (desvio-padrão intra-protocolo igual a zero), resposta concentrada em extremos (≥ 90% em 1 ou 5) e omissões acima da tolerância. Configuração SOP × SPP (SOP elevado / SPP não elevado; SOP e SPP elevados; SPP elevado / SOP não elevado; nenhuma dimensão elevada), com leitura descritiva associada. Bandas descritivas comuns a todos os índices normalizados: marcadamente abaixo do esperado (z &lt; −1), abaixo do esperado (−1 a −0,5), dentro do esperado (−0,5 a 1), acima do esperado (1 a 1,5), elevado (1,5 a 2), muito elevado (z ≥ 2). * item invertido, cotação 6 − bruto.</v>
      </c>
      <c r="K11" s="6" t="str">
        <f aca="false">IFERROR(INDEX(Catálogo!K$4:K$1000,MATCH($A$1&amp;"|"&amp;8,Índice!$A$4:$A$1000,0)),"")</f>
        <v>caps22</v>
      </c>
      <c r="L11" s="6" t="str">
        <f aca="false">IFERROR(INDEX(Catálogo!L$4:L$1000,MATCH($A$1&amp;"|"&amp;8,Índice!$A$4:$A$1000,0)),"")</f>
        <v>q_caps22</v>
      </c>
      <c r="M11" s="7" t="str">
        <f aca="false">IFERROR(INDEX(Catálogo!M$4:M$1000,MATCH($A$1&amp;"|"&amp;8,Índice!$A$4:$A$1000,0)),"")</f>
        <v>https://correiaricardina-ui.github.io/questionarios/CAPS22_Crianca_v1.html</v>
      </c>
    </row>
    <row r="12" customFormat="false" ht="42" hidden="false" customHeight="true" outlineLevel="0" collapsed="false">
      <c r="A12" s="5" t="n">
        <f aca="false">IFERROR(INDEX(Catálogo!A$4:A$1000,MATCH($A$1&amp;"|"&amp;9,Índice!$A$4:$A$1000,0)),"")</f>
        <v>173</v>
      </c>
      <c r="B12" s="6" t="str">
        <f aca="false">IFERROR(INDEX(Catálogo!B$4:B$1000,MATCH($A$1&amp;"|"&amp;9,Índice!$A$4:$A$1000,0)),"")</f>
        <v>CAPS-PR — Perfecionismo da Criança (Heterorrelato Parental)</v>
      </c>
      <c r="C12" s="6" t="str">
        <f aca="false">IFERROR(INDEX(Catálogo!C$4:C$1000,MATCH($A$1&amp;"|"&amp;9,Índice!$A$4:$A$1000,0)),"")</f>
        <v>Personalidade &amp; Esquemas</v>
      </c>
      <c r="D12" s="6" t="str">
        <f aca="false">IFERROR(INDEX(Catálogo!D$4:D$1000,MATCH($A$1&amp;"|"&amp;9,Índice!$A$4:$A$1000,0)),"")</f>
        <v>Mãe, Pai, Enc. Educação</v>
      </c>
      <c r="E12" s="6" t="str">
        <f aca="false">IFERROR(INDEX(Catálogo!E$4:E$1000,MATCH($A$1&amp;"|"&amp;9,Índice!$A$4:$A$1000,0)),"")</f>
        <v>4–18 anos</v>
      </c>
      <c r="F12" s="5" t="n">
        <f aca="false">IFERROR(INDEX(Catálogo!F$4:F$1000,MATCH($A$1&amp;"|"&amp;9,Índice!$A$4:$A$1000,0)),"")</f>
        <v>4</v>
      </c>
      <c r="G12" s="5" t="n">
        <f aca="false">IFERROR(INDEX(Catálogo!G$4:G$1000,MATCH($A$1&amp;"|"&amp;9,Índice!$A$4:$A$1000,0)),"")</f>
        <v>18</v>
      </c>
      <c r="H12" s="5" t="n">
        <f aca="false">IFERROR(INDEX(Catálogo!H$4:H$1000,MATCH($A$1&amp;"|"&amp;9,Índice!$A$4:$A$1000,0)),"")</f>
        <v>5</v>
      </c>
      <c r="I12" s="6" t="str">
        <f aca="false">IFERROR(INDEX(Catálogo!I$4:I$1000,MATCH($A$1&amp;"|"&amp;9,Índice!$A$4:$A$1000,0)),"")</f>
        <v>Recolhe a descrição parental do perfecionismo da criança (9 itens, escala 1–5, tolerância zero a omissões), com correspondência item a item à CAPS-22 para triangulação na métrica de resposta. Bento Teixeira, Pereira &amp; Macedo (2025), Psychologica, 68, e068004 — Via A, publicação em acesso aberto; articulado em tradução técnica de trabalho, harmonizada com a da CAPS-22. A referência (M/DP) provém de uma subamostra de reteste de conveniência (n = 64, 83% mães, duas escolas privadas de Coimbra) e NÃO CONSTITUI NORMA; as bandas não são equiparáveis às do CAPS-criança. Os valores da tabela principal do artigo foram descartados por inconsistência de desvio-padrão. ESTATUTO DO INDICADOR: o SPP-PR NÃO é indicador do perfecionismo socialmente prescrito da criança — correlaciona-se com o perfecionismo do próprio informante (r = .472 com o seu SOP; r = .376 com o seu SPP) e não com o SPP autorrelatado pela criança (r = .127, n.s.). Apenas o SOP-PR é lido como observação do comportamento da criança. Cada progenitor preenche um protocolo independente, sem consulta mútua: respostas combinadas anulam o valor da comparação entre informantes.</v>
      </c>
      <c r="J12" s="6" t="str">
        <f aca="false">IFERROR(INDEX(Catálogo!J$4:J$1000,MATCH($A$1&amp;"|"&amp;9,Índice!$A$4:$A$1000,0)),"")</f>
        <v>Perfecionismo socialmente prescrito relatado pelo progenitor, SPP-PR (itens 1 a 5; amplitude 5–25; referência provisória M = 13,52, DP = 4,58, n = 64) — indicador do informante e não da criança. Perfecionismo auto-orientado observado pelo progenitor, SOP-PR (itens 6 a 9; amplitude 4–20; referência provisória M = 13,86, DP = 3,31) — único índice do instrumento lido como observação do comportamento da criança. Total (PR) (amplitude 9–45; referência provisória M = 27,38, DP = 6,50; compósito de leitura apenas descritiva). POMP por índice (percentagem da amplitude máxima possível), para comparação entre formas de comprimento diferente. Correspondência item a item com a CAPS-22 — PR1↔13, PR2↔15, PR3↔8, PR4↔21, PR5↔5 (bloco SPP); PR6↔1, PR7↔2, PR8↔7, PR9↔16 (bloco SOP) — permitindo comparar criança e progenitor na métrica de resposta: SOP-PR ÷ 4 versus SOP-SF ÷ 4 e SPP-PR ÷ 5 versus SPP-SF ÷ 5, com Δ inferior a 1 ponto a indicar convergência dentro da mesma categoria de resposta. Bandas descritivas: marcadamente abaixo do esperado, abaixo do esperado, dentro do esperado, acima do esperado, elevado, muito elevado — calculadas sobre referência provisória, nunca sobre norma.</v>
      </c>
      <c r="K12" s="6" t="str">
        <f aca="false">IFERROR(INDEX(Catálogo!K$4:K$1000,MATCH($A$1&amp;"|"&amp;9,Índice!$A$4:$A$1000,0)),"")</f>
        <v>caps_pr</v>
      </c>
      <c r="L12" s="6" t="str">
        <f aca="false">IFERROR(INDEX(Catálogo!L$4:L$1000,MATCH($A$1&amp;"|"&amp;9,Índice!$A$4:$A$1000,0)),"")</f>
        <v>q_caps_pr</v>
      </c>
      <c r="M12" s="7" t="str">
        <f aca="false">IFERROR(INDEX(Catálogo!M$4:M$1000,MATCH($A$1&amp;"|"&amp;9,Índice!$A$4:$A$1000,0)),"")</f>
        <v>https://correiaricardina-ui.github.io/questionarios/CAPS_PR_Pais_v1.html</v>
      </c>
    </row>
    <row r="13" customFormat="false" ht="42" hidden="false" customHeight="true" outlineLevel="0" collapsed="false">
      <c r="A13" s="5" t="n">
        <f aca="false">IFERROR(INDEX(Catálogo!A$4:A$1000,MATCH($A$1&amp;"|"&amp;10,Índice!$A$4:$A$1000,0)),"")</f>
        <v>195</v>
      </c>
      <c r="B13" s="6" t="str">
        <f aca="false">IFERROR(INDEX(Catálogo!B$4:B$1000,MATCH($A$1&amp;"|"&amp;10,Índice!$A$4:$A$1000,0)),"")</f>
        <v>GRET-RC — Grelha de Resposta ao Erro e à Tarefa</v>
      </c>
      <c r="C13" s="6" t="str">
        <f aca="false">IFERROR(INDEX(Catálogo!C$4:C$1000,MATCH($A$1&amp;"|"&amp;10,Índice!$A$4:$A$1000,0)),"")</f>
        <v>Personalidade &amp; Esquemas</v>
      </c>
      <c r="D13" s="6" t="str">
        <f aca="false">IFERROR(INDEX(Catálogo!D$4:D$1000,MATCH($A$1&amp;"|"&amp;10,Índice!$A$4:$A$1000,0)),"")</f>
        <v>Aplicador clínico</v>
      </c>
      <c r="E13" s="6" t="str">
        <f aca="false">IFERROR(INDEX(Catálogo!E$4:E$1000,MATCH($A$1&amp;"|"&amp;10,Índice!$A$4:$A$1000,0)),"")</f>
        <v>4–18 anos</v>
      </c>
      <c r="F13" s="5" t="n">
        <f aca="false">IFERROR(INDEX(Catálogo!F$4:F$1000,MATCH($A$1&amp;"|"&amp;10,Índice!$A$4:$A$1000,0)),"")</f>
        <v>4</v>
      </c>
      <c r="G13" s="5" t="n">
        <f aca="false">IFERROR(INDEX(Catálogo!G$4:G$1000,MATCH($A$1&amp;"|"&amp;10,Índice!$A$4:$A$1000,0)),"")</f>
        <v>18</v>
      </c>
      <c r="H13" s="5" t="n">
        <f aca="false">IFERROR(INDEX(Catálogo!H$4:H$1000,MATCH($A$1&amp;"|"&amp;10,Índice!$A$4:$A$1000,0)),"")</f>
        <v>14</v>
      </c>
      <c r="I13" s="6" t="str">
        <f aca="false">IFERROR(INDEX(Catálogo!I$4:I$1000,MATCH($A$1&amp;"|"&amp;10,Índice!$A$4:$A$1000,0)),"")</f>
        <v>Documenta, por OBSERVAÇÃO ESTRUTURADA do clínico que aplicou a tarefa, o que a criança ou o jovem faz quando a tarefa se torna exigente e quando o erro ocorre. Instrumento CRITERIAL de autoria própria (construção de raiz, Via C), aplicável em qualquer situação estruturada com dificuldade graduada e falha provável — provas cognitivas ou neuropsicológicas, provas de aprendizagem, ou tarefa construída em sessão. Não é específico de instrumento. 30 indicadores organizados em seis dimensões comportamentais, cada um codificado em TRÊS MOMENTOS (início, meio e fim da sessão) numa escala de quatro pontos — 0 não observado · 1 ocorrência isolada · 2 ocorrência repetida · 3 ocorrência pervasiva — mais o código NO (sem oportunidade), que NÃO é equivalente a 0 e constitui a peça central do instrumento: se não houve falha, a dimensão B não pontua zero, fica inobservada; sem esta distinção, uma sessão em que a criança acertou tudo produziria um perfil falsamente tranquilizador. O construto de referência é a resposta autoavaliativa ao fracasso e o padrão de resposta perante a dificuldade (orientação para o domínio da tarefa versus desistência antecipada); as dimensões correspondem, em comportamento observável, às áreas que os instrumentos de autorrelato de perfecionismo cobrem por via verbal — preocupação com o erro, dúvida sobre a ação e padrões pessoais —, pelo que a GRET-RC se articula diretamente com a CAPS-22 e a CAPS-PR e permite documentar divergências entre o que é referido e o que é feito. Abaixo dos 8–9 anos, idade a partir da qual o autorrelato de perfecionismo é viável por exigir metacognição sobre padrões pessoais, a via observacional não é solução de recurso: é o método adequado ao construto. ⚠ NÃO é instrumento normativo — sem amostra de aferição, sem normas por idade e SEM PONTUAÇÃO TOTAL: a soma das dimensões implicaria um significado normativo que o instrumento não possui. ⚠ Requer que a situação de observação tenha comportado dificuldade efetiva: sem exigência não há dado. ⚠ Preenchimento pelo clínico durante a sessão ou imediatamente após, nunca por terceiros nem a partir de relato. ⚠ Dimensões com índice de oportunidade inferior a 60% NÃO são reportadas — registam-se como não avaliadas, e a ausência de dado não equivale a ausência de comportamento. ⚠ A secção de FALHA INDUZIDA é opcional e as suas salvaguardas são condição de aplicação, não recomendação: nunca na primeira sessão nem na abertura de uma sessão, não aplicar perante sofrimento marcado, comportamento autolesivo ativo ou desregulação já instalada, duração máxima definida à partida, debriefing obrigatório e imediato, tarefa com sucesso assegurado antes do final e registo obrigatório da indução, do momento e da reação ao debriefing. ⚠ Todas as saídas automáticas são DESCRITIVAS; a interpretação clínica é da exclusiva responsabilidade do psicólogo. ⚠ ESTADO DE INTEGRAÇÃO: aplicação atual em papel (documento Word) com cotação e interpretação em livro Excel dedicado de seis folhas; a versão HTML, a entrada no painel RC e o separador do Apps Script estão POR CONSTRUIR — o syncKey, o ID interno e o link ficam reservados por convenção e a ligação só fica ativa após publicação.</v>
      </c>
      <c r="J13" s="6" t="str">
        <f aca="false">IFERROR(INDEX(Catálogo!J$4:J$1000,MATCH($A$1&amp;"|"&amp;10,Índice!$A$4:$A$1000,0)),"")</f>
        <v>A — Padrão autoimposto (5 indicadores, 15 células de observação): exigência de resultado que a criança impõe a si própria, acima do pedido pela tarefa — refazer elemento já correto, procura de precisão além do exigido, rejeição de solução suficiente, verbalização de padrão de resultado, adiamento da entrega | B — Reação ao erro (4 indicadores de expressão + 1 adaptativo, 12 células): resposta imediata à falha, própria ou assinalada pelo adulto — latência de retoma e interrupção do fluxo, verbalização autoavaliativa negativa, alteração postural, facial ou do contacto ocular, reação desproporcionada ao erro assinalado | C — Antecipação e evitamento (4 + 1, 12 células): comportamento anterior à execução e face à exigência anunciada — verbalização de dificuldade antes de iniciar, latência de início, pedido de saltar, mudar ou terminar, recusa ou abandono antes de tentativa efetiva | D — Procura de validação (5 indicadores, 15 células): dependência do adulto como referência de correção durante a execução — olhar dirigido, pergunta explícita de confirmação, interrupção à espera de resposta, reasseguramento mesmo após desempenho correto, ajuste da resposta pela expressão do adulto e não pela tarefa | E — Sustentação sob carga (3 + 2, 9 células): comportamento perante falhas sucessivas e aumento de dificuldade — repetição da mesma estratégia sem ajuste, escalada de tensão nos itens junto ao limiar da regra de paragem, degradação da qualidade de execução ao longo da sessão | F — Regulação durante a tarefa (5 indicadores, 15 células): tensão motora ou manifestação somática, comportamento autodirigido, alteração do tom ou do volume de voz, necessidade de pausa expressa ou inferida, recuperação prolongada após episódio de desregulação | Itens de resposta adaptativa (+) — B4 deteção autónoma do erro, C5 execução apesar da antecipação negativa, E1 persistência após falhas sucessivas, E2 mudança de estratégia; índice, média e grau próprios; leem-se como qualificadores do perfil e NÃO entram no grau de expressão das dimensões | Índice de oportunidade por dimensão — células codificadas 0–3 sobre itens não (+) × 3 momentos; abaixo de 60% a dimensão é registada como não avaliada, protegendo contra leituras assentes em observação insuficiente | Grau de expressão por dimensão — média dos itens não (+) codificáveis, arredondada a uma casa decimal: Não expresso (0–0,4) · Ligeiro (0,5–1,2) · Moderado (1,3–2,1) · Marcado (2,2–3,0); sem pontuação total, por construção | Evolução entre momentos — Δ entre a média do Fim e a do Início, calculado apenas com pelo menos duas células codificadas em cada momento: Agravamento sob carga (Δ ≥ +0,5) · Estável · Atenuação ao longo da sessão (Δ ≤ −0,5); distingue dificuldade estável de degradação progressiva sob carga acumulada e fadiga | Leitura cruzada resposta adaptativa × expressão — perfil com expressão elevada E itens (+) igualmente elevados descreve quem sustenta a tarefa com custo, leitura clinicamente distinta do perfil elevado sem qualquer resposta adaptativa; assenta em contagem descritiva de dimensões, nunca em soma ou média entre dimensões | Sinalizadores de item — F2 comportamento autodirigido (sinalizado a qualquer ocorrência), C4 recusa ou abandono antes de tentativa efetiva, B2 verbalização autoavaliativa negativa, E5 degradação da execução; reportados ao nível do item por relevância clínica que a média da dimensão dilui | Painel de completude — células codificadas, assinaladas NO e por preencher; célula vazia NÃO é NO, e havendo células por preencher os índices de oportunidade são declarados provisórios | Registo verbatim — até seis verbalizações autoavaliativas registadas literalmente, com o antecedente imediato e o momento da sessão; dado primário e não ilustração, porque a formulação exata (atribuição global e estável versus específica e situacional) tem valor clínico próprio e não é recuperável por paráfrase</v>
      </c>
      <c r="K13" s="6" t="str">
        <f aca="false">IFERROR(INDEX(Catálogo!K$4:K$1000,MATCH($A$1&amp;"|"&amp;10,Índice!$A$4:$A$1000,0)),"")</f>
        <v>gret_rc</v>
      </c>
      <c r="L13" s="6" t="str">
        <f aca="false">IFERROR(INDEX(Catálogo!L$4:L$1000,MATCH($A$1&amp;"|"&amp;10,Índice!$A$4:$A$1000,0)),"")</f>
        <v>q_gret_rc</v>
      </c>
      <c r="M13" s="7" t="str">
        <f aca="false">IFERROR(INDEX(Catálogo!M$4:M$1000,MATCH($A$1&amp;"|"&amp;10,Índice!$A$4:$A$1000,0)),"")</f>
        <v>https://correiaricardina-ui.github.io/questionarios/GRET_RC_v1.html</v>
      </c>
    </row>
    <row r="14" customFormat="false" ht="42" hidden="false" customHeight="true" outlineLevel="0" collapsed="false">
      <c r="A14" s="5" t="str">
        <f aca="false">IFERROR(INDEX(Catálogo!A$4:A$1000,MATCH($A$1&amp;"|"&amp;11,Índice!$A$4:$A$1000,0)),"")</f>
        <v/>
      </c>
      <c r="B14" s="6" t="str">
        <f aca="false">IFERROR(INDEX(Catálogo!B$4:B$1000,MATCH($A$1&amp;"|"&amp;11,Índice!$A$4:$A$1000,0)),"")</f>
        <v/>
      </c>
      <c r="C14" s="6" t="str">
        <f aca="false">IFERROR(INDEX(Catálogo!C$4:C$1000,MATCH($A$1&amp;"|"&amp;11,Índice!$A$4:$A$1000,0)),"")</f>
        <v/>
      </c>
      <c r="D14" s="6" t="str">
        <f aca="false">IFERROR(INDEX(Catálogo!D$4:D$1000,MATCH($A$1&amp;"|"&amp;11,Índice!$A$4:$A$1000,0)),"")</f>
        <v/>
      </c>
      <c r="E14" s="6" t="str">
        <f aca="false">IFERROR(INDEX(Catálogo!E$4:E$1000,MATCH($A$1&amp;"|"&amp;11,Índice!$A$4:$A$1000,0)),"")</f>
        <v/>
      </c>
      <c r="F14" s="5" t="str">
        <f aca="false">IFERROR(INDEX(Catálogo!F$4:F$1000,MATCH($A$1&amp;"|"&amp;11,Índice!$A$4:$A$1000,0)),"")</f>
        <v/>
      </c>
      <c r="G14" s="5" t="str">
        <f aca="false">IFERROR(INDEX(Catálogo!G$4:G$1000,MATCH($A$1&amp;"|"&amp;11,Índice!$A$4:$A$1000,0)),"")</f>
        <v/>
      </c>
      <c r="H14" s="5" t="str">
        <f aca="false">IFERROR(INDEX(Catálogo!H$4:H$1000,MATCH($A$1&amp;"|"&amp;11,Índice!$A$4:$A$1000,0)),"")</f>
        <v/>
      </c>
      <c r="I14" s="6" t="str">
        <f aca="false">IFERROR(INDEX(Catálogo!I$4:I$1000,MATCH($A$1&amp;"|"&amp;11,Índice!$A$4:$A$1000,0)),"")</f>
        <v/>
      </c>
      <c r="J14" s="6" t="str">
        <f aca="false">IFERROR(INDEX(Catálogo!J$4:J$1000,MATCH($A$1&amp;"|"&amp;11,Índice!$A$4:$A$1000,0)),"")</f>
        <v/>
      </c>
      <c r="K14" s="6" t="str">
        <f aca="false">IFERROR(INDEX(Catálogo!K$4:K$1000,MATCH($A$1&amp;"|"&amp;11,Índice!$A$4:$A$1000,0)),"")</f>
        <v/>
      </c>
      <c r="L14" s="6" t="str">
        <f aca="false">IFERROR(INDEX(Catálogo!L$4:L$1000,MATCH($A$1&amp;"|"&amp;11,Índice!$A$4:$A$1000,0)),"")</f>
        <v/>
      </c>
      <c r="M14" s="7" t="str">
        <f aca="false">IFERROR(INDEX(Catálogo!M$4:M$1000,MATCH($A$1&amp;"|"&amp;11,Índice!$A$4:$A$1000,0)),"")</f>
        <v/>
      </c>
    </row>
    <row r="15" customFormat="false" ht="42" hidden="false" customHeight="true" outlineLevel="0" collapsed="false">
      <c r="A15" s="5" t="str">
        <f aca="false">IFERROR(INDEX(Catálogo!A$4:A$1000,MATCH($A$1&amp;"|"&amp;12,Índice!$A$4:$A$1000,0)),"")</f>
        <v/>
      </c>
      <c r="B15" s="6" t="str">
        <f aca="false">IFERROR(INDEX(Catálogo!B$4:B$1000,MATCH($A$1&amp;"|"&amp;12,Índice!$A$4:$A$1000,0)),"")</f>
        <v/>
      </c>
      <c r="C15" s="6" t="str">
        <f aca="false">IFERROR(INDEX(Catálogo!C$4:C$1000,MATCH($A$1&amp;"|"&amp;12,Índice!$A$4:$A$1000,0)),"")</f>
        <v/>
      </c>
      <c r="D15" s="6" t="str">
        <f aca="false">IFERROR(INDEX(Catálogo!D$4:D$1000,MATCH($A$1&amp;"|"&amp;12,Índice!$A$4:$A$1000,0)),"")</f>
        <v/>
      </c>
      <c r="E15" s="6" t="str">
        <f aca="false">IFERROR(INDEX(Catálogo!E$4:E$1000,MATCH($A$1&amp;"|"&amp;12,Índice!$A$4:$A$1000,0)),"")</f>
        <v/>
      </c>
      <c r="F15" s="5" t="str">
        <f aca="false">IFERROR(INDEX(Catálogo!F$4:F$1000,MATCH($A$1&amp;"|"&amp;12,Índice!$A$4:$A$1000,0)),"")</f>
        <v/>
      </c>
      <c r="G15" s="5" t="str">
        <f aca="false">IFERROR(INDEX(Catálogo!G$4:G$1000,MATCH($A$1&amp;"|"&amp;12,Índice!$A$4:$A$1000,0)),"")</f>
        <v/>
      </c>
      <c r="H15" s="5" t="str">
        <f aca="false">IFERROR(INDEX(Catálogo!H$4:H$1000,MATCH($A$1&amp;"|"&amp;12,Índice!$A$4:$A$1000,0)),"")</f>
        <v/>
      </c>
      <c r="I15" s="6" t="str">
        <f aca="false">IFERROR(INDEX(Catálogo!I$4:I$1000,MATCH($A$1&amp;"|"&amp;12,Índice!$A$4:$A$1000,0)),"")</f>
        <v/>
      </c>
      <c r="J15" s="6" t="str">
        <f aca="false">IFERROR(INDEX(Catálogo!J$4:J$1000,MATCH($A$1&amp;"|"&amp;12,Índice!$A$4:$A$1000,0)),"")</f>
        <v/>
      </c>
      <c r="K15" s="6" t="str">
        <f aca="false">IFERROR(INDEX(Catálogo!K$4:K$1000,MATCH($A$1&amp;"|"&amp;12,Índice!$A$4:$A$1000,0)),"")</f>
        <v/>
      </c>
      <c r="L15" s="6" t="str">
        <f aca="false">IFERROR(INDEX(Catálogo!L$4:L$1000,MATCH($A$1&amp;"|"&amp;12,Índice!$A$4:$A$1000,0)),"")</f>
        <v/>
      </c>
      <c r="M15" s="7" t="str">
        <f aca="false">IFERROR(INDEX(Catálogo!M$4:M$1000,MATCH($A$1&amp;"|"&amp;12,Índice!$A$4:$A$1000,0)),"")</f>
        <v/>
      </c>
    </row>
    <row r="16" customFormat="false" ht="42" hidden="false" customHeight="true" outlineLevel="0" collapsed="false">
      <c r="A16" s="5" t="str">
        <f aca="false">IFERROR(INDEX(Catálogo!A$4:A$1000,MATCH($A$1&amp;"|"&amp;13,Índice!$A$4:$A$1000,0)),"")</f>
        <v/>
      </c>
      <c r="B16" s="6" t="str">
        <f aca="false">IFERROR(INDEX(Catálogo!B$4:B$1000,MATCH($A$1&amp;"|"&amp;13,Índice!$A$4:$A$1000,0)),"")</f>
        <v/>
      </c>
      <c r="C16" s="6" t="str">
        <f aca="false">IFERROR(INDEX(Catálogo!C$4:C$1000,MATCH($A$1&amp;"|"&amp;13,Índice!$A$4:$A$1000,0)),"")</f>
        <v/>
      </c>
      <c r="D16" s="6" t="str">
        <f aca="false">IFERROR(INDEX(Catálogo!D$4:D$1000,MATCH($A$1&amp;"|"&amp;13,Índice!$A$4:$A$1000,0)),"")</f>
        <v/>
      </c>
      <c r="E16" s="6" t="str">
        <f aca="false">IFERROR(INDEX(Catálogo!E$4:E$1000,MATCH($A$1&amp;"|"&amp;13,Índice!$A$4:$A$1000,0)),"")</f>
        <v/>
      </c>
      <c r="F16" s="5" t="str">
        <f aca="false">IFERROR(INDEX(Catálogo!F$4:F$1000,MATCH($A$1&amp;"|"&amp;13,Índice!$A$4:$A$1000,0)),"")</f>
        <v/>
      </c>
      <c r="G16" s="5" t="str">
        <f aca="false">IFERROR(INDEX(Catálogo!G$4:G$1000,MATCH($A$1&amp;"|"&amp;13,Índice!$A$4:$A$1000,0)),"")</f>
        <v/>
      </c>
      <c r="H16" s="5" t="str">
        <f aca="false">IFERROR(INDEX(Catálogo!H$4:H$1000,MATCH($A$1&amp;"|"&amp;13,Índice!$A$4:$A$1000,0)),"")</f>
        <v/>
      </c>
      <c r="I16" s="6" t="str">
        <f aca="false">IFERROR(INDEX(Catálogo!I$4:I$1000,MATCH($A$1&amp;"|"&amp;13,Índice!$A$4:$A$1000,0)),"")</f>
        <v/>
      </c>
      <c r="J16" s="6" t="str">
        <f aca="false">IFERROR(INDEX(Catálogo!J$4:J$1000,MATCH($A$1&amp;"|"&amp;13,Índice!$A$4:$A$1000,0)),"")</f>
        <v/>
      </c>
      <c r="K16" s="6" t="str">
        <f aca="false">IFERROR(INDEX(Catálogo!K$4:K$1000,MATCH($A$1&amp;"|"&amp;13,Índice!$A$4:$A$1000,0)),"")</f>
        <v/>
      </c>
      <c r="L16" s="6" t="str">
        <f aca="false">IFERROR(INDEX(Catálogo!L$4:L$1000,MATCH($A$1&amp;"|"&amp;13,Índice!$A$4:$A$1000,0)),"")</f>
        <v/>
      </c>
      <c r="M16" s="7" t="str">
        <f aca="false">IFERROR(INDEX(Catálogo!M$4:M$1000,MATCH($A$1&amp;"|"&amp;13,Índice!$A$4:$A$1000,0)),"")</f>
        <v/>
      </c>
    </row>
    <row r="17" customFormat="false" ht="42" hidden="false" customHeight="true" outlineLevel="0" collapsed="false">
      <c r="A17" s="5" t="str">
        <f aca="false">IFERROR(INDEX(Catálogo!A$4:A$1000,MATCH($A$1&amp;"|"&amp;14,Índice!$A$4:$A$1000,0)),"")</f>
        <v/>
      </c>
      <c r="B17" s="6" t="str">
        <f aca="false">IFERROR(INDEX(Catálogo!B$4:B$1000,MATCH($A$1&amp;"|"&amp;14,Índice!$A$4:$A$1000,0)),"")</f>
        <v/>
      </c>
      <c r="C17" s="6" t="str">
        <f aca="false">IFERROR(INDEX(Catálogo!C$4:C$1000,MATCH($A$1&amp;"|"&amp;14,Índice!$A$4:$A$1000,0)),"")</f>
        <v/>
      </c>
      <c r="D17" s="6" t="str">
        <f aca="false">IFERROR(INDEX(Catálogo!D$4:D$1000,MATCH($A$1&amp;"|"&amp;14,Índice!$A$4:$A$1000,0)),"")</f>
        <v/>
      </c>
      <c r="E17" s="6" t="str">
        <f aca="false">IFERROR(INDEX(Catálogo!E$4:E$1000,MATCH($A$1&amp;"|"&amp;14,Índice!$A$4:$A$1000,0)),"")</f>
        <v/>
      </c>
      <c r="F17" s="5" t="str">
        <f aca="false">IFERROR(INDEX(Catálogo!F$4:F$1000,MATCH($A$1&amp;"|"&amp;14,Índice!$A$4:$A$1000,0)),"")</f>
        <v/>
      </c>
      <c r="G17" s="5" t="str">
        <f aca="false">IFERROR(INDEX(Catálogo!G$4:G$1000,MATCH($A$1&amp;"|"&amp;14,Índice!$A$4:$A$1000,0)),"")</f>
        <v/>
      </c>
      <c r="H17" s="5" t="str">
        <f aca="false">IFERROR(INDEX(Catálogo!H$4:H$1000,MATCH($A$1&amp;"|"&amp;14,Índice!$A$4:$A$1000,0)),"")</f>
        <v/>
      </c>
      <c r="I17" s="6" t="str">
        <f aca="false">IFERROR(INDEX(Catálogo!I$4:I$1000,MATCH($A$1&amp;"|"&amp;14,Índice!$A$4:$A$1000,0)),"")</f>
        <v/>
      </c>
      <c r="J17" s="6" t="str">
        <f aca="false">IFERROR(INDEX(Catálogo!J$4:J$1000,MATCH($A$1&amp;"|"&amp;14,Índice!$A$4:$A$1000,0)),"")</f>
        <v/>
      </c>
      <c r="K17" s="6" t="str">
        <f aca="false">IFERROR(INDEX(Catálogo!K$4:K$1000,MATCH($A$1&amp;"|"&amp;14,Índice!$A$4:$A$1000,0)),"")</f>
        <v/>
      </c>
      <c r="L17" s="6" t="str">
        <f aca="false">IFERROR(INDEX(Catálogo!L$4:L$1000,MATCH($A$1&amp;"|"&amp;14,Índice!$A$4:$A$1000,0)),"")</f>
        <v/>
      </c>
      <c r="M17" s="7" t="str">
        <f aca="false">IFERROR(INDEX(Catálogo!M$4:M$1000,MATCH($A$1&amp;"|"&amp;14,Índice!$A$4:$A$1000,0)),"")</f>
        <v/>
      </c>
    </row>
    <row r="18" customFormat="false" ht="42" hidden="false" customHeight="true" outlineLevel="0" collapsed="false">
      <c r="A18" s="5" t="str">
        <f aca="false">IFERROR(INDEX(Catálogo!A$4:A$1000,MATCH($A$1&amp;"|"&amp;15,Índice!$A$4:$A$1000,0)),"")</f>
        <v/>
      </c>
      <c r="B18" s="6" t="str">
        <f aca="false">IFERROR(INDEX(Catálogo!B$4:B$1000,MATCH($A$1&amp;"|"&amp;15,Índice!$A$4:$A$1000,0)),"")</f>
        <v/>
      </c>
      <c r="C18" s="6" t="str">
        <f aca="false">IFERROR(INDEX(Catálogo!C$4:C$1000,MATCH($A$1&amp;"|"&amp;15,Índice!$A$4:$A$1000,0)),"")</f>
        <v/>
      </c>
      <c r="D18" s="6" t="str">
        <f aca="false">IFERROR(INDEX(Catálogo!D$4:D$1000,MATCH($A$1&amp;"|"&amp;15,Índice!$A$4:$A$1000,0)),"")</f>
        <v/>
      </c>
      <c r="E18" s="6" t="str">
        <f aca="false">IFERROR(INDEX(Catálogo!E$4:E$1000,MATCH($A$1&amp;"|"&amp;15,Índice!$A$4:$A$1000,0)),"")</f>
        <v/>
      </c>
      <c r="F18" s="5" t="str">
        <f aca="false">IFERROR(INDEX(Catálogo!F$4:F$1000,MATCH($A$1&amp;"|"&amp;15,Índice!$A$4:$A$1000,0)),"")</f>
        <v/>
      </c>
      <c r="G18" s="5" t="str">
        <f aca="false">IFERROR(INDEX(Catálogo!G$4:G$1000,MATCH($A$1&amp;"|"&amp;15,Índice!$A$4:$A$1000,0)),"")</f>
        <v/>
      </c>
      <c r="H18" s="5" t="str">
        <f aca="false">IFERROR(INDEX(Catálogo!H$4:H$1000,MATCH($A$1&amp;"|"&amp;15,Índice!$A$4:$A$1000,0)),"")</f>
        <v/>
      </c>
      <c r="I18" s="6" t="str">
        <f aca="false">IFERROR(INDEX(Catálogo!I$4:I$1000,MATCH($A$1&amp;"|"&amp;15,Índice!$A$4:$A$1000,0)),"")</f>
        <v/>
      </c>
      <c r="J18" s="6" t="str">
        <f aca="false">IFERROR(INDEX(Catálogo!J$4:J$1000,MATCH($A$1&amp;"|"&amp;15,Índice!$A$4:$A$1000,0)),"")</f>
        <v/>
      </c>
      <c r="K18" s="6" t="str">
        <f aca="false">IFERROR(INDEX(Catálogo!K$4:K$1000,MATCH($A$1&amp;"|"&amp;15,Índice!$A$4:$A$1000,0)),"")</f>
        <v/>
      </c>
      <c r="L18" s="6" t="str">
        <f aca="false">IFERROR(INDEX(Catálogo!L$4:L$1000,MATCH($A$1&amp;"|"&amp;15,Índice!$A$4:$A$1000,0)),"")</f>
        <v/>
      </c>
      <c r="M18" s="7" t="str">
        <f aca="false">IFERROR(INDEX(Catálogo!M$4:M$1000,MATCH($A$1&amp;"|"&amp;15,Índice!$A$4:$A$1000,0)),"")</f>
        <v/>
      </c>
    </row>
    <row r="19" customFormat="false" ht="42" hidden="false" customHeight="true" outlineLevel="0" collapsed="false">
      <c r="A19" s="5" t="str">
        <f aca="false">IFERROR(INDEX(Catálogo!A$4:A$1000,MATCH($A$1&amp;"|"&amp;16,Índice!$A$4:$A$1000,0)),"")</f>
        <v/>
      </c>
      <c r="B19" s="6" t="str">
        <f aca="false">IFERROR(INDEX(Catálogo!B$4:B$1000,MATCH($A$1&amp;"|"&amp;16,Índice!$A$4:$A$1000,0)),"")</f>
        <v/>
      </c>
      <c r="C19" s="6" t="str">
        <f aca="false">IFERROR(INDEX(Catálogo!C$4:C$1000,MATCH($A$1&amp;"|"&amp;16,Índice!$A$4:$A$1000,0)),"")</f>
        <v/>
      </c>
      <c r="D19" s="6" t="str">
        <f aca="false">IFERROR(INDEX(Catálogo!D$4:D$1000,MATCH($A$1&amp;"|"&amp;16,Índice!$A$4:$A$1000,0)),"")</f>
        <v/>
      </c>
      <c r="E19" s="6" t="str">
        <f aca="false">IFERROR(INDEX(Catálogo!E$4:E$1000,MATCH($A$1&amp;"|"&amp;16,Índice!$A$4:$A$1000,0)),"")</f>
        <v/>
      </c>
      <c r="F19" s="5" t="str">
        <f aca="false">IFERROR(INDEX(Catálogo!F$4:F$1000,MATCH($A$1&amp;"|"&amp;16,Índice!$A$4:$A$1000,0)),"")</f>
        <v/>
      </c>
      <c r="G19" s="5" t="str">
        <f aca="false">IFERROR(INDEX(Catálogo!G$4:G$1000,MATCH($A$1&amp;"|"&amp;16,Índice!$A$4:$A$1000,0)),"")</f>
        <v/>
      </c>
      <c r="H19" s="5" t="str">
        <f aca="false">IFERROR(INDEX(Catálogo!H$4:H$1000,MATCH($A$1&amp;"|"&amp;16,Índice!$A$4:$A$1000,0)),"")</f>
        <v/>
      </c>
      <c r="I19" s="6" t="str">
        <f aca="false">IFERROR(INDEX(Catálogo!I$4:I$1000,MATCH($A$1&amp;"|"&amp;16,Índice!$A$4:$A$1000,0)),"")</f>
        <v/>
      </c>
      <c r="J19" s="6" t="str">
        <f aca="false">IFERROR(INDEX(Catálogo!J$4:J$1000,MATCH($A$1&amp;"|"&amp;16,Índice!$A$4:$A$1000,0)),"")</f>
        <v/>
      </c>
      <c r="K19" s="6" t="str">
        <f aca="false">IFERROR(INDEX(Catálogo!K$4:K$1000,MATCH($A$1&amp;"|"&amp;16,Índice!$A$4:$A$1000,0)),"")</f>
        <v/>
      </c>
      <c r="L19" s="6" t="str">
        <f aca="false">IFERROR(INDEX(Catálogo!L$4:L$1000,MATCH($A$1&amp;"|"&amp;16,Índice!$A$4:$A$1000,0)),"")</f>
        <v/>
      </c>
      <c r="M19" s="7" t="str">
        <f aca="false">IFERROR(INDEX(Catálogo!M$4:M$1000,MATCH($A$1&amp;"|"&amp;16,Índice!$A$4:$A$1000,0)),"")</f>
        <v/>
      </c>
    </row>
    <row r="20" customFormat="false" ht="42" hidden="false" customHeight="true" outlineLevel="0" collapsed="false">
      <c r="A20" s="5" t="str">
        <f aca="false">IFERROR(INDEX(Catálogo!A$4:A$1000,MATCH($A$1&amp;"|"&amp;17,Índice!$A$4:$A$1000,0)),"")</f>
        <v/>
      </c>
      <c r="B20" s="6" t="str">
        <f aca="false">IFERROR(INDEX(Catálogo!B$4:B$1000,MATCH($A$1&amp;"|"&amp;17,Índice!$A$4:$A$1000,0)),"")</f>
        <v/>
      </c>
      <c r="C20" s="6" t="str">
        <f aca="false">IFERROR(INDEX(Catálogo!C$4:C$1000,MATCH($A$1&amp;"|"&amp;17,Índice!$A$4:$A$1000,0)),"")</f>
        <v/>
      </c>
      <c r="D20" s="6" t="str">
        <f aca="false">IFERROR(INDEX(Catálogo!D$4:D$1000,MATCH($A$1&amp;"|"&amp;17,Índice!$A$4:$A$1000,0)),"")</f>
        <v/>
      </c>
      <c r="E20" s="6" t="str">
        <f aca="false">IFERROR(INDEX(Catálogo!E$4:E$1000,MATCH($A$1&amp;"|"&amp;17,Índice!$A$4:$A$1000,0)),"")</f>
        <v/>
      </c>
      <c r="F20" s="5" t="str">
        <f aca="false">IFERROR(INDEX(Catálogo!F$4:F$1000,MATCH($A$1&amp;"|"&amp;17,Índice!$A$4:$A$1000,0)),"")</f>
        <v/>
      </c>
      <c r="G20" s="5" t="str">
        <f aca="false">IFERROR(INDEX(Catálogo!G$4:G$1000,MATCH($A$1&amp;"|"&amp;17,Índice!$A$4:$A$1000,0)),"")</f>
        <v/>
      </c>
      <c r="H20" s="5" t="str">
        <f aca="false">IFERROR(INDEX(Catálogo!H$4:H$1000,MATCH($A$1&amp;"|"&amp;17,Índice!$A$4:$A$1000,0)),"")</f>
        <v/>
      </c>
      <c r="I20" s="6" t="str">
        <f aca="false">IFERROR(INDEX(Catálogo!I$4:I$1000,MATCH($A$1&amp;"|"&amp;17,Índice!$A$4:$A$1000,0)),"")</f>
        <v/>
      </c>
      <c r="J20" s="6" t="str">
        <f aca="false">IFERROR(INDEX(Catálogo!J$4:J$1000,MATCH($A$1&amp;"|"&amp;17,Índice!$A$4:$A$1000,0)),"")</f>
        <v/>
      </c>
      <c r="K20" s="6" t="str">
        <f aca="false">IFERROR(INDEX(Catálogo!K$4:K$1000,MATCH($A$1&amp;"|"&amp;17,Índice!$A$4:$A$1000,0)),"")</f>
        <v/>
      </c>
      <c r="L20" s="6" t="str">
        <f aca="false">IFERROR(INDEX(Catálogo!L$4:L$1000,MATCH($A$1&amp;"|"&amp;17,Índice!$A$4:$A$1000,0)),"")</f>
        <v/>
      </c>
      <c r="M20" s="7" t="str">
        <f aca="false">IFERROR(INDEX(Catálogo!M$4:M$1000,MATCH($A$1&amp;"|"&amp;17,Índice!$A$4:$A$1000,0)),"")</f>
        <v/>
      </c>
    </row>
    <row r="21" customFormat="false" ht="42" hidden="false" customHeight="true" outlineLevel="0" collapsed="false">
      <c r="A21" s="5" t="str">
        <f aca="false">IFERROR(INDEX(Catálogo!A$4:A$1000,MATCH($A$1&amp;"|"&amp;18,Índice!$A$4:$A$1000,0)),"")</f>
        <v/>
      </c>
      <c r="B21" s="6" t="str">
        <f aca="false">IFERROR(INDEX(Catálogo!B$4:B$1000,MATCH($A$1&amp;"|"&amp;18,Índice!$A$4:$A$1000,0)),"")</f>
        <v/>
      </c>
      <c r="C21" s="6" t="str">
        <f aca="false">IFERROR(INDEX(Catálogo!C$4:C$1000,MATCH($A$1&amp;"|"&amp;18,Índice!$A$4:$A$1000,0)),"")</f>
        <v/>
      </c>
      <c r="D21" s="6" t="str">
        <f aca="false">IFERROR(INDEX(Catálogo!D$4:D$1000,MATCH($A$1&amp;"|"&amp;18,Índice!$A$4:$A$1000,0)),"")</f>
        <v/>
      </c>
      <c r="E21" s="6" t="str">
        <f aca="false">IFERROR(INDEX(Catálogo!E$4:E$1000,MATCH($A$1&amp;"|"&amp;18,Índice!$A$4:$A$1000,0)),"")</f>
        <v/>
      </c>
      <c r="F21" s="5" t="str">
        <f aca="false">IFERROR(INDEX(Catálogo!F$4:F$1000,MATCH($A$1&amp;"|"&amp;18,Índice!$A$4:$A$1000,0)),"")</f>
        <v/>
      </c>
      <c r="G21" s="5" t="str">
        <f aca="false">IFERROR(INDEX(Catálogo!G$4:G$1000,MATCH($A$1&amp;"|"&amp;18,Índice!$A$4:$A$1000,0)),"")</f>
        <v/>
      </c>
      <c r="H21" s="5" t="str">
        <f aca="false">IFERROR(INDEX(Catálogo!H$4:H$1000,MATCH($A$1&amp;"|"&amp;18,Índice!$A$4:$A$1000,0)),"")</f>
        <v/>
      </c>
      <c r="I21" s="6" t="str">
        <f aca="false">IFERROR(INDEX(Catálogo!I$4:I$1000,MATCH($A$1&amp;"|"&amp;18,Índice!$A$4:$A$1000,0)),"")</f>
        <v/>
      </c>
      <c r="J21" s="6" t="str">
        <f aca="false">IFERROR(INDEX(Catálogo!J$4:J$1000,MATCH($A$1&amp;"|"&amp;18,Índice!$A$4:$A$1000,0)),"")</f>
        <v/>
      </c>
      <c r="K21" s="6" t="str">
        <f aca="false">IFERROR(INDEX(Catálogo!K$4:K$1000,MATCH($A$1&amp;"|"&amp;18,Índice!$A$4:$A$1000,0)),"")</f>
        <v/>
      </c>
      <c r="L21" s="6" t="str">
        <f aca="false">IFERROR(INDEX(Catálogo!L$4:L$1000,MATCH($A$1&amp;"|"&amp;18,Índice!$A$4:$A$1000,0)),"")</f>
        <v/>
      </c>
      <c r="M21" s="7" t="str">
        <f aca="false">IFERROR(INDEX(Catálogo!M$4:M$1000,MATCH($A$1&amp;"|"&amp;18,Índice!$A$4:$A$1000,0)),"")</f>
        <v/>
      </c>
    </row>
  </sheetData>
  <autoFilter ref="A3:M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438</v>
      </c>
      <c r="I1" s="17" t="str">
        <f aca="false">COUNTIF(Catálogo!$C$4:$C$1000,$A$1)&amp;IF(COUNTIF(Catálogo!$C$4:$C$1000,$A$1)=1," instrumento nesta área"," instrumentos nesta área")</f>
        <v>6 instrumentos nesta área</v>
      </c>
    </row>
    <row r="2" customFormat="false" ht="15" hidden="false" customHeight="true" outlineLevel="0" collapsed="false">
      <c r="A2" s="18" t="s">
        <v>1488</v>
      </c>
      <c r="I2" s="19" t="str">
        <f aca="false">IF(COUNTIF(Catálogo!$C$4:$C$1000,$A$1)&gt;14,"⚠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62</v>
      </c>
      <c r="B4" s="6" t="str">
        <f aca="false">IFERROR(INDEX(Catálogo!B$4:B$1000,MATCH($A$1&amp;"|"&amp;1,Índice!$A$4:$A$1000,0)),"")</f>
        <v>EPCAS-PE — Escala Pictórica de Competência Percebida e Aceitação Social</v>
      </c>
      <c r="C4" s="6" t="str">
        <f aca="false">IFERROR(INDEX(Catálogo!C$4:C$1000,MATCH($A$1&amp;"|"&amp;1,Índice!$A$4:$A$1000,0)),"")</f>
        <v>Autoconceito &amp; Autoestima</v>
      </c>
      <c r="D4" s="6" t="str">
        <f aca="false">IFERROR(INDEX(Catálogo!D$4:D$1000,MATCH($A$1&amp;"|"&amp;1,Índice!$A$4:$A$1000,0)),"")</f>
        <v>Psicóloga</v>
      </c>
      <c r="E4" s="6" t="str">
        <f aca="false">IFERROR(INDEX(Catálogo!E$4:E$1000,MATCH($A$1&amp;"|"&amp;1,Índice!$A$4:$A$1000,0)),"")</f>
        <v>4–7 anos (pré-escolar e 1.º/2.º ano)</v>
      </c>
      <c r="F4" s="5" t="n">
        <f aca="false">IFERROR(INDEX(Catálogo!F$4:F$1000,MATCH($A$1&amp;"|"&amp;1,Índice!$A$4:$A$1000,0)),"")</f>
        <v>0.3</v>
      </c>
      <c r="G4" s="5" t="n">
        <f aca="false">IFERROR(INDEX(Catálogo!G$4:G$1000,MATCH($A$1&amp;"|"&amp;1,Índice!$A$4:$A$1000,0)),"")</f>
        <v>0.6</v>
      </c>
      <c r="H4" s="5" t="n">
        <f aca="false">IFERROR(INDEX(Catálogo!H$4:H$1000,MATCH($A$1&amp;"|"&amp;1,Índice!$A$4:$A$1000,0)),"")</f>
        <v>7</v>
      </c>
      <c r="I4" s="6" t="str">
        <f aca="false">IFERROR(INDEX(Catálogo!I$4:I$1000,MATCH($A$1&amp;"|"&amp;1,Índice!$A$4:$A$1000,0)),"")</f>
        <v>Tradução PT-PT da Pictorial Scale of Perceived Competence and Social Acceptance for Young Children, Forma Pré-Escolar/Jardim de Infância (Harter &amp; Pike, 1983/1984), com administração individual pelo examinador: para cada item pictórico a criança escolhe qual das duas crianças ilustradas é mais parecida consigo e indica se é «muito» (círculo grande) ou «um pouco» (círculo pequeno) parecida — cotação 1–4 por item. 30 itens: 24 originais (4 subescalas × 6 itens — Competência Cognitiva, Competência Física, Aceitação pelos Pares, Aceitação Parental) + extensão Aparência Física (6 itens, ilustrações K. Eklund 2021–2022). Médias 1–4 por subescala (admite itens omissos: média sobre itens validamente administrados) e fatores ao nível do item: Competência Geral (Cognitiva+Física) e Aceitação Social (Pares+Parental). Inclui 2 itens de treino não cotados. Bandas exclusivamente descritivas (&lt;2,00 Baixa · 2,00–2,99 Média · ≥3,00 Elevada; sem normas portuguesas) — leitura clínica do psicólogo.</v>
      </c>
      <c r="J4" s="6" t="str">
        <f aca="false">IFERROR(INDEX(Catálogo!J$4:J$1000,MATCH($A$1&amp;"|"&amp;1,Índice!$A$4:$A$1000,0)),"")</f>
        <v>Competência Cognitiva; Competência Física; Aceitação pelos Pares; Aceitação Parental; Aparência Física; Competência Geral; Aceitação Social</v>
      </c>
      <c r="K4" s="6" t="str">
        <f aca="false">IFERROR(INDEX(Catálogo!K$4:K$1000,MATCH($A$1&amp;"|"&amp;1,Índice!$A$4:$A$1000,0)),"")</f>
        <v>epcas_pe</v>
      </c>
      <c r="L4" s="6" t="str">
        <f aca="false">IFERROR(INDEX(Catálogo!L$4:L$1000,MATCH($A$1&amp;"|"&amp;1,Índice!$A$4:$A$1000,0)),"")</f>
        <v>q_epcas_pe</v>
      </c>
      <c r="M4" s="7" t="str">
        <f aca="false">IFERROR(INDEX(Catálogo!M$4:M$1000,MATCH($A$1&amp;"|"&amp;1,Índice!$A$4:$A$1000,0)),"")</f>
        <v>https://correiaricardina-ui.github.io/questionarios/EPCAS_PE_v1.html</v>
      </c>
    </row>
    <row r="5" customFormat="false" ht="42" hidden="false" customHeight="true" outlineLevel="0" collapsed="false">
      <c r="A5" s="5" t="n">
        <f aca="false">IFERROR(INDEX(Catálogo!A$4:A$1000,MATCH($A$1&amp;"|"&amp;2,Índice!$A$4:$A$1000,0)),"")</f>
        <v>141</v>
      </c>
      <c r="B5" s="6" t="str">
        <f aca="false">IFERROR(INDEX(Catálogo!B$4:B$1000,MATCH($A$1&amp;"|"&amp;2,Índice!$A$4:$A$1000,0)),"")</f>
        <v>SPPA — Como é que eu sou? + Importância (Adolescentes)</v>
      </c>
      <c r="C5" s="6" t="str">
        <f aca="false">IFERROR(INDEX(Catálogo!C$4:C$1000,MATCH($A$1&amp;"|"&amp;2,Índice!$A$4:$A$1000,0)),"")</f>
        <v>Autoconceito &amp; Autoestima</v>
      </c>
      <c r="D5" s="6" t="str">
        <f aca="false">IFERROR(INDEX(Catálogo!D$4:D$1000,MATCH($A$1&amp;"|"&amp;2,Índice!$A$4:$A$1000,0)),"")</f>
        <v>Filho(a)</v>
      </c>
      <c r="E5" s="6" t="str">
        <f aca="false">IFERROR(INDEX(Catálogo!E$4:E$1000,MATCH($A$1&amp;"|"&amp;2,Índice!$A$4:$A$1000,0)),"")</f>
        <v>13–18 anos</v>
      </c>
      <c r="F5" s="5" t="n">
        <f aca="false">IFERROR(INDEX(Catálogo!F$4:F$1000,MATCH($A$1&amp;"|"&amp;2,Índice!$A$4:$A$1000,0)),"")</f>
        <v>1.1</v>
      </c>
      <c r="G5" s="5" t="n">
        <f aca="false">IFERROR(INDEX(Catálogo!G$4:G$1000,MATCH($A$1&amp;"|"&amp;2,Índice!$A$4:$A$1000,0)),"")</f>
        <v>1.5</v>
      </c>
      <c r="H5" s="5" t="n">
        <f aca="false">IFERROR(INDEX(Catálogo!H$4:H$1000,MATCH($A$1&amp;"|"&amp;2,Índice!$A$4:$A$1000,0)),"")</f>
        <v>11</v>
      </c>
      <c r="I5" s="6" t="str">
        <f aca="false">IFERROR(INDEX(Catálogo!I$4:I$1000,MATCH($A$1&amp;"|"&amp;2,Índice!$A$4:$A$1000,0)),"")</f>
        <v>Perfil de autoperceção para adolescentes (Self-Perception Profile for Adolescents, Harter 1988/2012) em bateria única: Parte I «Como é que eu sou?» (45 itens, 9 subescalas de 5 itens — 8 domínios específicos + Autoestima Global como dimensão própria; médias 1–4 com pró-rateamento ≥4/5) e Parte II «Qual a importância destas coisas?» (16 itens, 8 áreas; valorizada ≥3). Comparação normativa descritiva com as normas americanas do manual de 2012 (M sexo×ano, DP por ano; idades 13–16 → 8.º–11.º ano EUA; limiares z ±1,0 e ±1,5) e discrepâncias competência−importância (James/Harter) com sinalização de vulnerabilidade da autoestima. Tradução técnica PT-PT sem validação nem normas portuguesas — leitura clínica do psicólogo.</v>
      </c>
      <c r="J5" s="6" t="str">
        <f aca="false">IFERROR(INDEX(Catálogo!J$4:J$1000,MATCH($A$1&amp;"|"&amp;2,Índice!$A$4:$A$1000,0)),"")</f>
        <v>Escolar; Social; Atlética; Aparência Física; Laboral; Romântica; Comportamento; Amizades Íntimas; Autoestima Global; Importância por área; Discrepâncias C−I</v>
      </c>
      <c r="K5" s="6" t="str">
        <f aca="false">IFERROR(INDEX(Catálogo!K$4:K$1000,MATCH($A$1&amp;"|"&amp;2,Índice!$A$4:$A$1000,0)),"")</f>
        <v>sppa</v>
      </c>
      <c r="L5" s="6" t="str">
        <f aca="false">IFERROR(INDEX(Catálogo!L$4:L$1000,MATCH($A$1&amp;"|"&amp;2,Índice!$A$4:$A$1000,0)),"")</f>
        <v>q_sppa</v>
      </c>
      <c r="M5" s="7" t="str">
        <f aca="false">IFERROR(INDEX(Catálogo!M$4:M$1000,MATCH($A$1&amp;"|"&amp;2,Índice!$A$4:$A$1000,0)),"")</f>
        <v>https://correiaricardina-ui.github.io/questionarios/SPPA.html</v>
      </c>
    </row>
    <row r="6" customFormat="false" ht="42" hidden="false" customHeight="true" outlineLevel="0" collapsed="false">
      <c r="A6" s="5" t="n">
        <f aca="false">IFERROR(INDEX(Catálogo!A$4:A$1000,MATCH($A$1&amp;"|"&amp;3,Índice!$A$4:$A$1000,0)),"")</f>
        <v>142</v>
      </c>
      <c r="B6" s="6" t="str">
        <f aca="false">IFERROR(INDEX(Catálogo!B$4:B$1000,MATCH($A$1&amp;"|"&amp;3,Índice!$A$4:$A$1000,0)),"")</f>
        <v>SPPC — Como é que eu sou + Importância (Crianças)</v>
      </c>
      <c r="C6" s="6" t="str">
        <f aca="false">IFERROR(INDEX(Catálogo!C$4:C$1000,MATCH($A$1&amp;"|"&amp;3,Índice!$A$4:$A$1000,0)),"")</f>
        <v>Autoconceito &amp; Autoestima</v>
      </c>
      <c r="D6" s="6" t="str">
        <f aca="false">IFERROR(INDEX(Catálogo!D$4:D$1000,MATCH($A$1&amp;"|"&amp;3,Índice!$A$4:$A$1000,0)),"")</f>
        <v>Filho(a)</v>
      </c>
      <c r="E6" s="6" t="str">
        <f aca="false">IFERROR(INDEX(Catálogo!E$4:E$1000,MATCH($A$1&amp;"|"&amp;3,Índice!$A$4:$A$1000,0)),"")</f>
        <v>3.º–8.º ano (normas 9–14 anos)</v>
      </c>
      <c r="F6" s="5" t="n">
        <f aca="false">IFERROR(INDEX(Catálogo!F$4:F$1000,MATCH($A$1&amp;"|"&amp;3,Índice!$A$4:$A$1000,0)),"")</f>
        <v>0.7</v>
      </c>
      <c r="G6" s="5" t="n">
        <f aca="false">IFERROR(INDEX(Catálogo!G$4:G$1000,MATCH($A$1&amp;"|"&amp;3,Índice!$A$4:$A$1000,0)),"")</f>
        <v>1.2</v>
      </c>
      <c r="H6" s="5" t="n">
        <f aca="false">IFERROR(INDEX(Catálogo!H$4:H$1000,MATCH($A$1&amp;"|"&amp;3,Índice!$A$4:$A$1000,0)),"")</f>
        <v>9</v>
      </c>
      <c r="I6" s="6" t="str">
        <f aca="false">IFERROR(INDEX(Catálogo!I$4:I$1000,MATCH($A$1&amp;"|"&amp;3,Índice!$A$4:$A$1000,0)),"")</f>
        <v>Escala de Autoperceção para Crianças (Self-Perception Profile for Children, Harter 2012, rev. 1985) em bateria única: Parte I «Como é que eu sou» (36 itens, 6 subescalas de 6 itens — 5 domínios específicos + Autoestima Global como dimensão própria; médias 1–4 com pró-rateamento ≥4/6) e Parte II «Que importância isto tem para mim?» (10 itens, 5 áreas; valorizada ≥3). Comparação normativa descritiva com as normas do Anexo 2 (M e DP por sexo×idade, 9–14 anos; limiares z ±1,0 e ±1,5), discrepâncias competência−importância (James/Harter) com sinalização de vulnerabilidade da autoestima e comparação criança–professor (|C−P|: &lt;0,5 convergência · 0,5–1,0 ligeira · ≥1,0 marcada) quando existe registo da Escala do Professor. Subescala Social com limitação normativa divulgada (normas 1985 vs itens 2012). Tradução técnica PT-PT sem validação nem normas portuguesas — leitura clínica do psicólogo.</v>
      </c>
      <c r="J6" s="6" t="str">
        <f aca="false">IFERROR(INDEX(Catálogo!J$4:J$1000,MATCH($A$1&amp;"|"&amp;3,Índice!$A$4:$A$1000,0)),"")</f>
        <v>Competência Escolar; Competência Social; Competência Desportiva; Aparência Física; Comportamento; Autoestima Global; Importância por área; Discrepâncias C−I; Comparação criança–professor</v>
      </c>
      <c r="K6" s="6" t="str">
        <f aca="false">IFERROR(INDEX(Catálogo!K$4:K$1000,MATCH($A$1&amp;"|"&amp;3,Índice!$A$4:$A$1000,0)),"")</f>
        <v>sppc</v>
      </c>
      <c r="L6" s="6" t="str">
        <f aca="false">IFERROR(INDEX(Catálogo!L$4:L$1000,MATCH($A$1&amp;"|"&amp;3,Índice!$A$4:$A$1000,0)),"")</f>
        <v>q_sppc</v>
      </c>
      <c r="M6" s="7" t="str">
        <f aca="false">IFERROR(INDEX(Catálogo!M$4:M$1000,MATCH($A$1&amp;"|"&amp;3,Índice!$A$4:$A$1000,0)),"")</f>
        <v>https://correiaricardina-ui.github.io/questionarios/SPPC_Bateria.html</v>
      </c>
    </row>
    <row r="7" customFormat="false" ht="42" hidden="false" customHeight="true" outlineLevel="0" collapsed="false">
      <c r="A7" s="5" t="n">
        <f aca="false">IFERROR(INDEX(Catálogo!A$4:A$1000,MATCH($A$1&amp;"|"&amp;4,Índice!$A$4:$A$1000,0)),"")</f>
        <v>143</v>
      </c>
      <c r="B7" s="6" t="str">
        <f aca="false">IFERROR(INDEX(Catálogo!B$4:B$1000,MATCH($A$1&amp;"|"&amp;4,Índice!$A$4:$A$1000,0)),"")</f>
        <v>SPPC — Escala de Avaliação do Professor (Crianças)</v>
      </c>
      <c r="C7" s="6" t="str">
        <f aca="false">IFERROR(INDEX(Catálogo!C$4:C$1000,MATCH($A$1&amp;"|"&amp;4,Índice!$A$4:$A$1000,0)),"")</f>
        <v>Autoconceito &amp; Autoestima</v>
      </c>
      <c r="D7" s="6" t="str">
        <f aca="false">IFERROR(INDEX(Catálogo!D$4:D$1000,MATCH($A$1&amp;"|"&amp;4,Índice!$A$4:$A$1000,0)),"")</f>
        <v>Professor(a)</v>
      </c>
      <c r="E7" s="6" t="str">
        <f aca="false">IFERROR(INDEX(Catálogo!E$4:E$1000,MATCH($A$1&amp;"|"&amp;4,Índice!$A$4:$A$1000,0)),"")</f>
        <v>3.º–8.º ano</v>
      </c>
      <c r="F7" s="5" t="n">
        <f aca="false">IFERROR(INDEX(Catálogo!F$4:F$1000,MATCH($A$1&amp;"|"&amp;4,Índice!$A$4:$A$1000,0)),"")</f>
        <v>0.7</v>
      </c>
      <c r="G7" s="5" t="n">
        <f aca="false">IFERROR(INDEX(Catálogo!G$4:G$1000,MATCH($A$1&amp;"|"&amp;4,Índice!$A$4:$A$1000,0)),"")</f>
        <v>1.2</v>
      </c>
      <c r="H7" s="5" t="n">
        <f aca="false">IFERROR(INDEX(Catálogo!H$4:H$1000,MATCH($A$1&amp;"|"&amp;4,Índice!$A$4:$A$1000,0)),"")</f>
        <v>6</v>
      </c>
      <c r="I7" s="6" t="str">
        <f aca="false">IFERROR(INDEX(Catálogo!I$4:I$1000,MATCH($A$1&amp;"|"&amp;4,Índice!$A$4:$A$1000,0)),"")</f>
        <v>Escala de Avaliação do Professor paralela ao Self-Perception Profile for Children (Harter, 2012): 15 itens sobre a competência REAL da criança segundo o juízo independente do(a) professor(a), em 5 domínios de 3 itens (médias 1–4 com pró-rateamento ≥2/3) — Competência Escolar, Social, Desportiva, Aparência Física e Comportamento. A Autoestima Global não é avaliada por observadores externos. Sem normas: leitura exclusivamente descritiva. Inclui comparação criança–professor por domínio quando existe registo SPPC do mesmo código (|C−P|: &lt;0,5 convergência · 0,5–1,0 discrepância ligeira · ≥1,0 marcada) — índice de convergência de perspetivas, não medida de validade nem indicador de distorção por parte da criança. Tradução técnica PT-PT sem validação.</v>
      </c>
      <c r="J7" s="6" t="str">
        <f aca="false">IFERROR(INDEX(Catálogo!J$4:J$1000,MATCH($A$1&amp;"|"&amp;4,Índice!$A$4:$A$1000,0)),"")</f>
        <v>Competência Escolar; Competência Social; Competência Desportiva; Aparência Física; Comportamento; Comparação criança–professor</v>
      </c>
      <c r="K7" s="6" t="str">
        <f aca="false">IFERROR(INDEX(Catálogo!K$4:K$1000,MATCH($A$1&amp;"|"&amp;4,Índice!$A$4:$A$1000,0)),"")</f>
        <v>sppc_professor</v>
      </c>
      <c r="L7" s="6" t="str">
        <f aca="false">IFERROR(INDEX(Catálogo!L$4:L$1000,MATCH($A$1&amp;"|"&amp;4,Índice!$A$4:$A$1000,0)),"")</f>
        <v>q_sppc_professor</v>
      </c>
      <c r="M7" s="7" t="str">
        <f aca="false">IFERROR(INDEX(Catálogo!M$4:M$1000,MATCH($A$1&amp;"|"&amp;4,Índice!$A$4:$A$1000,0)),"")</f>
        <v>https://correiaricardina-ui.github.io/questionarios/SPPC_Professor.html</v>
      </c>
    </row>
    <row r="8" customFormat="false" ht="42" hidden="false" customHeight="true" outlineLevel="0" collapsed="false">
      <c r="A8" s="5" t="n">
        <f aca="false">IFERROR(INDEX(Catálogo!A$4:A$1000,MATCH($A$1&amp;"|"&amp;5,Índice!$A$4:$A$1000,0)),"")</f>
        <v>144</v>
      </c>
      <c r="B8" s="6" t="str">
        <f aca="false">IFERROR(INDEX(Catálogo!B$4:B$1000,MATCH($A$1&amp;"|"&amp;5,Índice!$A$4:$A$1000,0)),"")</f>
        <v>SPPCS — Perfil de Autoperceção para Estudantes Universitários</v>
      </c>
      <c r="C8" s="6" t="str">
        <f aca="false">IFERROR(INDEX(Catálogo!C$4:C$1000,MATCH($A$1&amp;"|"&amp;5,Índice!$A$4:$A$1000,0)),"")</f>
        <v>Autoconceito &amp; Autoestima</v>
      </c>
      <c r="D8" s="6" t="str">
        <f aca="false">IFERROR(INDEX(Catálogo!D$4:D$1000,MATCH($A$1&amp;"|"&amp;5,Índice!$A$4:$A$1000,0)),"")</f>
        <v>Paciente</v>
      </c>
      <c r="E8" s="6" t="str">
        <f aca="false">IFERROR(INDEX(Catálogo!E$4:E$1000,MATCH($A$1&amp;"|"&amp;5,Índice!$A$4:$A$1000,0)),"")</f>
        <v>Ensino superior (17–23 anos)</v>
      </c>
      <c r="F8" s="5" t="n">
        <f aca="false">IFERROR(INDEX(Catálogo!F$4:F$1000,MATCH($A$1&amp;"|"&amp;5,Índice!$A$4:$A$1000,0)),"")</f>
        <v>1.4</v>
      </c>
      <c r="G8" s="5" t="n">
        <f aca="false">IFERROR(INDEX(Catálogo!G$4:G$1000,MATCH($A$1&amp;"|"&amp;5,Índice!$A$4:$A$1000,0)),"")</f>
        <v>2.5</v>
      </c>
      <c r="H8" s="5" t="n">
        <f aca="false">IFERROR(INDEX(Catálogo!H$4:H$1000,MATCH($A$1&amp;"|"&amp;5,Índice!$A$4:$A$1000,0)),"")</f>
        <v>16</v>
      </c>
      <c r="I8" s="6" t="str">
        <f aca="false">IFERROR(INDEX(Catálogo!I$4:I$1000,MATCH($A$1&amp;"|"&amp;5,Índice!$A$4:$A$1000,0)),"")</f>
        <v>Perfil de Autoperceção para Estudantes Universitários (Self-Perception Profile for College Students, Neemann &amp; Harter, 2012) em bateria única de 98 itens: «Como Eu Sou» (54 itens, 13 subescalas — Competência no Trabalho, Competência Escolar, Aceitação Social, Aparência Física, Relação com os Pais, Amizades Íntimas, Capacidade Intelectual, Moralidade, Relações Amorosas, Humor, Criatividade, Competência Atlética + Autoestima Global como dimensão própria de 6 itens; médias 1–4), «Classificações de Importância» (24 itens, 12 domínios) e «As Pessoas na Minha Vida» (20 itens, 5 fontes de apoio social — Amigo Íntimo, Mãe, Pai, Professores, Organizações Académicas). Classificações descritivas por valores z face às normas norte-americanas por sexo (N=300; sem normas portuguesas). Discrepância competência−importância (modelo de James/Harter) calculada apenas nos domínios com importância = 4. Tradução técnica PT-PT para uso clínico exploratório e investigação — leitura clínica do psicólogo.</v>
      </c>
      <c r="J8" s="6" t="str">
        <f aca="false">IFERROR(INDEX(Catálogo!J$4:J$1000,MATCH($A$1&amp;"|"&amp;5,Índice!$A$4:$A$1000,0)),"")</f>
        <v>Competência no Trabalho; Competência Escolar; Aceitação Social; Aparência Física; Relação com os Pais; Amizades Íntimas; Capacidade Intelectual; Moralidade; Relações Amorosas; Humor; Criatividade; Competência Atlética; Autoestima Global; Importância por domínio; Discrepância C−I; Apoio Social Percebido</v>
      </c>
      <c r="K8" s="6" t="str">
        <f aca="false">IFERROR(INDEX(Catálogo!K$4:K$1000,MATCH($A$1&amp;"|"&amp;5,Índice!$A$4:$A$1000,0)),"")</f>
        <v>sppcs</v>
      </c>
      <c r="L8" s="6" t="str">
        <f aca="false">IFERROR(INDEX(Catálogo!L$4:L$1000,MATCH($A$1&amp;"|"&amp;5,Índice!$A$4:$A$1000,0)),"")</f>
        <v>q_sppcs</v>
      </c>
      <c r="M8" s="7" t="str">
        <f aca="false">IFERROR(INDEX(Catálogo!M$4:M$1000,MATCH($A$1&amp;"|"&amp;5,Índice!$A$4:$A$1000,0)),"")</f>
        <v>https://correiaricardina-ui.github.io/questionarios/SPPCS_v1.html</v>
      </c>
    </row>
    <row r="9" customFormat="false" ht="42" hidden="false" customHeight="true" outlineLevel="0" collapsed="false">
      <c r="A9" s="5" t="n">
        <f aca="false">IFERROR(INDEX(Catálogo!A$4:A$1000,MATCH($A$1&amp;"|"&amp;6,Índice!$A$4:$A$1000,0)),"")</f>
        <v>145</v>
      </c>
      <c r="B9" s="6" t="str">
        <f aca="false">IFERROR(INDEX(Catálogo!B$4:B$1000,MATCH($A$1&amp;"|"&amp;6,Índice!$A$4:$A$1000,0)),"")</f>
        <v>SPP-LD — Como Eu Sou + Importância (DAE)</v>
      </c>
      <c r="C9" s="6" t="str">
        <f aca="false">IFERROR(INDEX(Catálogo!C$4:C$1000,MATCH($A$1&amp;"|"&amp;6,Índice!$A$4:$A$1000,0)),"")</f>
        <v>Autoconceito &amp; Autoestima</v>
      </c>
      <c r="D9" s="6" t="str">
        <f aca="false">IFERROR(INDEX(Catálogo!D$4:D$1000,MATCH($A$1&amp;"|"&amp;6,Índice!$A$4:$A$1000,0)),"")</f>
        <v>Filho(a)</v>
      </c>
      <c r="E9" s="6" t="str">
        <f aca="false">IFERROR(INDEX(Catálogo!E$4:E$1000,MATCH($A$1&amp;"|"&amp;6,Índice!$A$4:$A$1000,0)),"")</f>
        <v>3.º–8.º ano (8–15 anos)</v>
      </c>
      <c r="F9" s="5" t="n">
        <f aca="false">IFERROR(INDEX(Catálogo!F$4:F$1000,MATCH($A$1&amp;"|"&amp;6,Índice!$A$4:$A$1000,0)),"")</f>
        <v>0.7</v>
      </c>
      <c r="G9" s="5" t="n">
        <f aca="false">IFERROR(INDEX(Catálogo!G$4:G$1000,MATCH($A$1&amp;"|"&amp;6,Índice!$A$4:$A$1000,0)),"")</f>
        <v>1.2</v>
      </c>
      <c r="H9" s="5" t="n">
        <f aca="false">IFERROR(INDEX(Catálogo!H$4:H$1000,MATCH($A$1&amp;"|"&amp;6,Índice!$A$4:$A$1000,0)),"")</f>
        <v>13</v>
      </c>
      <c r="I9" s="6" t="str">
        <f aca="false">IFERROR(INDEX(Catálogo!I$4:I$1000,MATCH($A$1&amp;"|"&amp;6,Índice!$A$4:$A$1000,0)),"")</f>
        <v>Perfil de Autoperceção para Alunos com Dificuldades de Aprendizagem Específicas (Self-Perception Profile for Learning Disabled Students, Renick &amp; Harter, 1988/2012) em bateria única: «Como Eu Sou» (46 itens, 10 subescalas — 5 escolares: Capacidade Intelectual Geral, Leitura, Escrita, Ortografia, Matemática; + Atlética, Social, Aparência Física, Conduta + Autoestima Global como dimensão própria; médias 1–4 com máximo de 1 omisso por subescala), «Com Quem Me Comparei» (9 áreas; grupo de comparação social — sala de apoio vs aulas regulares — variável crítica de interpretação nesta população) e Escala de Importância (18 itens, 9 domínios). Sem normas: bandas descritivas do manual (&lt;2,00 baixa · 2,00–3,75 média · &gt;3,75 elevada) e referências americanas meramente comparativas (DAE pública/privada/desenvolvimento típico). Discrepâncias competência−importância (James) só nos domínios com importância ≥3,0, com soma, média e sinalização de vulnerabilidade. Aplicável também a alunos com desenvolvimento típico. Tradução técnica PT-PT (Via A) sem validação nem normas portuguesas — leitura clínica do psicólogo.</v>
      </c>
      <c r="J9" s="6" t="str">
        <f aca="false">IFERROR(INDEX(Catálogo!J$4:J$1000,MATCH($A$1&amp;"|"&amp;6,Índice!$A$4:$A$1000,0)),"")</f>
        <v>Capacidade Intelectual Geral; Competência em Leitura; Competência em Escrita; Competência em Ortografia; Competência em Matemática; Competência Atlética; Competência Social; Aparência Física; Conduta Comportamental; Autoestima Global; Importância por domínio; Discrepâncias C−I; Grupo de comparação social</v>
      </c>
      <c r="K9" s="6" t="str">
        <f aca="false">IFERROR(INDEX(Catálogo!K$4:K$1000,MATCH($A$1&amp;"|"&amp;6,Índice!$A$4:$A$1000,0)),"")</f>
        <v>sppld</v>
      </c>
      <c r="L9" s="6" t="str">
        <f aca="false">IFERROR(INDEX(Catálogo!L$4:L$1000,MATCH($A$1&amp;"|"&amp;6,Índice!$A$4:$A$1000,0)),"")</f>
        <v>q_sppld</v>
      </c>
      <c r="M9" s="7" t="str">
        <f aca="false">IFERROR(INDEX(Catálogo!M$4:M$1000,MATCH($A$1&amp;"|"&amp;6,Índice!$A$4:$A$1000,0)),"")</f>
        <v>https://correiaricardina-ui.github.io/questionarios/SPPLD_Bateria.html</v>
      </c>
    </row>
    <row r="10" customFormat="false" ht="42" hidden="false" customHeight="true" outlineLevel="0" collapsed="false">
      <c r="A10" s="5" t="str">
        <f aca="false">IFERROR(INDEX(Catálogo!A$4:A$1000,MATCH($A$1&amp;"|"&amp;7,Índice!$A$4:$A$1000,0)),"")</f>
        <v/>
      </c>
      <c r="B10" s="6" t="str">
        <f aca="false">IFERROR(INDEX(Catálogo!B$4:B$1000,MATCH($A$1&amp;"|"&amp;7,Índice!$A$4:$A$1000,0)),"")</f>
        <v/>
      </c>
      <c r="C10" s="6" t="str">
        <f aca="false">IFERROR(INDEX(Catálogo!C$4:C$1000,MATCH($A$1&amp;"|"&amp;7,Índice!$A$4:$A$1000,0)),"")</f>
        <v/>
      </c>
      <c r="D10" s="6" t="str">
        <f aca="false">IFERROR(INDEX(Catálogo!D$4:D$1000,MATCH($A$1&amp;"|"&amp;7,Índice!$A$4:$A$1000,0)),"")</f>
        <v/>
      </c>
      <c r="E10" s="6" t="str">
        <f aca="false">IFERROR(INDEX(Catálogo!E$4:E$1000,MATCH($A$1&amp;"|"&amp;7,Índice!$A$4:$A$1000,0)),"")</f>
        <v/>
      </c>
      <c r="F10" s="5" t="str">
        <f aca="false">IFERROR(INDEX(Catálogo!F$4:F$1000,MATCH($A$1&amp;"|"&amp;7,Índice!$A$4:$A$1000,0)),"")</f>
        <v/>
      </c>
      <c r="G10" s="5" t="str">
        <f aca="false">IFERROR(INDEX(Catálogo!G$4:G$1000,MATCH($A$1&amp;"|"&amp;7,Índice!$A$4:$A$1000,0)),"")</f>
        <v/>
      </c>
      <c r="H10" s="5" t="str">
        <f aca="false">IFERROR(INDEX(Catálogo!H$4:H$1000,MATCH($A$1&amp;"|"&amp;7,Índice!$A$4:$A$1000,0)),"")</f>
        <v/>
      </c>
      <c r="I10" s="6" t="str">
        <f aca="false">IFERROR(INDEX(Catálogo!I$4:I$1000,MATCH($A$1&amp;"|"&amp;7,Índice!$A$4:$A$1000,0)),"")</f>
        <v/>
      </c>
      <c r="J10" s="6" t="str">
        <f aca="false">IFERROR(INDEX(Catálogo!J$4:J$1000,MATCH($A$1&amp;"|"&amp;7,Índice!$A$4:$A$1000,0)),"")</f>
        <v/>
      </c>
      <c r="K10" s="6" t="str">
        <f aca="false">IFERROR(INDEX(Catálogo!K$4:K$1000,MATCH($A$1&amp;"|"&amp;7,Índice!$A$4:$A$1000,0)),"")</f>
        <v/>
      </c>
      <c r="L10" s="6" t="str">
        <f aca="false">IFERROR(INDEX(Catálogo!L$4:L$1000,MATCH($A$1&amp;"|"&amp;7,Índice!$A$4:$A$1000,0)),"")</f>
        <v/>
      </c>
      <c r="M10" s="7" t="str">
        <f aca="false">IFERROR(INDEX(Catálogo!M$4:M$1000,MATCH($A$1&amp;"|"&amp;7,Índice!$A$4:$A$1000,0)),"")</f>
        <v/>
      </c>
    </row>
    <row r="11" customFormat="false" ht="42" hidden="false" customHeight="true" outlineLevel="0" collapsed="false">
      <c r="A11" s="5" t="str">
        <f aca="false">IFERROR(INDEX(Catálogo!A$4:A$1000,MATCH($A$1&amp;"|"&amp;8,Índice!$A$4:$A$1000,0)),"")</f>
        <v/>
      </c>
      <c r="B11" s="6" t="str">
        <f aca="false">IFERROR(INDEX(Catálogo!B$4:B$1000,MATCH($A$1&amp;"|"&amp;8,Índice!$A$4:$A$1000,0)),"")</f>
        <v/>
      </c>
      <c r="C11" s="6" t="str">
        <f aca="false">IFERROR(INDEX(Catálogo!C$4:C$1000,MATCH($A$1&amp;"|"&amp;8,Índice!$A$4:$A$1000,0)),"")</f>
        <v/>
      </c>
      <c r="D11" s="6" t="str">
        <f aca="false">IFERROR(INDEX(Catálogo!D$4:D$1000,MATCH($A$1&amp;"|"&amp;8,Índice!$A$4:$A$1000,0)),"")</f>
        <v/>
      </c>
      <c r="E11" s="6" t="str">
        <f aca="false">IFERROR(INDEX(Catálogo!E$4:E$1000,MATCH($A$1&amp;"|"&amp;8,Índice!$A$4:$A$1000,0)),"")</f>
        <v/>
      </c>
      <c r="F11" s="5" t="str">
        <f aca="false">IFERROR(INDEX(Catálogo!F$4:F$1000,MATCH($A$1&amp;"|"&amp;8,Índice!$A$4:$A$1000,0)),"")</f>
        <v/>
      </c>
      <c r="G11" s="5" t="str">
        <f aca="false">IFERROR(INDEX(Catálogo!G$4:G$1000,MATCH($A$1&amp;"|"&amp;8,Índice!$A$4:$A$1000,0)),"")</f>
        <v/>
      </c>
      <c r="H11" s="5" t="str">
        <f aca="false">IFERROR(INDEX(Catálogo!H$4:H$1000,MATCH($A$1&amp;"|"&amp;8,Índice!$A$4:$A$1000,0)),"")</f>
        <v/>
      </c>
      <c r="I11" s="6" t="str">
        <f aca="false">IFERROR(INDEX(Catálogo!I$4:I$1000,MATCH($A$1&amp;"|"&amp;8,Índice!$A$4:$A$1000,0)),"")</f>
        <v/>
      </c>
      <c r="J11" s="6" t="str">
        <f aca="false">IFERROR(INDEX(Catálogo!J$4:J$1000,MATCH($A$1&amp;"|"&amp;8,Índice!$A$4:$A$1000,0)),"")</f>
        <v/>
      </c>
      <c r="K11" s="6" t="str">
        <f aca="false">IFERROR(INDEX(Catálogo!K$4:K$1000,MATCH($A$1&amp;"|"&amp;8,Índice!$A$4:$A$1000,0)),"")</f>
        <v/>
      </c>
      <c r="L11" s="6" t="str">
        <f aca="false">IFERROR(INDEX(Catálogo!L$4:L$1000,MATCH($A$1&amp;"|"&amp;8,Índice!$A$4:$A$1000,0)),"")</f>
        <v/>
      </c>
      <c r="M11" s="7" t="str">
        <f aca="false">IFERROR(INDEX(Catálogo!M$4:M$1000,MATCH($A$1&amp;"|"&amp;8,Índice!$A$4:$A$1000,0)),"")</f>
        <v/>
      </c>
    </row>
    <row r="12" customFormat="false" ht="42" hidden="false" customHeight="true" outlineLevel="0" collapsed="false">
      <c r="A12" s="5" t="str">
        <f aca="false">IFERROR(INDEX(Catálogo!A$4:A$1000,MATCH($A$1&amp;"|"&amp;9,Índice!$A$4:$A$1000,0)),"")</f>
        <v/>
      </c>
      <c r="B12" s="6" t="str">
        <f aca="false">IFERROR(INDEX(Catálogo!B$4:B$1000,MATCH($A$1&amp;"|"&amp;9,Índice!$A$4:$A$1000,0)),"")</f>
        <v/>
      </c>
      <c r="C12" s="6" t="str">
        <f aca="false">IFERROR(INDEX(Catálogo!C$4:C$1000,MATCH($A$1&amp;"|"&amp;9,Índice!$A$4:$A$1000,0)),"")</f>
        <v/>
      </c>
      <c r="D12" s="6" t="str">
        <f aca="false">IFERROR(INDEX(Catálogo!D$4:D$1000,MATCH($A$1&amp;"|"&amp;9,Índice!$A$4:$A$1000,0)),"")</f>
        <v/>
      </c>
      <c r="E12" s="6" t="str">
        <f aca="false">IFERROR(INDEX(Catálogo!E$4:E$1000,MATCH($A$1&amp;"|"&amp;9,Índice!$A$4:$A$1000,0)),"")</f>
        <v/>
      </c>
      <c r="F12" s="5" t="str">
        <f aca="false">IFERROR(INDEX(Catálogo!F$4:F$1000,MATCH($A$1&amp;"|"&amp;9,Índice!$A$4:$A$1000,0)),"")</f>
        <v/>
      </c>
      <c r="G12" s="5" t="str">
        <f aca="false">IFERROR(INDEX(Catálogo!G$4:G$1000,MATCH($A$1&amp;"|"&amp;9,Índice!$A$4:$A$1000,0)),"")</f>
        <v/>
      </c>
      <c r="H12" s="5" t="str">
        <f aca="false">IFERROR(INDEX(Catálogo!H$4:H$1000,MATCH($A$1&amp;"|"&amp;9,Índice!$A$4:$A$1000,0)),"")</f>
        <v/>
      </c>
      <c r="I12" s="6" t="str">
        <f aca="false">IFERROR(INDEX(Catálogo!I$4:I$1000,MATCH($A$1&amp;"|"&amp;9,Índice!$A$4:$A$1000,0)),"")</f>
        <v/>
      </c>
      <c r="J12" s="6" t="str">
        <f aca="false">IFERROR(INDEX(Catálogo!J$4:J$1000,MATCH($A$1&amp;"|"&amp;9,Índice!$A$4:$A$1000,0)),"")</f>
        <v/>
      </c>
      <c r="K12" s="6" t="str">
        <f aca="false">IFERROR(INDEX(Catálogo!K$4:K$1000,MATCH($A$1&amp;"|"&amp;9,Índice!$A$4:$A$1000,0)),"")</f>
        <v/>
      </c>
      <c r="L12" s="6" t="str">
        <f aca="false">IFERROR(INDEX(Catálogo!L$4:L$1000,MATCH($A$1&amp;"|"&amp;9,Índice!$A$4:$A$1000,0)),"")</f>
        <v/>
      </c>
      <c r="M12" s="7" t="str">
        <f aca="false">IFERROR(INDEX(Catálogo!M$4:M$1000,MATCH($A$1&amp;"|"&amp;9,Índice!$A$4:$A$1000,0)),"")</f>
        <v/>
      </c>
    </row>
    <row r="13" customFormat="false" ht="42" hidden="false" customHeight="true" outlineLevel="0" collapsed="false">
      <c r="A13" s="5" t="str">
        <f aca="false">IFERROR(INDEX(Catálogo!A$4:A$1000,MATCH($A$1&amp;"|"&amp;10,Índice!$A$4:$A$1000,0)),"")</f>
        <v/>
      </c>
      <c r="B13" s="6" t="str">
        <f aca="false">IFERROR(INDEX(Catálogo!B$4:B$1000,MATCH($A$1&amp;"|"&amp;10,Índice!$A$4:$A$1000,0)),"")</f>
        <v/>
      </c>
      <c r="C13" s="6" t="str">
        <f aca="false">IFERROR(INDEX(Catálogo!C$4:C$1000,MATCH($A$1&amp;"|"&amp;10,Índice!$A$4:$A$1000,0)),"")</f>
        <v/>
      </c>
      <c r="D13" s="6" t="str">
        <f aca="false">IFERROR(INDEX(Catálogo!D$4:D$1000,MATCH($A$1&amp;"|"&amp;10,Índice!$A$4:$A$1000,0)),"")</f>
        <v/>
      </c>
      <c r="E13" s="6" t="str">
        <f aca="false">IFERROR(INDEX(Catálogo!E$4:E$1000,MATCH($A$1&amp;"|"&amp;10,Índice!$A$4:$A$1000,0)),"")</f>
        <v/>
      </c>
      <c r="F13" s="5" t="str">
        <f aca="false">IFERROR(INDEX(Catálogo!F$4:F$1000,MATCH($A$1&amp;"|"&amp;10,Índice!$A$4:$A$1000,0)),"")</f>
        <v/>
      </c>
      <c r="G13" s="5" t="str">
        <f aca="false">IFERROR(INDEX(Catálogo!G$4:G$1000,MATCH($A$1&amp;"|"&amp;10,Índice!$A$4:$A$1000,0)),"")</f>
        <v/>
      </c>
      <c r="H13" s="5" t="str">
        <f aca="false">IFERROR(INDEX(Catálogo!H$4:H$1000,MATCH($A$1&amp;"|"&amp;10,Índice!$A$4:$A$1000,0)),"")</f>
        <v/>
      </c>
      <c r="I13" s="6" t="str">
        <f aca="false">IFERROR(INDEX(Catálogo!I$4:I$1000,MATCH($A$1&amp;"|"&amp;10,Índice!$A$4:$A$1000,0)),"")</f>
        <v/>
      </c>
      <c r="J13" s="6" t="str">
        <f aca="false">IFERROR(INDEX(Catálogo!J$4:J$1000,MATCH($A$1&amp;"|"&amp;10,Índice!$A$4:$A$1000,0)),"")</f>
        <v/>
      </c>
      <c r="K13" s="6" t="str">
        <f aca="false">IFERROR(INDEX(Catálogo!K$4:K$1000,MATCH($A$1&amp;"|"&amp;10,Índice!$A$4:$A$1000,0)),"")</f>
        <v/>
      </c>
      <c r="L13" s="6" t="str">
        <f aca="false">IFERROR(INDEX(Catálogo!L$4:L$1000,MATCH($A$1&amp;"|"&amp;10,Índice!$A$4:$A$1000,0)),"")</f>
        <v/>
      </c>
      <c r="M13" s="7" t="str">
        <f aca="false">IFERROR(INDEX(Catálogo!M$4:M$1000,MATCH($A$1&amp;"|"&amp;10,Índice!$A$4:$A$1000,0)),"")</f>
        <v/>
      </c>
    </row>
    <row r="14" customFormat="false" ht="42" hidden="false" customHeight="true" outlineLevel="0" collapsed="false">
      <c r="A14" s="5" t="str">
        <f aca="false">IFERROR(INDEX(Catálogo!A$4:A$1000,MATCH($A$1&amp;"|"&amp;11,Índice!$A$4:$A$1000,0)),"")</f>
        <v/>
      </c>
      <c r="B14" s="6" t="str">
        <f aca="false">IFERROR(INDEX(Catálogo!B$4:B$1000,MATCH($A$1&amp;"|"&amp;11,Índice!$A$4:$A$1000,0)),"")</f>
        <v/>
      </c>
      <c r="C14" s="6" t="str">
        <f aca="false">IFERROR(INDEX(Catálogo!C$4:C$1000,MATCH($A$1&amp;"|"&amp;11,Índice!$A$4:$A$1000,0)),"")</f>
        <v/>
      </c>
      <c r="D14" s="6" t="str">
        <f aca="false">IFERROR(INDEX(Catálogo!D$4:D$1000,MATCH($A$1&amp;"|"&amp;11,Índice!$A$4:$A$1000,0)),"")</f>
        <v/>
      </c>
      <c r="E14" s="6" t="str">
        <f aca="false">IFERROR(INDEX(Catálogo!E$4:E$1000,MATCH($A$1&amp;"|"&amp;11,Índice!$A$4:$A$1000,0)),"")</f>
        <v/>
      </c>
      <c r="F14" s="5" t="str">
        <f aca="false">IFERROR(INDEX(Catálogo!F$4:F$1000,MATCH($A$1&amp;"|"&amp;11,Índice!$A$4:$A$1000,0)),"")</f>
        <v/>
      </c>
      <c r="G14" s="5" t="str">
        <f aca="false">IFERROR(INDEX(Catálogo!G$4:G$1000,MATCH($A$1&amp;"|"&amp;11,Índice!$A$4:$A$1000,0)),"")</f>
        <v/>
      </c>
      <c r="H14" s="5" t="str">
        <f aca="false">IFERROR(INDEX(Catálogo!H$4:H$1000,MATCH($A$1&amp;"|"&amp;11,Índice!$A$4:$A$1000,0)),"")</f>
        <v/>
      </c>
      <c r="I14" s="6" t="str">
        <f aca="false">IFERROR(INDEX(Catálogo!I$4:I$1000,MATCH($A$1&amp;"|"&amp;11,Índice!$A$4:$A$1000,0)),"")</f>
        <v/>
      </c>
      <c r="J14" s="6" t="str">
        <f aca="false">IFERROR(INDEX(Catálogo!J$4:J$1000,MATCH($A$1&amp;"|"&amp;11,Índice!$A$4:$A$1000,0)),"")</f>
        <v/>
      </c>
      <c r="K14" s="6" t="str">
        <f aca="false">IFERROR(INDEX(Catálogo!K$4:K$1000,MATCH($A$1&amp;"|"&amp;11,Índice!$A$4:$A$1000,0)),"")</f>
        <v/>
      </c>
      <c r="L14" s="6" t="str">
        <f aca="false">IFERROR(INDEX(Catálogo!L$4:L$1000,MATCH($A$1&amp;"|"&amp;11,Índice!$A$4:$A$1000,0)),"")</f>
        <v/>
      </c>
      <c r="M14" s="7" t="str">
        <f aca="false">IFERROR(INDEX(Catálogo!M$4:M$1000,MATCH($A$1&amp;"|"&amp;11,Índice!$A$4:$A$1000,0)),"")</f>
        <v/>
      </c>
    </row>
    <row r="15" customFormat="false" ht="42" hidden="false" customHeight="true" outlineLevel="0" collapsed="false">
      <c r="A15" s="5" t="str">
        <f aca="false">IFERROR(INDEX(Catálogo!A$4:A$1000,MATCH($A$1&amp;"|"&amp;12,Índice!$A$4:$A$1000,0)),"")</f>
        <v/>
      </c>
      <c r="B15" s="6" t="str">
        <f aca="false">IFERROR(INDEX(Catálogo!B$4:B$1000,MATCH($A$1&amp;"|"&amp;12,Índice!$A$4:$A$1000,0)),"")</f>
        <v/>
      </c>
      <c r="C15" s="6" t="str">
        <f aca="false">IFERROR(INDEX(Catálogo!C$4:C$1000,MATCH($A$1&amp;"|"&amp;12,Índice!$A$4:$A$1000,0)),"")</f>
        <v/>
      </c>
      <c r="D15" s="6" t="str">
        <f aca="false">IFERROR(INDEX(Catálogo!D$4:D$1000,MATCH($A$1&amp;"|"&amp;12,Índice!$A$4:$A$1000,0)),"")</f>
        <v/>
      </c>
      <c r="E15" s="6" t="str">
        <f aca="false">IFERROR(INDEX(Catálogo!E$4:E$1000,MATCH($A$1&amp;"|"&amp;12,Índice!$A$4:$A$1000,0)),"")</f>
        <v/>
      </c>
      <c r="F15" s="5" t="str">
        <f aca="false">IFERROR(INDEX(Catálogo!F$4:F$1000,MATCH($A$1&amp;"|"&amp;12,Índice!$A$4:$A$1000,0)),"")</f>
        <v/>
      </c>
      <c r="G15" s="5" t="str">
        <f aca="false">IFERROR(INDEX(Catálogo!G$4:G$1000,MATCH($A$1&amp;"|"&amp;12,Índice!$A$4:$A$1000,0)),"")</f>
        <v/>
      </c>
      <c r="H15" s="5" t="str">
        <f aca="false">IFERROR(INDEX(Catálogo!H$4:H$1000,MATCH($A$1&amp;"|"&amp;12,Índice!$A$4:$A$1000,0)),"")</f>
        <v/>
      </c>
      <c r="I15" s="6" t="str">
        <f aca="false">IFERROR(INDEX(Catálogo!I$4:I$1000,MATCH($A$1&amp;"|"&amp;12,Índice!$A$4:$A$1000,0)),"")</f>
        <v/>
      </c>
      <c r="J15" s="6" t="str">
        <f aca="false">IFERROR(INDEX(Catálogo!J$4:J$1000,MATCH($A$1&amp;"|"&amp;12,Índice!$A$4:$A$1000,0)),"")</f>
        <v/>
      </c>
      <c r="K15" s="6" t="str">
        <f aca="false">IFERROR(INDEX(Catálogo!K$4:K$1000,MATCH($A$1&amp;"|"&amp;12,Índice!$A$4:$A$1000,0)),"")</f>
        <v/>
      </c>
      <c r="L15" s="6" t="str">
        <f aca="false">IFERROR(INDEX(Catálogo!L$4:L$1000,MATCH($A$1&amp;"|"&amp;12,Índice!$A$4:$A$1000,0)),"")</f>
        <v/>
      </c>
      <c r="M15" s="7" t="str">
        <f aca="false">IFERROR(INDEX(Catálogo!M$4:M$1000,MATCH($A$1&amp;"|"&amp;12,Índice!$A$4:$A$1000,0)),"")</f>
        <v/>
      </c>
    </row>
    <row r="16" customFormat="false" ht="42" hidden="false" customHeight="true" outlineLevel="0" collapsed="false">
      <c r="A16" s="5" t="str">
        <f aca="false">IFERROR(INDEX(Catálogo!A$4:A$1000,MATCH($A$1&amp;"|"&amp;13,Índice!$A$4:$A$1000,0)),"")</f>
        <v/>
      </c>
      <c r="B16" s="6" t="str">
        <f aca="false">IFERROR(INDEX(Catálogo!B$4:B$1000,MATCH($A$1&amp;"|"&amp;13,Índice!$A$4:$A$1000,0)),"")</f>
        <v/>
      </c>
      <c r="C16" s="6" t="str">
        <f aca="false">IFERROR(INDEX(Catálogo!C$4:C$1000,MATCH($A$1&amp;"|"&amp;13,Índice!$A$4:$A$1000,0)),"")</f>
        <v/>
      </c>
      <c r="D16" s="6" t="str">
        <f aca="false">IFERROR(INDEX(Catálogo!D$4:D$1000,MATCH($A$1&amp;"|"&amp;13,Índice!$A$4:$A$1000,0)),"")</f>
        <v/>
      </c>
      <c r="E16" s="6" t="str">
        <f aca="false">IFERROR(INDEX(Catálogo!E$4:E$1000,MATCH($A$1&amp;"|"&amp;13,Índice!$A$4:$A$1000,0)),"")</f>
        <v/>
      </c>
      <c r="F16" s="5" t="str">
        <f aca="false">IFERROR(INDEX(Catálogo!F$4:F$1000,MATCH($A$1&amp;"|"&amp;13,Índice!$A$4:$A$1000,0)),"")</f>
        <v/>
      </c>
      <c r="G16" s="5" t="str">
        <f aca="false">IFERROR(INDEX(Catálogo!G$4:G$1000,MATCH($A$1&amp;"|"&amp;13,Índice!$A$4:$A$1000,0)),"")</f>
        <v/>
      </c>
      <c r="H16" s="5" t="str">
        <f aca="false">IFERROR(INDEX(Catálogo!H$4:H$1000,MATCH($A$1&amp;"|"&amp;13,Índice!$A$4:$A$1000,0)),"")</f>
        <v/>
      </c>
      <c r="I16" s="6" t="str">
        <f aca="false">IFERROR(INDEX(Catálogo!I$4:I$1000,MATCH($A$1&amp;"|"&amp;13,Índice!$A$4:$A$1000,0)),"")</f>
        <v/>
      </c>
      <c r="J16" s="6" t="str">
        <f aca="false">IFERROR(INDEX(Catálogo!J$4:J$1000,MATCH($A$1&amp;"|"&amp;13,Índice!$A$4:$A$1000,0)),"")</f>
        <v/>
      </c>
      <c r="K16" s="6" t="str">
        <f aca="false">IFERROR(INDEX(Catálogo!K$4:K$1000,MATCH($A$1&amp;"|"&amp;13,Índice!$A$4:$A$1000,0)),"")</f>
        <v/>
      </c>
      <c r="L16" s="6" t="str">
        <f aca="false">IFERROR(INDEX(Catálogo!L$4:L$1000,MATCH($A$1&amp;"|"&amp;13,Índice!$A$4:$A$1000,0)),"")</f>
        <v/>
      </c>
      <c r="M16" s="7" t="str">
        <f aca="false">IFERROR(INDEX(Catálogo!M$4:M$1000,MATCH($A$1&amp;"|"&amp;13,Índice!$A$4:$A$1000,0)),"")</f>
        <v/>
      </c>
    </row>
    <row r="17" customFormat="false" ht="42" hidden="false" customHeight="true" outlineLevel="0" collapsed="false">
      <c r="A17" s="5" t="str">
        <f aca="false">IFERROR(INDEX(Catálogo!A$4:A$1000,MATCH($A$1&amp;"|"&amp;14,Índice!$A$4:$A$1000,0)),"")</f>
        <v/>
      </c>
      <c r="B17" s="6" t="str">
        <f aca="false">IFERROR(INDEX(Catálogo!B$4:B$1000,MATCH($A$1&amp;"|"&amp;14,Índice!$A$4:$A$1000,0)),"")</f>
        <v/>
      </c>
      <c r="C17" s="6" t="str">
        <f aca="false">IFERROR(INDEX(Catálogo!C$4:C$1000,MATCH($A$1&amp;"|"&amp;14,Índice!$A$4:$A$1000,0)),"")</f>
        <v/>
      </c>
      <c r="D17" s="6" t="str">
        <f aca="false">IFERROR(INDEX(Catálogo!D$4:D$1000,MATCH($A$1&amp;"|"&amp;14,Índice!$A$4:$A$1000,0)),"")</f>
        <v/>
      </c>
      <c r="E17" s="6" t="str">
        <f aca="false">IFERROR(INDEX(Catálogo!E$4:E$1000,MATCH($A$1&amp;"|"&amp;14,Índice!$A$4:$A$1000,0)),"")</f>
        <v/>
      </c>
      <c r="F17" s="5" t="str">
        <f aca="false">IFERROR(INDEX(Catálogo!F$4:F$1000,MATCH($A$1&amp;"|"&amp;14,Índice!$A$4:$A$1000,0)),"")</f>
        <v/>
      </c>
      <c r="G17" s="5" t="str">
        <f aca="false">IFERROR(INDEX(Catálogo!G$4:G$1000,MATCH($A$1&amp;"|"&amp;14,Índice!$A$4:$A$1000,0)),"")</f>
        <v/>
      </c>
      <c r="H17" s="5" t="str">
        <f aca="false">IFERROR(INDEX(Catálogo!H$4:H$1000,MATCH($A$1&amp;"|"&amp;14,Índice!$A$4:$A$1000,0)),"")</f>
        <v/>
      </c>
      <c r="I17" s="6" t="str">
        <f aca="false">IFERROR(INDEX(Catálogo!I$4:I$1000,MATCH($A$1&amp;"|"&amp;14,Índice!$A$4:$A$1000,0)),"")</f>
        <v/>
      </c>
      <c r="J17" s="6" t="str">
        <f aca="false">IFERROR(INDEX(Catálogo!J$4:J$1000,MATCH($A$1&amp;"|"&amp;14,Índice!$A$4:$A$1000,0)),"")</f>
        <v/>
      </c>
      <c r="K17" s="6" t="str">
        <f aca="false">IFERROR(INDEX(Catálogo!K$4:K$1000,MATCH($A$1&amp;"|"&amp;14,Índice!$A$4:$A$1000,0)),"")</f>
        <v/>
      </c>
      <c r="L17" s="6" t="str">
        <f aca="false">IFERROR(INDEX(Catálogo!L$4:L$1000,MATCH($A$1&amp;"|"&amp;14,Índice!$A$4:$A$1000,0)),"")</f>
        <v/>
      </c>
      <c r="M17" s="7" t="str">
        <f aca="false">IFERROR(INDEX(Catálogo!M$4:M$1000,MATCH($A$1&amp;"|"&amp;14,Índice!$A$4:$A$1000,0)),"")</f>
        <v/>
      </c>
    </row>
  </sheetData>
  <autoFilter ref="A3:M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115</v>
      </c>
      <c r="I1" s="17" t="str">
        <f aca="false">COUNTIF(Catálogo!$C$4:$C$1000,$A$1)&amp;IF(COUNTIF(Catálogo!$C$4:$C$1000,$A$1)=1," instrumento nesta área"," instrumentos nesta área")</f>
        <v>5 instrumentos nesta área</v>
      </c>
    </row>
    <row r="2" customFormat="false" ht="15" hidden="false" customHeight="true" outlineLevel="0" collapsed="false">
      <c r="A2" s="18" t="s">
        <v>1488</v>
      </c>
      <c r="I2" s="19" t="str">
        <f aca="false">IF(COUNTIF(Catálogo!$C$4:$C$1000,$A$1)&gt;13,"⚠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15</v>
      </c>
      <c r="B4" s="6" t="str">
        <f aca="false">IFERROR(INDEX(Catálogo!B$4:B$1000,MATCH($A$1&amp;"|"&amp;1,Índice!$A$4:$A$1000,0)),"")</f>
        <v>BAS-3 — Bateria de Socialização</v>
      </c>
      <c r="C4" s="6" t="str">
        <f aca="false">IFERROR(INDEX(Catálogo!C$4:C$1000,MATCH($A$1&amp;"|"&amp;1,Índice!$A$4:$A$1000,0)),"")</f>
        <v>Competências Sociais &amp; Assertividade</v>
      </c>
      <c r="D4" s="6" t="str">
        <f aca="false">IFERROR(INDEX(Catálogo!D$4:D$1000,MATCH($A$1&amp;"|"&amp;1,Índice!$A$4:$A$1000,0)),"")</f>
        <v>Paciente</v>
      </c>
      <c r="E4" s="6" t="str">
        <f aca="false">IFERROR(INDEX(Catálogo!E$4:E$1000,MATCH($A$1&amp;"|"&amp;1,Índice!$A$4:$A$1000,0)),"")</f>
        <v>11–18 anos</v>
      </c>
      <c r="F4" s="5" t="n">
        <f aca="false">IFERROR(INDEX(Catálogo!F$4:F$1000,MATCH($A$1&amp;"|"&amp;1,Índice!$A$4:$A$1000,0)),"")</f>
        <v>11</v>
      </c>
      <c r="G4" s="5" t="n">
        <f aca="false">IFERROR(INDEX(Catálogo!G$4:G$1000,MATCH($A$1&amp;"|"&amp;1,Índice!$A$4:$A$1000,0)),"")</f>
        <v>17.9</v>
      </c>
      <c r="H4" s="5" t="n">
        <f aca="false">IFERROR(INDEX(Catálogo!H$4:H$1000,MATCH($A$1&amp;"|"&amp;1,Índice!$A$4:$A$1000,0)),"")</f>
        <v>6</v>
      </c>
      <c r="I4" s="6" t="str">
        <f aca="false">IFERROR(INDEX(Catálogo!I$4:I$1000,MATCH($A$1&amp;"|"&amp;1,Índice!$A$4:$A$1000,0)),"")</f>
        <v>Avaliar competências sociais — auto-avaliação (Silva Moreno &amp; Martorell Pallás, 1989/1995; adapt. CEGOC-TEA, 2005)</v>
      </c>
      <c r="J4" s="6" t="str">
        <f aca="false">IFERROR(INDEX(Catálogo!J$4:J$1000,MATCH($A$1&amp;"|"&amp;1,Índice!$A$4:$A$1000,0)),"")</f>
        <v>Consideração pelos outros (Co); Auto-controlo nas relações sociais (Ac); Isolamento social (Is); Ansiedade social/Timidez (At); Liderança (Li); Sinceridade (S)</v>
      </c>
      <c r="K4" s="6" t="str">
        <f aca="false">IFERROR(INDEX(Catálogo!K$4:K$1000,MATCH($A$1&amp;"|"&amp;1,Índice!$A$4:$A$1000,0)),"")</f>
        <v>bas3</v>
      </c>
      <c r="L4" s="6" t="str">
        <f aca="false">IFERROR(INDEX(Catálogo!L$4:L$1000,MATCH($A$1&amp;"|"&amp;1,Índice!$A$4:$A$1000,0)),"")</f>
        <v>q_bas3</v>
      </c>
      <c r="M4" s="7" t="str">
        <f aca="false">IFERROR(INDEX(Catálogo!M$4:M$1000,MATCH($A$1&amp;"|"&amp;1,Índice!$A$4:$A$1000,0)),"")</f>
        <v>https://correiaricardina-ui.github.io/questionarios/BAS3_v1.html</v>
      </c>
    </row>
    <row r="5" customFormat="false" ht="42" hidden="false" customHeight="true" outlineLevel="0" collapsed="false">
      <c r="A5" s="5" t="n">
        <f aca="false">IFERROR(INDEX(Catálogo!A$4:A$1000,MATCH($A$1&amp;"|"&amp;2,Índice!$A$4:$A$1000,0)),"")</f>
        <v>23</v>
      </c>
      <c r="B5" s="6" t="str">
        <f aca="false">IFERROR(INDEX(Catálogo!B$4:B$1000,MATCH($A$1&amp;"|"&amp;2,Índice!$A$4:$A$1000,0)),"")</f>
        <v>CABS — Comportamento Assertivo (Autorrelato)</v>
      </c>
      <c r="C5" s="6" t="str">
        <f aca="false">IFERROR(INDEX(Catálogo!C$4:C$1000,MATCH($A$1&amp;"|"&amp;2,Índice!$A$4:$A$1000,0)),"")</f>
        <v>Competências Sociais &amp; Assertividade</v>
      </c>
      <c r="D5" s="6" t="str">
        <f aca="false">IFERROR(INDEX(Catálogo!D$4:D$1000,MATCH($A$1&amp;"|"&amp;2,Índice!$A$4:$A$1000,0)),"")</f>
        <v>Filho(a)</v>
      </c>
      <c r="E5" s="6" t="str">
        <f aca="false">IFERROR(INDEX(Catálogo!E$4:E$1000,MATCH($A$1&amp;"|"&amp;2,Índice!$A$4:$A$1000,0)),"")</f>
        <v>8–18 anos</v>
      </c>
      <c r="F5" s="5" t="n">
        <f aca="false">IFERROR(INDEX(Catálogo!F$4:F$1000,MATCH($A$1&amp;"|"&amp;2,Índice!$A$4:$A$1000,0)),"")</f>
        <v>0.7</v>
      </c>
      <c r="G5" s="5" t="n">
        <f aca="false">IFERROR(INDEX(Catálogo!G$4:G$1000,MATCH($A$1&amp;"|"&amp;2,Índice!$A$4:$A$1000,0)),"")</f>
        <v>1.5</v>
      </c>
      <c r="H5" s="5" t="n">
        <f aca="false">IFERROR(INDEX(Catálogo!H$4:H$1000,MATCH($A$1&amp;"|"&amp;2,Índice!$A$4:$A$1000,0)),"")</f>
        <v>4</v>
      </c>
      <c r="I5" s="6" t="str">
        <f aca="false">IFERROR(INDEX(Catálogo!I$4:I$1000,MATCH($A$1&amp;"|"&amp;2,Índice!$A$4:$A$1000,0)),"")</f>
        <v>Avaliar o estilo de resposta social da criança/jovem (assertivo, passivo, agressivo) em 27 situações interpessoais com 5 opções de resposta cada (autorrelato). Cotação por opção (−2 muito passiva a +2 muito agressiva): Score Total de Não Assertividade (0–54), Perfil Passivo, Perfil Agressivo e n.º de respostas assertivas. Faixas criteriais do ficheiro de cotação — sem normas portuguesas estandardizadas.</v>
      </c>
      <c r="J5" s="6" t="str">
        <f aca="false">IFERROR(INDEX(Catálogo!J$4:J$1000,MATCH($A$1&amp;"|"&amp;2,Índice!$A$4:$A$1000,0)),"")</f>
        <v>Perfil Passivo; Perfil Agressivo; Score Total de Não Assertividade; Respostas Assertivas</v>
      </c>
      <c r="K5" s="6" t="str">
        <f aca="false">IFERROR(INDEX(Catálogo!K$4:K$1000,MATCH($A$1&amp;"|"&amp;2,Índice!$A$4:$A$1000,0)),"")</f>
        <v>cabs_auto</v>
      </c>
      <c r="L5" s="6" t="str">
        <f aca="false">IFERROR(INDEX(Catálogo!L$4:L$1000,MATCH($A$1&amp;"|"&amp;2,Índice!$A$4:$A$1000,0)),"")</f>
        <v>q_cabs_auto</v>
      </c>
      <c r="M5" s="7" t="str">
        <f aca="false">IFERROR(INDEX(Catálogo!M$4:M$1000,MATCH($A$1&amp;"|"&amp;2,Índice!$A$4:$A$1000,0)),"")</f>
        <v>https://correiaricardina-ui.github.io/questionarios/CABS_Autorrelato.html</v>
      </c>
    </row>
    <row r="6" customFormat="false" ht="42" hidden="false" customHeight="true" outlineLevel="0" collapsed="false">
      <c r="A6" s="5" t="n">
        <f aca="false">IFERROR(INDEX(Catálogo!A$4:A$1000,MATCH($A$1&amp;"|"&amp;3,Índice!$A$4:$A$1000,0)),"")</f>
        <v>24</v>
      </c>
      <c r="B6" s="6" t="str">
        <f aca="false">IFERROR(INDEX(Catálogo!B$4:B$1000,MATCH($A$1&amp;"|"&amp;3,Índice!$A$4:$A$1000,0)),"")</f>
        <v>CABS — Comportamento Assertivo (Heterorrelato)</v>
      </c>
      <c r="C6" s="6" t="str">
        <f aca="false">IFERROR(INDEX(Catálogo!C$4:C$1000,MATCH($A$1&amp;"|"&amp;3,Índice!$A$4:$A$1000,0)),"")</f>
        <v>Competências Sociais &amp; Assertividade</v>
      </c>
      <c r="D6" s="6" t="str">
        <f aca="false">IFERROR(INDEX(Catálogo!D$4:D$1000,MATCH($A$1&amp;"|"&amp;3,Índice!$A$4:$A$1000,0)),"")</f>
        <v>Mãe, Pai, Enc. Educação</v>
      </c>
      <c r="E6" s="6" t="str">
        <f aca="false">IFERROR(INDEX(Catálogo!E$4:E$1000,MATCH($A$1&amp;"|"&amp;3,Índice!$A$4:$A$1000,0)),"")</f>
        <v>4–18 anos</v>
      </c>
      <c r="F6" s="5" t="n">
        <f aca="false">IFERROR(INDEX(Catálogo!F$4:F$1000,MATCH($A$1&amp;"|"&amp;3,Índice!$A$4:$A$1000,0)),"")</f>
        <v>0.3</v>
      </c>
      <c r="G6" s="5" t="n">
        <f aca="false">IFERROR(INDEX(Catálogo!G$4:G$1000,MATCH($A$1&amp;"|"&amp;3,Índice!$A$4:$A$1000,0)),"")</f>
        <v>1.5</v>
      </c>
      <c r="H6" s="5" t="n">
        <f aca="false">IFERROR(INDEX(Catálogo!H$4:H$1000,MATCH($A$1&amp;"|"&amp;3,Índice!$A$4:$A$1000,0)),"")</f>
        <v>4</v>
      </c>
      <c r="I6" s="6" t="str">
        <f aca="false">IFERROR(INDEX(Catálogo!I$4:I$1000,MATCH($A$1&amp;"|"&amp;3,Índice!$A$4:$A$1000,0)),"")</f>
        <v>Avaliar o estilo de resposta social da criança (assertivo, passivo, agressivo) na perspetiva dos pais/encarregados de educação, em 27 situações interpessoais com 5 opções de resposta cada. Cotação por opção (−2 muito passiva a +2 muito agressiva): Score Total de Não Assertividade (0–54), Perfil Passivo, Perfil Agressivo e n.º de respostas assertivas. Faixas criteriais do ficheiro de cotação — sem normas portuguesas estandardizadas.</v>
      </c>
      <c r="J6" s="6" t="str">
        <f aca="false">IFERROR(INDEX(Catálogo!J$4:J$1000,MATCH($A$1&amp;"|"&amp;3,Índice!$A$4:$A$1000,0)),"")</f>
        <v>Perfil Passivo; Perfil Agressivo; Score Total de Não Assertividade; Respostas Assertivas</v>
      </c>
      <c r="K6" s="6" t="str">
        <f aca="false">IFERROR(INDEX(Catálogo!K$4:K$1000,MATCH($A$1&amp;"|"&amp;3,Índice!$A$4:$A$1000,0)),"")</f>
        <v>cabs_hetero</v>
      </c>
      <c r="L6" s="6" t="str">
        <f aca="false">IFERROR(INDEX(Catálogo!L$4:L$1000,MATCH($A$1&amp;"|"&amp;3,Índice!$A$4:$A$1000,0)),"")</f>
        <v>q_cabs_hetero</v>
      </c>
      <c r="M6" s="7" t="str">
        <f aca="false">IFERROR(INDEX(Catálogo!M$4:M$1000,MATCH($A$1&amp;"|"&amp;3,Índice!$A$4:$A$1000,0)),"")</f>
        <v>https://correiaricardina-ui.github.io/questionarios/CABS_Heterorrelato.html</v>
      </c>
    </row>
    <row r="7" customFormat="false" ht="42" hidden="false" customHeight="true" outlineLevel="0" collapsed="false">
      <c r="A7" s="5" t="n">
        <f aca="false">IFERROR(INDEX(Catálogo!A$4:A$1000,MATCH($A$1&amp;"|"&amp;4,Índice!$A$4:$A$1000,0)),"")</f>
        <v>118</v>
      </c>
      <c r="B7" s="6" t="str">
        <f aca="false">IFERROR(INDEX(Catálogo!B$4:B$1000,MATCH($A$1&amp;"|"&amp;4,Índice!$A$4:$A$1000,0)),"")</f>
        <v>QACSE-C — Competências Socioemocionais (Complementar à BAS-3)</v>
      </c>
      <c r="C7" s="6" t="str">
        <f aca="false">IFERROR(INDEX(Catálogo!C$4:C$1000,MATCH($A$1&amp;"|"&amp;4,Índice!$A$4:$A$1000,0)),"")</f>
        <v>Competências Sociais &amp; Assertividade</v>
      </c>
      <c r="D7" s="6" t="str">
        <f aca="false">IFERROR(INDEX(Catálogo!D$4:D$1000,MATCH($A$1&amp;"|"&amp;4,Índice!$A$4:$A$1000,0)),"")</f>
        <v>Paciente</v>
      </c>
      <c r="E7" s="6" t="str">
        <f aca="false">IFERROR(INDEX(Catálogo!E$4:E$1000,MATCH($A$1&amp;"|"&amp;4,Índice!$A$4:$A$1000,0)),"")</f>
        <v>10–17 anos</v>
      </c>
      <c r="F7" s="5" t="n">
        <f aca="false">IFERROR(INDEX(Catálogo!F$4:F$1000,MATCH($A$1&amp;"|"&amp;4,Índice!$A$4:$A$1000,0)),"")</f>
        <v>10</v>
      </c>
      <c r="G7" s="5" t="n">
        <f aca="false">IFERROR(INDEX(Catálogo!G$4:G$1000,MATCH($A$1&amp;"|"&amp;4,Índice!$A$4:$A$1000,0)),"")</f>
        <v>17.9</v>
      </c>
      <c r="H7" s="5" t="n">
        <f aca="false">IFERROR(INDEX(Catálogo!H$4:H$1000,MATCH($A$1&amp;"|"&amp;4,Índice!$A$4:$A$1000,0)),"")</f>
        <v>5</v>
      </c>
      <c r="I7" s="6" t="str">
        <f aca="false">IFERROR(INDEX(Catálogo!I$4:I$1000,MATCH($A$1&amp;"|"&amp;4,Índice!$A$4:$A$1000,0)),"")</f>
        <v>Cobrir as cinco dimensões CASEL ausentes da BAS-3 — auto-relato, complementar (Coelho &amp; Sousa, 2016)</v>
      </c>
      <c r="J7" s="6" t="str">
        <f aca="false">IFERROR(INDEX(Catálogo!J$4:J$1000,MATCH($A$1&amp;"|"&amp;4,Índice!$A$4:$A$1000,0)),"")</f>
        <v>Autoconsciência Emocional (ACE); Regulação Emocional (RE); Tomada de Perspetiva (TP); Resolução Assertiva de Conflitos (RAC); Tomada de Decisão Responsável (TDR)</v>
      </c>
      <c r="K7" s="6" t="str">
        <f aca="false">IFERROR(INDEX(Catálogo!K$4:K$1000,MATCH($A$1&amp;"|"&amp;4,Índice!$A$4:$A$1000,0)),"")</f>
        <v>qacse_c</v>
      </c>
      <c r="L7" s="6" t="str">
        <f aca="false">IFERROR(INDEX(Catálogo!L$4:L$1000,MATCH($A$1&amp;"|"&amp;4,Índice!$A$4:$A$1000,0)),"")</f>
        <v>q_qacse_c</v>
      </c>
      <c r="M7" s="7" t="str">
        <f aca="false">IFERROR(INDEX(Catálogo!M$4:M$1000,MATCH($A$1&amp;"|"&amp;4,Índice!$A$4:$A$1000,0)),"")</f>
        <v>https://correiaricardina-ui.github.io/questionarios/QACSE_C_v1.html</v>
      </c>
    </row>
    <row r="8" customFormat="false" ht="42" hidden="false" customHeight="true" outlineLevel="0" collapsed="false">
      <c r="A8" s="5" t="n">
        <f aca="false">IFERROR(INDEX(Catálogo!A$4:A$1000,MATCH($A$1&amp;"|"&amp;5,Índice!$A$4:$A$1000,0)),"")</f>
        <v>119</v>
      </c>
      <c r="B8" s="6" t="str">
        <f aca="false">IFERROR(INDEX(Catálogo!B$4:B$1000,MATCH($A$1&amp;"|"&amp;5,Índice!$A$4:$A$1000,0)),"")</f>
        <v>QACSE-R — Competências Socioemocionais (reduzida)</v>
      </c>
      <c r="C8" s="6" t="str">
        <f aca="false">IFERROR(INDEX(Catálogo!C$4:C$1000,MATCH($A$1&amp;"|"&amp;5,Índice!$A$4:$A$1000,0)),"")</f>
        <v>Competências Sociais &amp; Assertividade</v>
      </c>
      <c r="D8" s="6" t="str">
        <f aca="false">IFERROR(INDEX(Catálogo!D$4:D$1000,MATCH($A$1&amp;"|"&amp;5,Índice!$A$4:$A$1000,0)),"")</f>
        <v>Paciente</v>
      </c>
      <c r="E8" s="6" t="str">
        <f aca="false">IFERROR(INDEX(Catálogo!E$4:E$1000,MATCH($A$1&amp;"|"&amp;5,Índice!$A$4:$A$1000,0)),"")</f>
        <v>10–16 anos</v>
      </c>
      <c r="F8" s="5" t="n">
        <f aca="false">IFERROR(INDEX(Catálogo!F$4:F$1000,MATCH($A$1&amp;"|"&amp;5,Índice!$A$4:$A$1000,0)),"")</f>
        <v>10</v>
      </c>
      <c r="G8" s="5" t="n">
        <f aca="false">IFERROR(INDEX(Catálogo!G$4:G$1000,MATCH($A$1&amp;"|"&amp;5,Índice!$A$4:$A$1000,0)),"")</f>
        <v>15.9</v>
      </c>
      <c r="H8" s="5" t="n">
        <f aca="false">IFERROR(INDEX(Catálogo!H$4:H$1000,MATCH($A$1&amp;"|"&amp;5,Índice!$A$4:$A$1000,0)),"")</f>
        <v>4</v>
      </c>
      <c r="I8" s="6" t="str">
        <f aca="false">IFERROR(INDEX(Catálogo!I$4:I$1000,MATCH($A$1&amp;"|"&amp;5,Índice!$A$4:$A$1000,0)),"")</f>
        <v>Avaliar competências socioemocionais — auto-relato, versão reduzida (Coelho &amp; Sousa, 2020)</v>
      </c>
      <c r="J8" s="6" t="str">
        <f aca="false">IFERROR(INDEX(Catálogo!J$4:J$1000,MATCH($A$1&amp;"|"&amp;5,Índice!$A$4:$A$1000,0)),"")</f>
        <v>Autocontrolo (AC); Competências Relacionais (CR); Isolamento Social (IS); Ansiedade Social (AS)</v>
      </c>
      <c r="K8" s="6" t="str">
        <f aca="false">IFERROR(INDEX(Catálogo!K$4:K$1000,MATCH($A$1&amp;"|"&amp;5,Índice!$A$4:$A$1000,0)),"")</f>
        <v>qacse_r</v>
      </c>
      <c r="L8" s="6" t="str">
        <f aca="false">IFERROR(INDEX(Catálogo!L$4:L$1000,MATCH($A$1&amp;"|"&amp;5,Índice!$A$4:$A$1000,0)),"")</f>
        <v>q_qacse_r</v>
      </c>
      <c r="M8" s="7" t="str">
        <f aca="false">IFERROR(INDEX(Catálogo!M$4:M$1000,MATCH($A$1&amp;"|"&amp;5,Índice!$A$4:$A$1000,0)),"")</f>
        <v>https://correiaricardina-ui.github.io/questionarios/QACSE_R_v1.html</v>
      </c>
    </row>
    <row r="9" customFormat="false" ht="42" hidden="false" customHeight="true" outlineLevel="0" collapsed="false">
      <c r="A9" s="5" t="str">
        <f aca="false">IFERROR(INDEX(Catálogo!A$4:A$1000,MATCH($A$1&amp;"|"&amp;6,Índice!$A$4:$A$1000,0)),"")</f>
        <v/>
      </c>
      <c r="B9" s="6" t="str">
        <f aca="false">IFERROR(INDEX(Catálogo!B$4:B$1000,MATCH($A$1&amp;"|"&amp;6,Índice!$A$4:$A$1000,0)),"")</f>
        <v/>
      </c>
      <c r="C9" s="6" t="str">
        <f aca="false">IFERROR(INDEX(Catálogo!C$4:C$1000,MATCH($A$1&amp;"|"&amp;6,Índice!$A$4:$A$1000,0)),"")</f>
        <v/>
      </c>
      <c r="D9" s="6" t="str">
        <f aca="false">IFERROR(INDEX(Catálogo!D$4:D$1000,MATCH($A$1&amp;"|"&amp;6,Índice!$A$4:$A$1000,0)),"")</f>
        <v/>
      </c>
      <c r="E9" s="6" t="str">
        <f aca="false">IFERROR(INDEX(Catálogo!E$4:E$1000,MATCH($A$1&amp;"|"&amp;6,Índice!$A$4:$A$1000,0)),"")</f>
        <v/>
      </c>
      <c r="F9" s="5" t="str">
        <f aca="false">IFERROR(INDEX(Catálogo!F$4:F$1000,MATCH($A$1&amp;"|"&amp;6,Índice!$A$4:$A$1000,0)),"")</f>
        <v/>
      </c>
      <c r="G9" s="5" t="str">
        <f aca="false">IFERROR(INDEX(Catálogo!G$4:G$1000,MATCH($A$1&amp;"|"&amp;6,Índice!$A$4:$A$1000,0)),"")</f>
        <v/>
      </c>
      <c r="H9" s="5" t="str">
        <f aca="false">IFERROR(INDEX(Catálogo!H$4:H$1000,MATCH($A$1&amp;"|"&amp;6,Índice!$A$4:$A$1000,0)),"")</f>
        <v/>
      </c>
      <c r="I9" s="6" t="str">
        <f aca="false">IFERROR(INDEX(Catálogo!I$4:I$1000,MATCH($A$1&amp;"|"&amp;6,Índice!$A$4:$A$1000,0)),"")</f>
        <v/>
      </c>
      <c r="J9" s="6" t="str">
        <f aca="false">IFERROR(INDEX(Catálogo!J$4:J$1000,MATCH($A$1&amp;"|"&amp;6,Índice!$A$4:$A$1000,0)),"")</f>
        <v/>
      </c>
      <c r="K9" s="6" t="str">
        <f aca="false">IFERROR(INDEX(Catálogo!K$4:K$1000,MATCH($A$1&amp;"|"&amp;6,Índice!$A$4:$A$1000,0)),"")</f>
        <v/>
      </c>
      <c r="L9" s="6" t="str">
        <f aca="false">IFERROR(INDEX(Catálogo!L$4:L$1000,MATCH($A$1&amp;"|"&amp;6,Índice!$A$4:$A$1000,0)),"")</f>
        <v/>
      </c>
      <c r="M9" s="7" t="str">
        <f aca="false">IFERROR(INDEX(Catálogo!M$4:M$1000,MATCH($A$1&amp;"|"&amp;6,Índice!$A$4:$A$1000,0)),"")</f>
        <v/>
      </c>
    </row>
    <row r="10" customFormat="false" ht="42" hidden="false" customHeight="true" outlineLevel="0" collapsed="false">
      <c r="A10" s="5" t="str">
        <f aca="false">IFERROR(INDEX(Catálogo!A$4:A$1000,MATCH($A$1&amp;"|"&amp;7,Índice!$A$4:$A$1000,0)),"")</f>
        <v/>
      </c>
      <c r="B10" s="6" t="str">
        <f aca="false">IFERROR(INDEX(Catálogo!B$4:B$1000,MATCH($A$1&amp;"|"&amp;7,Índice!$A$4:$A$1000,0)),"")</f>
        <v/>
      </c>
      <c r="C10" s="6" t="str">
        <f aca="false">IFERROR(INDEX(Catálogo!C$4:C$1000,MATCH($A$1&amp;"|"&amp;7,Índice!$A$4:$A$1000,0)),"")</f>
        <v/>
      </c>
      <c r="D10" s="6" t="str">
        <f aca="false">IFERROR(INDEX(Catálogo!D$4:D$1000,MATCH($A$1&amp;"|"&amp;7,Índice!$A$4:$A$1000,0)),"")</f>
        <v/>
      </c>
      <c r="E10" s="6" t="str">
        <f aca="false">IFERROR(INDEX(Catálogo!E$4:E$1000,MATCH($A$1&amp;"|"&amp;7,Índice!$A$4:$A$1000,0)),"")</f>
        <v/>
      </c>
      <c r="F10" s="5" t="str">
        <f aca="false">IFERROR(INDEX(Catálogo!F$4:F$1000,MATCH($A$1&amp;"|"&amp;7,Índice!$A$4:$A$1000,0)),"")</f>
        <v/>
      </c>
      <c r="G10" s="5" t="str">
        <f aca="false">IFERROR(INDEX(Catálogo!G$4:G$1000,MATCH($A$1&amp;"|"&amp;7,Índice!$A$4:$A$1000,0)),"")</f>
        <v/>
      </c>
      <c r="H10" s="5" t="str">
        <f aca="false">IFERROR(INDEX(Catálogo!H$4:H$1000,MATCH($A$1&amp;"|"&amp;7,Índice!$A$4:$A$1000,0)),"")</f>
        <v/>
      </c>
      <c r="I10" s="6" t="str">
        <f aca="false">IFERROR(INDEX(Catálogo!I$4:I$1000,MATCH($A$1&amp;"|"&amp;7,Índice!$A$4:$A$1000,0)),"")</f>
        <v/>
      </c>
      <c r="J10" s="6" t="str">
        <f aca="false">IFERROR(INDEX(Catálogo!J$4:J$1000,MATCH($A$1&amp;"|"&amp;7,Índice!$A$4:$A$1000,0)),"")</f>
        <v/>
      </c>
      <c r="K10" s="6" t="str">
        <f aca="false">IFERROR(INDEX(Catálogo!K$4:K$1000,MATCH($A$1&amp;"|"&amp;7,Índice!$A$4:$A$1000,0)),"")</f>
        <v/>
      </c>
      <c r="L10" s="6" t="str">
        <f aca="false">IFERROR(INDEX(Catálogo!L$4:L$1000,MATCH($A$1&amp;"|"&amp;7,Índice!$A$4:$A$1000,0)),"")</f>
        <v/>
      </c>
      <c r="M10" s="7" t="str">
        <f aca="false">IFERROR(INDEX(Catálogo!M$4:M$1000,MATCH($A$1&amp;"|"&amp;7,Índice!$A$4:$A$1000,0)),"")</f>
        <v/>
      </c>
    </row>
    <row r="11" customFormat="false" ht="42" hidden="false" customHeight="true" outlineLevel="0" collapsed="false">
      <c r="A11" s="5" t="str">
        <f aca="false">IFERROR(INDEX(Catálogo!A$4:A$1000,MATCH($A$1&amp;"|"&amp;8,Índice!$A$4:$A$1000,0)),"")</f>
        <v/>
      </c>
      <c r="B11" s="6" t="str">
        <f aca="false">IFERROR(INDEX(Catálogo!B$4:B$1000,MATCH($A$1&amp;"|"&amp;8,Índice!$A$4:$A$1000,0)),"")</f>
        <v/>
      </c>
      <c r="C11" s="6" t="str">
        <f aca="false">IFERROR(INDEX(Catálogo!C$4:C$1000,MATCH($A$1&amp;"|"&amp;8,Índice!$A$4:$A$1000,0)),"")</f>
        <v/>
      </c>
      <c r="D11" s="6" t="str">
        <f aca="false">IFERROR(INDEX(Catálogo!D$4:D$1000,MATCH($A$1&amp;"|"&amp;8,Índice!$A$4:$A$1000,0)),"")</f>
        <v/>
      </c>
      <c r="E11" s="6" t="str">
        <f aca="false">IFERROR(INDEX(Catálogo!E$4:E$1000,MATCH($A$1&amp;"|"&amp;8,Índice!$A$4:$A$1000,0)),"")</f>
        <v/>
      </c>
      <c r="F11" s="5" t="str">
        <f aca="false">IFERROR(INDEX(Catálogo!F$4:F$1000,MATCH($A$1&amp;"|"&amp;8,Índice!$A$4:$A$1000,0)),"")</f>
        <v/>
      </c>
      <c r="G11" s="5" t="str">
        <f aca="false">IFERROR(INDEX(Catálogo!G$4:G$1000,MATCH($A$1&amp;"|"&amp;8,Índice!$A$4:$A$1000,0)),"")</f>
        <v/>
      </c>
      <c r="H11" s="5" t="str">
        <f aca="false">IFERROR(INDEX(Catálogo!H$4:H$1000,MATCH($A$1&amp;"|"&amp;8,Índice!$A$4:$A$1000,0)),"")</f>
        <v/>
      </c>
      <c r="I11" s="6" t="str">
        <f aca="false">IFERROR(INDEX(Catálogo!I$4:I$1000,MATCH($A$1&amp;"|"&amp;8,Índice!$A$4:$A$1000,0)),"")</f>
        <v/>
      </c>
      <c r="J11" s="6" t="str">
        <f aca="false">IFERROR(INDEX(Catálogo!J$4:J$1000,MATCH($A$1&amp;"|"&amp;8,Índice!$A$4:$A$1000,0)),"")</f>
        <v/>
      </c>
      <c r="K11" s="6" t="str">
        <f aca="false">IFERROR(INDEX(Catálogo!K$4:K$1000,MATCH($A$1&amp;"|"&amp;8,Índice!$A$4:$A$1000,0)),"")</f>
        <v/>
      </c>
      <c r="L11" s="6" t="str">
        <f aca="false">IFERROR(INDEX(Catálogo!L$4:L$1000,MATCH($A$1&amp;"|"&amp;8,Índice!$A$4:$A$1000,0)),"")</f>
        <v/>
      </c>
      <c r="M11" s="7" t="str">
        <f aca="false">IFERROR(INDEX(Catálogo!M$4:M$1000,MATCH($A$1&amp;"|"&amp;8,Índice!$A$4:$A$1000,0)),"")</f>
        <v/>
      </c>
    </row>
    <row r="12" customFormat="false" ht="42" hidden="false" customHeight="true" outlineLevel="0" collapsed="false">
      <c r="A12" s="5" t="str">
        <f aca="false">IFERROR(INDEX(Catálogo!A$4:A$1000,MATCH($A$1&amp;"|"&amp;9,Índice!$A$4:$A$1000,0)),"")</f>
        <v/>
      </c>
      <c r="B12" s="6" t="str">
        <f aca="false">IFERROR(INDEX(Catálogo!B$4:B$1000,MATCH($A$1&amp;"|"&amp;9,Índice!$A$4:$A$1000,0)),"")</f>
        <v/>
      </c>
      <c r="C12" s="6" t="str">
        <f aca="false">IFERROR(INDEX(Catálogo!C$4:C$1000,MATCH($A$1&amp;"|"&amp;9,Índice!$A$4:$A$1000,0)),"")</f>
        <v/>
      </c>
      <c r="D12" s="6" t="str">
        <f aca="false">IFERROR(INDEX(Catálogo!D$4:D$1000,MATCH($A$1&amp;"|"&amp;9,Índice!$A$4:$A$1000,0)),"")</f>
        <v/>
      </c>
      <c r="E12" s="6" t="str">
        <f aca="false">IFERROR(INDEX(Catálogo!E$4:E$1000,MATCH($A$1&amp;"|"&amp;9,Índice!$A$4:$A$1000,0)),"")</f>
        <v/>
      </c>
      <c r="F12" s="5" t="str">
        <f aca="false">IFERROR(INDEX(Catálogo!F$4:F$1000,MATCH($A$1&amp;"|"&amp;9,Índice!$A$4:$A$1000,0)),"")</f>
        <v/>
      </c>
      <c r="G12" s="5" t="str">
        <f aca="false">IFERROR(INDEX(Catálogo!G$4:G$1000,MATCH($A$1&amp;"|"&amp;9,Índice!$A$4:$A$1000,0)),"")</f>
        <v/>
      </c>
      <c r="H12" s="5" t="str">
        <f aca="false">IFERROR(INDEX(Catálogo!H$4:H$1000,MATCH($A$1&amp;"|"&amp;9,Índice!$A$4:$A$1000,0)),"")</f>
        <v/>
      </c>
      <c r="I12" s="6" t="str">
        <f aca="false">IFERROR(INDEX(Catálogo!I$4:I$1000,MATCH($A$1&amp;"|"&amp;9,Índice!$A$4:$A$1000,0)),"")</f>
        <v/>
      </c>
      <c r="J12" s="6" t="str">
        <f aca="false">IFERROR(INDEX(Catálogo!J$4:J$1000,MATCH($A$1&amp;"|"&amp;9,Índice!$A$4:$A$1000,0)),"")</f>
        <v/>
      </c>
      <c r="K12" s="6" t="str">
        <f aca="false">IFERROR(INDEX(Catálogo!K$4:K$1000,MATCH($A$1&amp;"|"&amp;9,Índice!$A$4:$A$1000,0)),"")</f>
        <v/>
      </c>
      <c r="L12" s="6" t="str">
        <f aca="false">IFERROR(INDEX(Catálogo!L$4:L$1000,MATCH($A$1&amp;"|"&amp;9,Índice!$A$4:$A$1000,0)),"")</f>
        <v/>
      </c>
      <c r="M12" s="7" t="str">
        <f aca="false">IFERROR(INDEX(Catálogo!M$4:M$1000,MATCH($A$1&amp;"|"&amp;9,Índice!$A$4:$A$1000,0)),"")</f>
        <v/>
      </c>
    </row>
    <row r="13" customFormat="false" ht="42" hidden="false" customHeight="true" outlineLevel="0" collapsed="false">
      <c r="A13" s="5" t="str">
        <f aca="false">IFERROR(INDEX(Catálogo!A$4:A$1000,MATCH($A$1&amp;"|"&amp;10,Índice!$A$4:$A$1000,0)),"")</f>
        <v/>
      </c>
      <c r="B13" s="6" t="str">
        <f aca="false">IFERROR(INDEX(Catálogo!B$4:B$1000,MATCH($A$1&amp;"|"&amp;10,Índice!$A$4:$A$1000,0)),"")</f>
        <v/>
      </c>
      <c r="C13" s="6" t="str">
        <f aca="false">IFERROR(INDEX(Catálogo!C$4:C$1000,MATCH($A$1&amp;"|"&amp;10,Índice!$A$4:$A$1000,0)),"")</f>
        <v/>
      </c>
      <c r="D13" s="6" t="str">
        <f aca="false">IFERROR(INDEX(Catálogo!D$4:D$1000,MATCH($A$1&amp;"|"&amp;10,Índice!$A$4:$A$1000,0)),"")</f>
        <v/>
      </c>
      <c r="E13" s="6" t="str">
        <f aca="false">IFERROR(INDEX(Catálogo!E$4:E$1000,MATCH($A$1&amp;"|"&amp;10,Índice!$A$4:$A$1000,0)),"")</f>
        <v/>
      </c>
      <c r="F13" s="5" t="str">
        <f aca="false">IFERROR(INDEX(Catálogo!F$4:F$1000,MATCH($A$1&amp;"|"&amp;10,Índice!$A$4:$A$1000,0)),"")</f>
        <v/>
      </c>
      <c r="G13" s="5" t="str">
        <f aca="false">IFERROR(INDEX(Catálogo!G$4:G$1000,MATCH($A$1&amp;"|"&amp;10,Índice!$A$4:$A$1000,0)),"")</f>
        <v/>
      </c>
      <c r="H13" s="5" t="str">
        <f aca="false">IFERROR(INDEX(Catálogo!H$4:H$1000,MATCH($A$1&amp;"|"&amp;10,Índice!$A$4:$A$1000,0)),"")</f>
        <v/>
      </c>
      <c r="I13" s="6" t="str">
        <f aca="false">IFERROR(INDEX(Catálogo!I$4:I$1000,MATCH($A$1&amp;"|"&amp;10,Índice!$A$4:$A$1000,0)),"")</f>
        <v/>
      </c>
      <c r="J13" s="6" t="str">
        <f aca="false">IFERROR(INDEX(Catálogo!J$4:J$1000,MATCH($A$1&amp;"|"&amp;10,Índice!$A$4:$A$1000,0)),"")</f>
        <v/>
      </c>
      <c r="K13" s="6" t="str">
        <f aca="false">IFERROR(INDEX(Catálogo!K$4:K$1000,MATCH($A$1&amp;"|"&amp;10,Índice!$A$4:$A$1000,0)),"")</f>
        <v/>
      </c>
      <c r="L13" s="6" t="str">
        <f aca="false">IFERROR(INDEX(Catálogo!L$4:L$1000,MATCH($A$1&amp;"|"&amp;10,Índice!$A$4:$A$1000,0)),"")</f>
        <v/>
      </c>
      <c r="M13" s="7" t="str">
        <f aca="false">IFERROR(INDEX(Catálogo!M$4:M$1000,MATCH($A$1&amp;"|"&amp;10,Índice!$A$4:$A$1000,0)),"")</f>
        <v/>
      </c>
    </row>
    <row r="14" customFormat="false" ht="42" hidden="false" customHeight="true" outlineLevel="0" collapsed="false">
      <c r="A14" s="5" t="str">
        <f aca="false">IFERROR(INDEX(Catálogo!A$4:A$1000,MATCH($A$1&amp;"|"&amp;11,Índice!$A$4:$A$1000,0)),"")</f>
        <v/>
      </c>
      <c r="B14" s="6" t="str">
        <f aca="false">IFERROR(INDEX(Catálogo!B$4:B$1000,MATCH($A$1&amp;"|"&amp;11,Índice!$A$4:$A$1000,0)),"")</f>
        <v/>
      </c>
      <c r="C14" s="6" t="str">
        <f aca="false">IFERROR(INDEX(Catálogo!C$4:C$1000,MATCH($A$1&amp;"|"&amp;11,Índice!$A$4:$A$1000,0)),"")</f>
        <v/>
      </c>
      <c r="D14" s="6" t="str">
        <f aca="false">IFERROR(INDEX(Catálogo!D$4:D$1000,MATCH($A$1&amp;"|"&amp;11,Índice!$A$4:$A$1000,0)),"")</f>
        <v/>
      </c>
      <c r="E14" s="6" t="str">
        <f aca="false">IFERROR(INDEX(Catálogo!E$4:E$1000,MATCH($A$1&amp;"|"&amp;11,Índice!$A$4:$A$1000,0)),"")</f>
        <v/>
      </c>
      <c r="F14" s="5" t="str">
        <f aca="false">IFERROR(INDEX(Catálogo!F$4:F$1000,MATCH($A$1&amp;"|"&amp;11,Índice!$A$4:$A$1000,0)),"")</f>
        <v/>
      </c>
      <c r="G14" s="5" t="str">
        <f aca="false">IFERROR(INDEX(Catálogo!G$4:G$1000,MATCH($A$1&amp;"|"&amp;11,Índice!$A$4:$A$1000,0)),"")</f>
        <v/>
      </c>
      <c r="H14" s="5" t="str">
        <f aca="false">IFERROR(INDEX(Catálogo!H$4:H$1000,MATCH($A$1&amp;"|"&amp;11,Índice!$A$4:$A$1000,0)),"")</f>
        <v/>
      </c>
      <c r="I14" s="6" t="str">
        <f aca="false">IFERROR(INDEX(Catálogo!I$4:I$1000,MATCH($A$1&amp;"|"&amp;11,Índice!$A$4:$A$1000,0)),"")</f>
        <v/>
      </c>
      <c r="J14" s="6" t="str">
        <f aca="false">IFERROR(INDEX(Catálogo!J$4:J$1000,MATCH($A$1&amp;"|"&amp;11,Índice!$A$4:$A$1000,0)),"")</f>
        <v/>
      </c>
      <c r="K14" s="6" t="str">
        <f aca="false">IFERROR(INDEX(Catálogo!K$4:K$1000,MATCH($A$1&amp;"|"&amp;11,Índice!$A$4:$A$1000,0)),"")</f>
        <v/>
      </c>
      <c r="L14" s="6" t="str">
        <f aca="false">IFERROR(INDEX(Catálogo!L$4:L$1000,MATCH($A$1&amp;"|"&amp;11,Índice!$A$4:$A$1000,0)),"")</f>
        <v/>
      </c>
      <c r="M14" s="7" t="str">
        <f aca="false">IFERROR(INDEX(Catálogo!M$4:M$1000,MATCH($A$1&amp;"|"&amp;11,Índice!$A$4:$A$1000,0)),"")</f>
        <v/>
      </c>
    </row>
    <row r="15" customFormat="false" ht="42" hidden="false" customHeight="true" outlineLevel="0" collapsed="false">
      <c r="A15" s="5" t="str">
        <f aca="false">IFERROR(INDEX(Catálogo!A$4:A$1000,MATCH($A$1&amp;"|"&amp;12,Índice!$A$4:$A$1000,0)),"")</f>
        <v/>
      </c>
      <c r="B15" s="6" t="str">
        <f aca="false">IFERROR(INDEX(Catálogo!B$4:B$1000,MATCH($A$1&amp;"|"&amp;12,Índice!$A$4:$A$1000,0)),"")</f>
        <v/>
      </c>
      <c r="C15" s="6" t="str">
        <f aca="false">IFERROR(INDEX(Catálogo!C$4:C$1000,MATCH($A$1&amp;"|"&amp;12,Índice!$A$4:$A$1000,0)),"")</f>
        <v/>
      </c>
      <c r="D15" s="6" t="str">
        <f aca="false">IFERROR(INDEX(Catálogo!D$4:D$1000,MATCH($A$1&amp;"|"&amp;12,Índice!$A$4:$A$1000,0)),"")</f>
        <v/>
      </c>
      <c r="E15" s="6" t="str">
        <f aca="false">IFERROR(INDEX(Catálogo!E$4:E$1000,MATCH($A$1&amp;"|"&amp;12,Índice!$A$4:$A$1000,0)),"")</f>
        <v/>
      </c>
      <c r="F15" s="5" t="str">
        <f aca="false">IFERROR(INDEX(Catálogo!F$4:F$1000,MATCH($A$1&amp;"|"&amp;12,Índice!$A$4:$A$1000,0)),"")</f>
        <v/>
      </c>
      <c r="G15" s="5" t="str">
        <f aca="false">IFERROR(INDEX(Catálogo!G$4:G$1000,MATCH($A$1&amp;"|"&amp;12,Índice!$A$4:$A$1000,0)),"")</f>
        <v/>
      </c>
      <c r="H15" s="5" t="str">
        <f aca="false">IFERROR(INDEX(Catálogo!H$4:H$1000,MATCH($A$1&amp;"|"&amp;12,Índice!$A$4:$A$1000,0)),"")</f>
        <v/>
      </c>
      <c r="I15" s="6" t="str">
        <f aca="false">IFERROR(INDEX(Catálogo!I$4:I$1000,MATCH($A$1&amp;"|"&amp;12,Índice!$A$4:$A$1000,0)),"")</f>
        <v/>
      </c>
      <c r="J15" s="6" t="str">
        <f aca="false">IFERROR(INDEX(Catálogo!J$4:J$1000,MATCH($A$1&amp;"|"&amp;12,Índice!$A$4:$A$1000,0)),"")</f>
        <v/>
      </c>
      <c r="K15" s="6" t="str">
        <f aca="false">IFERROR(INDEX(Catálogo!K$4:K$1000,MATCH($A$1&amp;"|"&amp;12,Índice!$A$4:$A$1000,0)),"")</f>
        <v/>
      </c>
      <c r="L15" s="6" t="str">
        <f aca="false">IFERROR(INDEX(Catálogo!L$4:L$1000,MATCH($A$1&amp;"|"&amp;12,Índice!$A$4:$A$1000,0)),"")</f>
        <v/>
      </c>
      <c r="M15" s="7" t="str">
        <f aca="false">IFERROR(INDEX(Catálogo!M$4:M$1000,MATCH($A$1&amp;"|"&amp;12,Índice!$A$4:$A$1000,0)),"")</f>
        <v/>
      </c>
    </row>
    <row r="16" customFormat="false" ht="42" hidden="false" customHeight="true" outlineLevel="0" collapsed="false">
      <c r="A16" s="5" t="str">
        <f aca="false">IFERROR(INDEX(Catálogo!A$4:A$1000,MATCH($A$1&amp;"|"&amp;13,Índice!$A$4:$A$1000,0)),"")</f>
        <v/>
      </c>
      <c r="B16" s="6" t="str">
        <f aca="false">IFERROR(INDEX(Catálogo!B$4:B$1000,MATCH($A$1&amp;"|"&amp;13,Índice!$A$4:$A$1000,0)),"")</f>
        <v/>
      </c>
      <c r="C16" s="6" t="str">
        <f aca="false">IFERROR(INDEX(Catálogo!C$4:C$1000,MATCH($A$1&amp;"|"&amp;13,Índice!$A$4:$A$1000,0)),"")</f>
        <v/>
      </c>
      <c r="D16" s="6" t="str">
        <f aca="false">IFERROR(INDEX(Catálogo!D$4:D$1000,MATCH($A$1&amp;"|"&amp;13,Índice!$A$4:$A$1000,0)),"")</f>
        <v/>
      </c>
      <c r="E16" s="6" t="str">
        <f aca="false">IFERROR(INDEX(Catálogo!E$4:E$1000,MATCH($A$1&amp;"|"&amp;13,Índice!$A$4:$A$1000,0)),"")</f>
        <v/>
      </c>
      <c r="F16" s="5" t="str">
        <f aca="false">IFERROR(INDEX(Catálogo!F$4:F$1000,MATCH($A$1&amp;"|"&amp;13,Índice!$A$4:$A$1000,0)),"")</f>
        <v/>
      </c>
      <c r="G16" s="5" t="str">
        <f aca="false">IFERROR(INDEX(Catálogo!G$4:G$1000,MATCH($A$1&amp;"|"&amp;13,Índice!$A$4:$A$1000,0)),"")</f>
        <v/>
      </c>
      <c r="H16" s="5" t="str">
        <f aca="false">IFERROR(INDEX(Catálogo!H$4:H$1000,MATCH($A$1&amp;"|"&amp;13,Índice!$A$4:$A$1000,0)),"")</f>
        <v/>
      </c>
      <c r="I16" s="6" t="str">
        <f aca="false">IFERROR(INDEX(Catálogo!I$4:I$1000,MATCH($A$1&amp;"|"&amp;13,Índice!$A$4:$A$1000,0)),"")</f>
        <v/>
      </c>
      <c r="J16" s="6" t="str">
        <f aca="false">IFERROR(INDEX(Catálogo!J$4:J$1000,MATCH($A$1&amp;"|"&amp;13,Índice!$A$4:$A$1000,0)),"")</f>
        <v/>
      </c>
      <c r="K16" s="6" t="str">
        <f aca="false">IFERROR(INDEX(Catálogo!K$4:K$1000,MATCH($A$1&amp;"|"&amp;13,Índice!$A$4:$A$1000,0)),"")</f>
        <v/>
      </c>
      <c r="L16" s="6" t="str">
        <f aca="false">IFERROR(INDEX(Catálogo!L$4:L$1000,MATCH($A$1&amp;"|"&amp;13,Índice!$A$4:$A$1000,0)),"")</f>
        <v/>
      </c>
      <c r="M16" s="7" t="str">
        <f aca="false">IFERROR(INDEX(Catálogo!M$4:M$1000,MATCH($A$1&amp;"|"&amp;13,Índice!$A$4:$A$1000,0)),"")</f>
        <v/>
      </c>
    </row>
  </sheetData>
  <autoFilter ref="A3:M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546</v>
      </c>
      <c r="I1" s="17" t="str">
        <f aca="false">COUNTIF(Catálogo!$C$4:$C$1000,$A$1)&amp;IF(COUNTIF(Catálogo!$C$4:$C$1000,$A$1)=1," instrumento nesta área"," instrumentos nesta área")</f>
        <v>7 instrumentos nesta área</v>
      </c>
    </row>
    <row r="2" customFormat="false" ht="15" hidden="false" customHeight="true" outlineLevel="0" collapsed="false">
      <c r="A2" s="18" t="s">
        <v>1488</v>
      </c>
      <c r="I2" s="19" t="str">
        <f aca="false">IF(COUNTIF(Catálogo!$C$4:$C$1000,$A$1)&gt;15,"⚠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78</v>
      </c>
      <c r="B4" s="6" t="str">
        <f aca="false">IFERROR(INDEX(Catálogo!B$4:B$1000,MATCH($A$1&amp;"|"&amp;1,Índice!$A$4:$A$1000,0)),"")</f>
        <v>IIM — Adolescentes/Adultos</v>
      </c>
      <c r="C4" s="6" t="str">
        <f aca="false">IFERROR(INDEX(Catálogo!C$4:C$1000,MATCH($A$1&amp;"|"&amp;1,Índice!$A$4:$A$1000,0)),"")</f>
        <v>Orientação Vocacional &amp; Inteligências</v>
      </c>
      <c r="D4" s="6" t="str">
        <f aca="false">IFERROR(INDEX(Catálogo!D$4:D$1000,MATCH($A$1&amp;"|"&amp;1,Índice!$A$4:$A$1000,0)),"")</f>
        <v>Paciente</v>
      </c>
      <c r="E4" s="6" t="str">
        <f aca="false">IFERROR(INDEX(Catálogo!E$4:E$1000,MATCH($A$1&amp;"|"&amp;1,Índice!$A$4:$A$1000,0)),"")</f>
        <v>≥ 13 anos</v>
      </c>
      <c r="F4" s="5" t="n">
        <f aca="false">IFERROR(INDEX(Catálogo!F$4:F$1000,MATCH($A$1&amp;"|"&amp;1,Índice!$A$4:$A$1000,0)),"")</f>
        <v>13</v>
      </c>
      <c r="G4" s="5" t="n">
        <f aca="false">IFERROR(INDEX(Catálogo!G$4:G$1000,MATCH($A$1&amp;"|"&amp;1,Índice!$A$4:$A$1000,0)),"")</f>
        <v>99</v>
      </c>
      <c r="H4" s="5" t="n">
        <f aca="false">IFERROR(INDEX(Catálogo!H$4:H$1000,MATCH($A$1&amp;"|"&amp;1,Índice!$A$4:$A$1000,0)),"")</f>
        <v>16</v>
      </c>
      <c r="I4" s="6" t="str">
        <f aca="false">IFERROR(INDEX(Catálogo!I$4:I$1000,MATCH($A$1&amp;"|"&amp;1,Índice!$A$4:$A$1000,0)),"")</f>
        <v>Auto-relato adolescente/adulto de preferências e competências por inteligência (Gardner, 1983/1995). Aplicação clínica em orientação vocacional, autoconhecimento e identificação de domínios de eleição. Avalia AUTO-PERCEÇÃO — NÃO substitui provas de aptidão.</v>
      </c>
      <c r="J4" s="6" t="str">
        <f aca="false">IFERROR(INDEX(Catálogo!J$4:J$1000,MATCH($A$1&amp;"|"&amp;1,Índice!$A$4:$A$1000,0)),"")</f>
        <v>Inteligência Linguística (LING); Inteligência Lógico-Matemática (LOGM); Inteligência Espacial (ESPA); Inteligência Musical (MUSI); Inteligência Corporal-Cinestésica (CORP); Inteligência Interpessoal (INTER); Inteligência Intrapessoal (INTRA); Inteligência Naturalista (NATU); Inteligências Académicas (índice) (IIA); Inteligências Estético-Sensoriais (índice) (IIES); Inteligências Pessoais (índice) (IIP); Inteligência Naturalista (índice) (IIN); Índice Geral Multifactorial (IGM); Índice de Diversidade do Perfil (IDE); Discrepância Inter-Intra (DIE); Inteligência Dominante (DOM)</v>
      </c>
      <c r="K4" s="6" t="str">
        <f aca="false">IFERROR(INDEX(Catálogo!K$4:K$1000,MATCH($A$1&amp;"|"&amp;1,Índice!$A$4:$A$1000,0)),"")</f>
        <v>iimadoladultos</v>
      </c>
      <c r="L4" s="6" t="str">
        <f aca="false">IFERROR(INDEX(Catálogo!L$4:L$1000,MATCH($A$1&amp;"|"&amp;1,Índice!$A$4:$A$1000,0)),"")</f>
        <v>q_iim_adoladultos</v>
      </c>
      <c r="M4" s="7" t="str">
        <f aca="false">IFERROR(INDEX(Catálogo!M$4:M$1000,MATCH($A$1&amp;"|"&amp;1,Índice!$A$4:$A$1000,0)),"")</f>
        <v>https://correiaricardina-ui.github.io/questionarios/IIM_AdolAdultos_v1.html</v>
      </c>
    </row>
    <row r="5" customFormat="false" ht="42" hidden="false" customHeight="true" outlineLevel="0" collapsed="false">
      <c r="A5" s="5" t="n">
        <f aca="false">IFERROR(INDEX(Catálogo!A$4:A$1000,MATCH($A$1&amp;"|"&amp;2,Índice!$A$4:$A$1000,0)),"")</f>
        <v>79</v>
      </c>
      <c r="B5" s="6" t="str">
        <f aca="false">IFERROR(INDEX(Catálogo!B$4:B$1000,MATCH($A$1&amp;"|"&amp;2,Índice!$A$4:$A$1000,0)),"")</f>
        <v>IIM — Crianças</v>
      </c>
      <c r="C5" s="6" t="str">
        <f aca="false">IFERROR(INDEX(Catálogo!C$4:C$1000,MATCH($A$1&amp;"|"&amp;2,Índice!$A$4:$A$1000,0)),"")</f>
        <v>Orientação Vocacional &amp; Inteligências</v>
      </c>
      <c r="D5" s="6" t="str">
        <f aca="false">IFERROR(INDEX(Catálogo!D$4:D$1000,MATCH($A$1&amp;"|"&amp;2,Índice!$A$4:$A$1000,0)),"")</f>
        <v>Paciente</v>
      </c>
      <c r="E5" s="6" t="str">
        <f aca="false">IFERROR(INDEX(Catálogo!E$4:E$1000,MATCH($A$1&amp;"|"&amp;2,Índice!$A$4:$A$1000,0)),"")</f>
        <v>8–12 anos</v>
      </c>
      <c r="F5" s="5" t="n">
        <f aca="false">IFERROR(INDEX(Catálogo!F$4:F$1000,MATCH($A$1&amp;"|"&amp;2,Índice!$A$4:$A$1000,0)),"")</f>
        <v>8</v>
      </c>
      <c r="G5" s="5" t="n">
        <f aca="false">IFERROR(INDEX(Catálogo!G$4:G$1000,MATCH($A$1&amp;"|"&amp;2,Índice!$A$4:$A$1000,0)),"")</f>
        <v>12.9</v>
      </c>
      <c r="H5" s="5" t="n">
        <f aca="false">IFERROR(INDEX(Catálogo!H$4:H$1000,MATCH($A$1&amp;"|"&amp;2,Índice!$A$4:$A$1000,0)),"")</f>
        <v>16</v>
      </c>
      <c r="I5" s="6" t="str">
        <f aca="false">IFERROR(INDEX(Catálogo!I$4:I$1000,MATCH($A$1&amp;"|"&amp;2,Índice!$A$4:$A$1000,0)),"")</f>
        <v>Auto-relato infantil de preferências e competências por inteligência (Gardner, 1983/1995). Linguagem adaptada à criança. Avalia AUTO-PERCEÇÃO — não capacidade real medida. Orientação para autoconhecimento e identificação de áreas de força.</v>
      </c>
      <c r="J5" s="6" t="str">
        <f aca="false">IFERROR(INDEX(Catálogo!J$4:J$1000,MATCH($A$1&amp;"|"&amp;2,Índice!$A$4:$A$1000,0)),"")</f>
        <v>Inteligência Linguística (LING); Inteligência Lógico-Matemática (LOGM); Inteligência Espacial (ESPA); Inteligência Musical (MUSI); Inteligência Corporal-Cinestésica (CORP); Inteligência Interpessoal (INTER); Inteligência Intrapessoal (INTRA); Inteligência Naturalista (NATU); Inteligências Académicas (índice) (IIA); Inteligências Estético-Sensoriais (índice) (IIES); Inteligências Pessoais (índice) (IIP); Inteligência Naturalista (índice) (IIN); Índice Geral Multifactorial (IGM); Índice de Diversidade do Perfil (IDE); Discrepância Inter-Intra (DIE); Inteligência Dominante (DOM)</v>
      </c>
      <c r="K5" s="6" t="str">
        <f aca="false">IFERROR(INDEX(Catálogo!K$4:K$1000,MATCH($A$1&amp;"|"&amp;2,Índice!$A$4:$A$1000,0)),"")</f>
        <v>iimcriancas</v>
      </c>
      <c r="L5" s="6" t="str">
        <f aca="false">IFERROR(INDEX(Catálogo!L$4:L$1000,MATCH($A$1&amp;"|"&amp;2,Índice!$A$4:$A$1000,0)),"")</f>
        <v>q_iim_criancas</v>
      </c>
      <c r="M5" s="7" t="str">
        <f aca="false">IFERROR(INDEX(Catálogo!M$4:M$1000,MATCH($A$1&amp;"|"&amp;2,Índice!$A$4:$A$1000,0)),"")</f>
        <v>https://correiaricardina-ui.github.io/questionarios/IIM_Criancas_v1.html</v>
      </c>
    </row>
    <row r="6" customFormat="false" ht="42" hidden="false" customHeight="true" outlineLevel="0" collapsed="false">
      <c r="A6" s="5" t="n">
        <f aca="false">IFERROR(INDEX(Catálogo!A$4:A$1000,MATCH($A$1&amp;"|"&amp;3,Índice!$A$4:$A$1000,0)),"")</f>
        <v>80</v>
      </c>
      <c r="B6" s="6" t="str">
        <f aca="false">IFERROR(INDEX(Catálogo!B$4:B$1000,MATCH($A$1&amp;"|"&amp;3,Índice!$A$4:$A$1000,0)),"")</f>
        <v>IIM — Heterorrelato</v>
      </c>
      <c r="C6" s="6" t="str">
        <f aca="false">IFERROR(INDEX(Catálogo!C$4:C$1000,MATCH($A$1&amp;"|"&amp;3,Índice!$A$4:$A$1000,0)),"")</f>
        <v>Orientação Vocacional &amp; Inteligências</v>
      </c>
      <c r="D6" s="6" t="str">
        <f aca="false">IFERROR(INDEX(Catálogo!D$4:D$1000,MATCH($A$1&amp;"|"&amp;3,Índice!$A$4:$A$1000,0)),"")</f>
        <v>Mãe, Pai, Enc. Educação, Professor(a), Diretor(a) de Turma</v>
      </c>
      <c r="E6" s="6" t="str">
        <f aca="false">IFERROR(INDEX(Catálogo!E$4:E$1000,MATCH($A$1&amp;"|"&amp;3,Índice!$A$4:$A$1000,0)),"")</f>
        <v>6–18 anos</v>
      </c>
      <c r="F6" s="5" t="n">
        <f aca="false">IFERROR(INDEX(Catálogo!F$4:F$1000,MATCH($A$1&amp;"|"&amp;3,Índice!$A$4:$A$1000,0)),"")</f>
        <v>6</v>
      </c>
      <c r="G6" s="5" t="n">
        <f aca="false">IFERROR(INDEX(Catálogo!G$4:G$1000,MATCH($A$1&amp;"|"&amp;3,Índice!$A$4:$A$1000,0)),"")</f>
        <v>17.9</v>
      </c>
      <c r="H6" s="5" t="n">
        <f aca="false">IFERROR(INDEX(Catálogo!H$4:H$1000,MATCH($A$1&amp;"|"&amp;3,Índice!$A$4:$A$1000,0)),"")</f>
        <v>16</v>
      </c>
      <c r="I6" s="6" t="str">
        <f aca="false">IFERROR(INDEX(Catálogo!I$4:I$1000,MATCH($A$1&amp;"|"&amp;3,Índice!$A$4:$A$1000,0)),"")</f>
        <v>Mapear o perfil de auto-perceção de preferências e competências por inteligência (Gardner, 1983/1995) — versão preenchida por pais/professores. Orientação vocacional, autoconhecimento e identificação de áreas de força. NÃO substitui WISC-V/BAEM/MAT.</v>
      </c>
      <c r="J6" s="6" t="str">
        <f aca="false">IFERROR(INDEX(Catálogo!J$4:J$1000,MATCH($A$1&amp;"|"&amp;3,Índice!$A$4:$A$1000,0)),"")</f>
        <v>Inteligência Linguística (LING); Inteligência Lógico-Matemática (LOGM); Inteligência Espacial (ESPA); Inteligência Musical (MUSI); Inteligência Corporal-Cinestésica (CORP); Inteligência Interpessoal (INTER); Inteligência Intrapessoal (INTRA); Inteligência Naturalista (NATU); Inteligências Académicas (índice) (IIA); Inteligências Estético-Sensoriais (índice) (IIES); Inteligências Pessoais (índice) (IIP); Inteligência Naturalista (índice) (IIN); Índice Geral Multifactorial (IGM); Índice de Diversidade do Perfil (IDE); Discrepância Inter-Intra (DIE); Inteligência Dominante (DOM)</v>
      </c>
      <c r="K6" s="6" t="str">
        <f aca="false">IFERROR(INDEX(Catálogo!K$4:K$1000,MATCH($A$1&amp;"|"&amp;3,Índice!$A$4:$A$1000,0)),"")</f>
        <v>iimhetero</v>
      </c>
      <c r="L6" s="6" t="str">
        <f aca="false">IFERROR(INDEX(Catálogo!L$4:L$1000,MATCH($A$1&amp;"|"&amp;3,Índice!$A$4:$A$1000,0)),"")</f>
        <v>q_iim_hetero</v>
      </c>
      <c r="M6" s="7" t="str">
        <f aca="false">IFERROR(INDEX(Catálogo!M$4:M$1000,MATCH($A$1&amp;"|"&amp;3,Índice!$A$4:$A$1000,0)),"")</f>
        <v>https://correiaricardina-ui.github.io/questionarios/IIM_Heterorrelato_v1.html</v>
      </c>
    </row>
    <row r="7" customFormat="false" ht="42" hidden="false" customHeight="true" outlineLevel="0" collapsed="false">
      <c r="A7" s="5" t="n">
        <f aca="false">IFERROR(INDEX(Catálogo!A$4:A$1000,MATCH($A$1&amp;"|"&amp;4,Índice!$A$4:$A$1000,0)),"")</f>
        <v>81</v>
      </c>
      <c r="B7" s="6" t="str">
        <f aca="false">IFERROR(INDEX(Catálogo!B$4:B$1000,MATCH($A$1&amp;"|"&amp;4,Índice!$A$4:$A$1000,0)),"")</f>
        <v>IMC-C — Inventário de Maturidade na Carreira (Forma C)</v>
      </c>
      <c r="C7" s="6" t="str">
        <f aca="false">IFERROR(INDEX(Catálogo!C$4:C$1000,MATCH($A$1&amp;"|"&amp;4,Índice!$A$4:$A$1000,0)),"")</f>
        <v>Orientação Vocacional &amp; Inteligências</v>
      </c>
      <c r="D7" s="6" t="str">
        <f aca="false">IFERROR(INDEX(Catálogo!D$4:D$1000,MATCH($A$1&amp;"|"&amp;4,Índice!$A$4:$A$1000,0)),"")</f>
        <v>Jovem avaliado, Paciente</v>
      </c>
      <c r="E7" s="6" t="str">
        <f aca="false">IFERROR(INDEX(Catálogo!E$4:E$1000,MATCH($A$1&amp;"|"&amp;4,Índice!$A$4:$A$1000,0)),"")</f>
        <v>Ensino Secundário</v>
      </c>
      <c r="F7" s="5" t="n">
        <f aca="false">IFERROR(INDEX(Catálogo!F$4:F$1000,MATCH($A$1&amp;"|"&amp;4,Índice!$A$4:$A$1000,0)),"")</f>
        <v>14</v>
      </c>
      <c r="G7" s="5" t="n">
        <f aca="false">IFERROR(INDEX(Catálogo!G$4:G$1000,MATCH($A$1&amp;"|"&amp;4,Índice!$A$4:$A$1000,0)),"")</f>
        <v>99</v>
      </c>
      <c r="H7" s="5" t="n">
        <f aca="false">IFERROR(INDEX(Catálogo!H$4:H$1000,MATCH($A$1&amp;"|"&amp;4,Índice!$A$4:$A$1000,0)),"")</f>
        <v>5</v>
      </c>
      <c r="I7" s="6" t="str">
        <f aca="false">IFERROR(INDEX(Catálogo!I$4:I$1000,MATCH($A$1&amp;"|"&amp;4,Índice!$A$4:$A$1000,0)),"")</f>
        <v>Avaliar a maturidade/adaptabilidade vocacional: prontidão para decisões de carreira</v>
      </c>
      <c r="J7" s="6" t="str">
        <f aca="false">IFERROR(INDEX(Catálogo!J$4:J$1000,MATCH($A$1&amp;"|"&amp;4,Índice!$A$4:$A$1000,0)),"")</f>
        <v>Preocupação; Curiosidade; Confiança; Consulta/Controlo; Escala Total</v>
      </c>
      <c r="K7" s="6" t="str">
        <f aca="false">IFERROR(INDEX(Catálogo!K$4:K$1000,MATCH($A$1&amp;"|"&amp;4,Índice!$A$4:$A$1000,0)),"")</f>
        <v>imc_c</v>
      </c>
      <c r="L7" s="6" t="str">
        <f aca="false">IFERROR(INDEX(Catálogo!L$4:L$1000,MATCH($A$1&amp;"|"&amp;4,Índice!$A$4:$A$1000,0)),"")</f>
        <v>q_imc_c</v>
      </c>
      <c r="M7" s="7" t="str">
        <f aca="false">IFERROR(INDEX(Catálogo!M$4:M$1000,MATCH($A$1&amp;"|"&amp;4,Índice!$A$4:$A$1000,0)),"")</f>
        <v>https://correiaricardina-ui.github.io/questionarios/IMC_C.html</v>
      </c>
    </row>
    <row r="8" customFormat="false" ht="42" hidden="false" customHeight="true" outlineLevel="0" collapsed="false">
      <c r="A8" s="5" t="n">
        <f aca="false">IFERROR(INDEX(Catálogo!A$4:A$1000,MATCH($A$1&amp;"|"&amp;5,Índice!$A$4:$A$1000,0)),"")</f>
        <v>82</v>
      </c>
      <c r="B8" s="6" t="str">
        <f aca="false">IFERROR(INDEX(Catálogo!B$4:B$1000,MATCH($A$1&amp;"|"&amp;5,Índice!$A$4:$A$1000,0)),"")</f>
        <v>IPP-R — Interesses e Preferências Profissionais</v>
      </c>
      <c r="C8" s="6" t="str">
        <f aca="false">IFERROR(INDEX(Catálogo!C$4:C$1000,MATCH($A$1&amp;"|"&amp;5,Índice!$A$4:$A$1000,0)),"")</f>
        <v>Orientação Vocacional &amp; Inteligências</v>
      </c>
      <c r="D8" s="6" t="str">
        <f aca="false">IFERROR(INDEX(Catálogo!D$4:D$1000,MATCH($A$1&amp;"|"&amp;5,Índice!$A$4:$A$1000,0)),"")</f>
        <v>Jovem avaliado, Paciente</v>
      </c>
      <c r="E8" s="6" t="str">
        <f aca="false">IFERROR(INDEX(Catálogo!E$4:E$1000,MATCH($A$1&amp;"|"&amp;5,Índice!$A$4:$A$1000,0)),"")</f>
        <v>≥14 anos</v>
      </c>
      <c r="F8" s="5" t="n">
        <f aca="false">IFERROR(INDEX(Catálogo!F$4:F$1000,MATCH($A$1&amp;"|"&amp;5,Índice!$A$4:$A$1000,0)),"")</f>
        <v>14</v>
      </c>
      <c r="G8" s="5" t="n">
        <f aca="false">IFERROR(INDEX(Catálogo!G$4:G$1000,MATCH($A$1&amp;"|"&amp;5,Índice!$A$4:$A$1000,0)),"")</f>
        <v>99</v>
      </c>
      <c r="H8" s="5" t="n">
        <f aca="false">IFERROR(INDEX(Catálogo!H$4:H$1000,MATCH($A$1&amp;"|"&amp;5,Índice!$A$4:$A$1000,0)),"")</f>
        <v>15</v>
      </c>
      <c r="I8" s="6" t="str">
        <f aca="false">IFERROR(INDEX(Catálogo!I$4:I$1000,MATCH($A$1&amp;"|"&amp;5,Índice!$A$4:$A$1000,0)),"")</f>
        <v>Avaliar interesses e preferências profissionais em 15 campos vocacionais</v>
      </c>
      <c r="J8" s="6" t="str">
        <f aca="false">IFERROR(INDEX(Catálogo!J$4:J$1000,MATCH($A$1&amp;"|"&amp;5,Índice!$A$4:$A$1000,0)),"")</f>
        <v>Ciências (CIE); Tecnologias (TEC); Saúde (SAU); Ciências Sociais – Humanidades (CSH); Ciências Sociais – Jurídico (CSJ); Comunicação, Publicidade, Audiovisual (CPA); Educação (EDU); Financeiro, Administrativo, Comercial (FAC); Informática (INF); Agricultura, Pecuária, Ambiente (APA); Expressão Artística – BMA (BMA); Expressão Artística – MDR (MDR); Forças Armadas, Segurança, Proteção (FSP); Desporto (DES); Turismo, Hotelaria, Restauração (THR)</v>
      </c>
      <c r="K8" s="6" t="str">
        <f aca="false">IFERROR(INDEX(Catálogo!K$4:K$1000,MATCH($A$1&amp;"|"&amp;5,Índice!$A$4:$A$1000,0)),"")</f>
        <v>ippr</v>
      </c>
      <c r="L8" s="6" t="str">
        <f aca="false">IFERROR(INDEX(Catálogo!L$4:L$1000,MATCH($A$1&amp;"|"&amp;5,Índice!$A$4:$A$1000,0)),"")</f>
        <v>q_ippr</v>
      </c>
      <c r="M8" s="7" t="str">
        <f aca="false">IFERROR(INDEX(Catálogo!M$4:M$1000,MATCH($A$1&amp;"|"&amp;5,Índice!$A$4:$A$1000,0)),"")</f>
        <v>https://correiaricardina-ui.github.io/questionarios/IPP-R_v1.html</v>
      </c>
    </row>
    <row r="9" customFormat="false" ht="42" hidden="false" customHeight="true" outlineLevel="0" collapsed="false">
      <c r="A9" s="5" t="n">
        <f aca="false">IFERROR(INDEX(Catálogo!A$4:A$1000,MATCH($A$1&amp;"|"&amp;6,Índice!$A$4:$A$1000,0)),"")</f>
        <v>86</v>
      </c>
      <c r="B9" s="6" t="str">
        <f aca="false">IFERROR(INDEX(Catálogo!B$4:B$1000,MATCH($A$1&amp;"|"&amp;6,Índice!$A$4:$A$1000,0)),"")</f>
        <v>IVP de Super — Inventário de Valores Profissionais</v>
      </c>
      <c r="C9" s="6" t="str">
        <f aca="false">IFERROR(INDEX(Catálogo!C$4:C$1000,MATCH($A$1&amp;"|"&amp;6,Índice!$A$4:$A$1000,0)),"")</f>
        <v>Orientação Vocacional &amp; Inteligências</v>
      </c>
      <c r="D9" s="6" t="str">
        <f aca="false">IFERROR(INDEX(Catálogo!D$4:D$1000,MATCH($A$1&amp;"|"&amp;6,Índice!$A$4:$A$1000,0)),"")</f>
        <v>Jovem avaliado, Paciente</v>
      </c>
      <c r="E9" s="6" t="str">
        <f aca="false">IFERROR(INDEX(Catálogo!E$4:E$1000,MATCH($A$1&amp;"|"&amp;6,Índice!$A$4:$A$1000,0)),"")</f>
        <v>Ensino Secundário / Adultos</v>
      </c>
      <c r="F9" s="5" t="n">
        <f aca="false">IFERROR(INDEX(Catálogo!F$4:F$1000,MATCH($A$1&amp;"|"&amp;6,Índice!$A$4:$A$1000,0)),"")</f>
        <v>14</v>
      </c>
      <c r="G9" s="5" t="n">
        <f aca="false">IFERROR(INDEX(Catálogo!G$4:G$1000,MATCH($A$1&amp;"|"&amp;6,Índice!$A$4:$A$1000,0)),"")</f>
        <v>99</v>
      </c>
      <c r="H9" s="5" t="n">
        <f aca="false">IFERROR(INDEX(Catálogo!H$4:H$1000,MATCH($A$1&amp;"|"&amp;6,Índice!$A$4:$A$1000,0)),"")</f>
        <v>15</v>
      </c>
      <c r="I9" s="6" t="str">
        <f aca="false">IFERROR(INDEX(Catálogo!I$4:I$1000,MATCH($A$1&amp;"|"&amp;6,Índice!$A$4:$A$1000,0)),"")</f>
        <v>Avaliar os valores profissionais em 15 dimensões: Criatividade, Altruísmo, Estético, Estimulação Intelectual, Êxito, Independência, Prestígio, Direcção, Económico, Segurança, Ambiente, Rel. Superiores, Rel. Colegas, Variedade, Género de Vida</v>
      </c>
      <c r="J9" s="6" t="str">
        <f aca="false">IFERROR(INDEX(Catálogo!J$4:J$1000,MATCH($A$1&amp;"|"&amp;6,Índice!$A$4:$A$1000,0)),"")</f>
        <v>Criatividade; Altruísmo; Estético; Estimulação Intelectual; Êxito; Independência; Prestígio; Direcção; Económico; Segurança; Ambiente; Relação com os Superiores; Relação com os Colegas; Variedade; Género de Vida</v>
      </c>
      <c r="K9" s="6" t="str">
        <f aca="false">IFERROR(INDEX(Catálogo!K$4:K$1000,MATCH($A$1&amp;"|"&amp;6,Índice!$A$4:$A$1000,0)),"")</f>
        <v>ivp_super</v>
      </c>
      <c r="L9" s="6" t="str">
        <f aca="false">IFERROR(INDEX(Catálogo!L$4:L$1000,MATCH($A$1&amp;"|"&amp;6,Índice!$A$4:$A$1000,0)),"")</f>
        <v>q_ivp_super</v>
      </c>
      <c r="M9" s="7" t="str">
        <f aca="false">IFERROR(INDEX(Catálogo!M$4:M$1000,MATCH($A$1&amp;"|"&amp;6,Índice!$A$4:$A$1000,0)),"")</f>
        <v>https://correiaricardina-ui.github.io/questionarios/IVP_Super_v1.html</v>
      </c>
    </row>
    <row r="10" customFormat="false" ht="42" hidden="false" customHeight="true" outlineLevel="0" collapsed="false">
      <c r="A10" s="5" t="n">
        <f aca="false">IFERROR(INDEX(Catálogo!A$4:A$1000,MATCH($A$1&amp;"|"&amp;7,Índice!$A$4:$A$1000,0)),"")</f>
        <v>135</v>
      </c>
      <c r="B10" s="6" t="str">
        <f aca="false">IFERROR(INDEX(Catálogo!B$4:B$1000,MATCH($A$1&amp;"|"&amp;7,Índice!$A$4:$A$1000,0)),"")</f>
        <v>SDS — Self-Directed Search (Holland)</v>
      </c>
      <c r="C10" s="6" t="str">
        <f aca="false">IFERROR(INDEX(Catálogo!C$4:C$1000,MATCH($A$1&amp;"|"&amp;7,Índice!$A$4:$A$1000,0)),"")</f>
        <v>Orientação Vocacional &amp; Inteligências</v>
      </c>
      <c r="D10" s="6" t="str">
        <f aca="false">IFERROR(INDEX(Catálogo!D$4:D$1000,MATCH($A$1&amp;"|"&amp;7,Índice!$A$4:$A$1000,0)),"")</f>
        <v>Jovem avaliado, Paciente</v>
      </c>
      <c r="E10" s="6" t="str">
        <f aca="false">IFERROR(INDEX(Catálogo!E$4:E$1000,MATCH($A$1&amp;"|"&amp;7,Índice!$A$4:$A$1000,0)),"")</f>
        <v>≥13 anos</v>
      </c>
      <c r="F10" s="5" t="n">
        <f aca="false">IFERROR(INDEX(Catálogo!F$4:F$1000,MATCH($A$1&amp;"|"&amp;7,Índice!$A$4:$A$1000,0)),"")</f>
        <v>13</v>
      </c>
      <c r="G10" s="5" t="n">
        <f aca="false">IFERROR(INDEX(Catálogo!G$4:G$1000,MATCH($A$1&amp;"|"&amp;7,Índice!$A$4:$A$1000,0)),"")</f>
        <v>99</v>
      </c>
      <c r="H10" s="5" t="n">
        <f aca="false">IFERROR(INDEX(Catálogo!H$4:H$1000,MATCH($A$1&amp;"|"&amp;7,Índice!$A$4:$A$1000,0)),"")</f>
        <v>7</v>
      </c>
      <c r="I10" s="6" t="str">
        <f aca="false">IFERROR(INDEX(Catálogo!I$4:I$1000,MATCH($A$1&amp;"|"&amp;7,Índice!$A$4:$A$1000,0)),"")</f>
        <v>Avaliar interesses profissionais RIASEC e gerar Código de Holland para orientação vocacional</v>
      </c>
      <c r="J10" s="6" t="str">
        <f aca="false">IFERROR(INDEX(Catálogo!J$4:J$1000,MATCH($A$1&amp;"|"&amp;7,Índice!$A$4:$A$1000,0)),"")</f>
        <v>Realista (R); Investigador (I); Artístico (A); Social (S); Empreendedor (E); Convencional (C); Código Holland</v>
      </c>
      <c r="K10" s="6" t="str">
        <f aca="false">IFERROR(INDEX(Catálogo!K$4:K$1000,MATCH($A$1&amp;"|"&amp;7,Índice!$A$4:$A$1000,0)),"")</f>
        <v>sds_holland</v>
      </c>
      <c r="L10" s="6" t="str">
        <f aca="false">IFERROR(INDEX(Catálogo!L$4:L$1000,MATCH($A$1&amp;"|"&amp;7,Índice!$A$4:$A$1000,0)),"")</f>
        <v>q_sds_holland</v>
      </c>
      <c r="M10" s="7" t="str">
        <f aca="false">IFERROR(INDEX(Catálogo!M$4:M$1000,MATCH($A$1&amp;"|"&amp;7,Índice!$A$4:$A$1000,0)),"")</f>
        <v>https://correiaricardina-ui.github.io/questionarios/SDS_Holland.html</v>
      </c>
    </row>
    <row r="11" customFormat="false" ht="42" hidden="false" customHeight="true" outlineLevel="0" collapsed="false">
      <c r="A11" s="5" t="str">
        <f aca="false">IFERROR(INDEX(Catálogo!A$4:A$1000,MATCH($A$1&amp;"|"&amp;8,Índice!$A$4:$A$1000,0)),"")</f>
        <v/>
      </c>
      <c r="B11" s="6" t="str">
        <f aca="false">IFERROR(INDEX(Catálogo!B$4:B$1000,MATCH($A$1&amp;"|"&amp;8,Índice!$A$4:$A$1000,0)),"")</f>
        <v/>
      </c>
      <c r="C11" s="6" t="str">
        <f aca="false">IFERROR(INDEX(Catálogo!C$4:C$1000,MATCH($A$1&amp;"|"&amp;8,Índice!$A$4:$A$1000,0)),"")</f>
        <v/>
      </c>
      <c r="D11" s="6" t="str">
        <f aca="false">IFERROR(INDEX(Catálogo!D$4:D$1000,MATCH($A$1&amp;"|"&amp;8,Índice!$A$4:$A$1000,0)),"")</f>
        <v/>
      </c>
      <c r="E11" s="6" t="str">
        <f aca="false">IFERROR(INDEX(Catálogo!E$4:E$1000,MATCH($A$1&amp;"|"&amp;8,Índice!$A$4:$A$1000,0)),"")</f>
        <v/>
      </c>
      <c r="F11" s="5" t="str">
        <f aca="false">IFERROR(INDEX(Catálogo!F$4:F$1000,MATCH($A$1&amp;"|"&amp;8,Índice!$A$4:$A$1000,0)),"")</f>
        <v/>
      </c>
      <c r="G11" s="5" t="str">
        <f aca="false">IFERROR(INDEX(Catálogo!G$4:G$1000,MATCH($A$1&amp;"|"&amp;8,Índice!$A$4:$A$1000,0)),"")</f>
        <v/>
      </c>
      <c r="H11" s="5" t="str">
        <f aca="false">IFERROR(INDEX(Catálogo!H$4:H$1000,MATCH($A$1&amp;"|"&amp;8,Índice!$A$4:$A$1000,0)),"")</f>
        <v/>
      </c>
      <c r="I11" s="6" t="str">
        <f aca="false">IFERROR(INDEX(Catálogo!I$4:I$1000,MATCH($A$1&amp;"|"&amp;8,Índice!$A$4:$A$1000,0)),"")</f>
        <v/>
      </c>
      <c r="J11" s="6" t="str">
        <f aca="false">IFERROR(INDEX(Catálogo!J$4:J$1000,MATCH($A$1&amp;"|"&amp;8,Índice!$A$4:$A$1000,0)),"")</f>
        <v/>
      </c>
      <c r="K11" s="6" t="str">
        <f aca="false">IFERROR(INDEX(Catálogo!K$4:K$1000,MATCH($A$1&amp;"|"&amp;8,Índice!$A$4:$A$1000,0)),"")</f>
        <v/>
      </c>
      <c r="L11" s="6" t="str">
        <f aca="false">IFERROR(INDEX(Catálogo!L$4:L$1000,MATCH($A$1&amp;"|"&amp;8,Índice!$A$4:$A$1000,0)),"")</f>
        <v/>
      </c>
      <c r="M11" s="7" t="str">
        <f aca="false">IFERROR(INDEX(Catálogo!M$4:M$1000,MATCH($A$1&amp;"|"&amp;8,Índice!$A$4:$A$1000,0)),"")</f>
        <v/>
      </c>
    </row>
    <row r="12" customFormat="false" ht="42" hidden="false" customHeight="true" outlineLevel="0" collapsed="false">
      <c r="A12" s="5" t="str">
        <f aca="false">IFERROR(INDEX(Catálogo!A$4:A$1000,MATCH($A$1&amp;"|"&amp;9,Índice!$A$4:$A$1000,0)),"")</f>
        <v/>
      </c>
      <c r="B12" s="6" t="str">
        <f aca="false">IFERROR(INDEX(Catálogo!B$4:B$1000,MATCH($A$1&amp;"|"&amp;9,Índice!$A$4:$A$1000,0)),"")</f>
        <v/>
      </c>
      <c r="C12" s="6" t="str">
        <f aca="false">IFERROR(INDEX(Catálogo!C$4:C$1000,MATCH($A$1&amp;"|"&amp;9,Índice!$A$4:$A$1000,0)),"")</f>
        <v/>
      </c>
      <c r="D12" s="6" t="str">
        <f aca="false">IFERROR(INDEX(Catálogo!D$4:D$1000,MATCH($A$1&amp;"|"&amp;9,Índice!$A$4:$A$1000,0)),"")</f>
        <v/>
      </c>
      <c r="E12" s="6" t="str">
        <f aca="false">IFERROR(INDEX(Catálogo!E$4:E$1000,MATCH($A$1&amp;"|"&amp;9,Índice!$A$4:$A$1000,0)),"")</f>
        <v/>
      </c>
      <c r="F12" s="5" t="str">
        <f aca="false">IFERROR(INDEX(Catálogo!F$4:F$1000,MATCH($A$1&amp;"|"&amp;9,Índice!$A$4:$A$1000,0)),"")</f>
        <v/>
      </c>
      <c r="G12" s="5" t="str">
        <f aca="false">IFERROR(INDEX(Catálogo!G$4:G$1000,MATCH($A$1&amp;"|"&amp;9,Índice!$A$4:$A$1000,0)),"")</f>
        <v/>
      </c>
      <c r="H12" s="5" t="str">
        <f aca="false">IFERROR(INDEX(Catálogo!H$4:H$1000,MATCH($A$1&amp;"|"&amp;9,Índice!$A$4:$A$1000,0)),"")</f>
        <v/>
      </c>
      <c r="I12" s="6" t="str">
        <f aca="false">IFERROR(INDEX(Catálogo!I$4:I$1000,MATCH($A$1&amp;"|"&amp;9,Índice!$A$4:$A$1000,0)),"")</f>
        <v/>
      </c>
      <c r="J12" s="6" t="str">
        <f aca="false">IFERROR(INDEX(Catálogo!J$4:J$1000,MATCH($A$1&amp;"|"&amp;9,Índice!$A$4:$A$1000,0)),"")</f>
        <v/>
      </c>
      <c r="K12" s="6" t="str">
        <f aca="false">IFERROR(INDEX(Catálogo!K$4:K$1000,MATCH($A$1&amp;"|"&amp;9,Índice!$A$4:$A$1000,0)),"")</f>
        <v/>
      </c>
      <c r="L12" s="6" t="str">
        <f aca="false">IFERROR(INDEX(Catálogo!L$4:L$1000,MATCH($A$1&amp;"|"&amp;9,Índice!$A$4:$A$1000,0)),"")</f>
        <v/>
      </c>
      <c r="M12" s="7" t="str">
        <f aca="false">IFERROR(INDEX(Catálogo!M$4:M$1000,MATCH($A$1&amp;"|"&amp;9,Índice!$A$4:$A$1000,0)),"")</f>
        <v/>
      </c>
    </row>
    <row r="13" customFormat="false" ht="42" hidden="false" customHeight="true" outlineLevel="0" collapsed="false">
      <c r="A13" s="5" t="str">
        <f aca="false">IFERROR(INDEX(Catálogo!A$4:A$1000,MATCH($A$1&amp;"|"&amp;10,Índice!$A$4:$A$1000,0)),"")</f>
        <v/>
      </c>
      <c r="B13" s="6" t="str">
        <f aca="false">IFERROR(INDEX(Catálogo!B$4:B$1000,MATCH($A$1&amp;"|"&amp;10,Índice!$A$4:$A$1000,0)),"")</f>
        <v/>
      </c>
      <c r="C13" s="6" t="str">
        <f aca="false">IFERROR(INDEX(Catálogo!C$4:C$1000,MATCH($A$1&amp;"|"&amp;10,Índice!$A$4:$A$1000,0)),"")</f>
        <v/>
      </c>
      <c r="D13" s="6" t="str">
        <f aca="false">IFERROR(INDEX(Catálogo!D$4:D$1000,MATCH($A$1&amp;"|"&amp;10,Índice!$A$4:$A$1000,0)),"")</f>
        <v/>
      </c>
      <c r="E13" s="6" t="str">
        <f aca="false">IFERROR(INDEX(Catálogo!E$4:E$1000,MATCH($A$1&amp;"|"&amp;10,Índice!$A$4:$A$1000,0)),"")</f>
        <v/>
      </c>
      <c r="F13" s="5" t="str">
        <f aca="false">IFERROR(INDEX(Catálogo!F$4:F$1000,MATCH($A$1&amp;"|"&amp;10,Índice!$A$4:$A$1000,0)),"")</f>
        <v/>
      </c>
      <c r="G13" s="5" t="str">
        <f aca="false">IFERROR(INDEX(Catálogo!G$4:G$1000,MATCH($A$1&amp;"|"&amp;10,Índice!$A$4:$A$1000,0)),"")</f>
        <v/>
      </c>
      <c r="H13" s="5" t="str">
        <f aca="false">IFERROR(INDEX(Catálogo!H$4:H$1000,MATCH($A$1&amp;"|"&amp;10,Índice!$A$4:$A$1000,0)),"")</f>
        <v/>
      </c>
      <c r="I13" s="6" t="str">
        <f aca="false">IFERROR(INDEX(Catálogo!I$4:I$1000,MATCH($A$1&amp;"|"&amp;10,Índice!$A$4:$A$1000,0)),"")</f>
        <v/>
      </c>
      <c r="J13" s="6" t="str">
        <f aca="false">IFERROR(INDEX(Catálogo!J$4:J$1000,MATCH($A$1&amp;"|"&amp;10,Índice!$A$4:$A$1000,0)),"")</f>
        <v/>
      </c>
      <c r="K13" s="6" t="str">
        <f aca="false">IFERROR(INDEX(Catálogo!K$4:K$1000,MATCH($A$1&amp;"|"&amp;10,Índice!$A$4:$A$1000,0)),"")</f>
        <v/>
      </c>
      <c r="L13" s="6" t="str">
        <f aca="false">IFERROR(INDEX(Catálogo!L$4:L$1000,MATCH($A$1&amp;"|"&amp;10,Índice!$A$4:$A$1000,0)),"")</f>
        <v/>
      </c>
      <c r="M13" s="7" t="str">
        <f aca="false">IFERROR(INDEX(Catálogo!M$4:M$1000,MATCH($A$1&amp;"|"&amp;10,Índice!$A$4:$A$1000,0)),"")</f>
        <v/>
      </c>
    </row>
    <row r="14" customFormat="false" ht="42" hidden="false" customHeight="true" outlineLevel="0" collapsed="false">
      <c r="A14" s="5" t="str">
        <f aca="false">IFERROR(INDEX(Catálogo!A$4:A$1000,MATCH($A$1&amp;"|"&amp;11,Índice!$A$4:$A$1000,0)),"")</f>
        <v/>
      </c>
      <c r="B14" s="6" t="str">
        <f aca="false">IFERROR(INDEX(Catálogo!B$4:B$1000,MATCH($A$1&amp;"|"&amp;11,Índice!$A$4:$A$1000,0)),"")</f>
        <v/>
      </c>
      <c r="C14" s="6" t="str">
        <f aca="false">IFERROR(INDEX(Catálogo!C$4:C$1000,MATCH($A$1&amp;"|"&amp;11,Índice!$A$4:$A$1000,0)),"")</f>
        <v/>
      </c>
      <c r="D14" s="6" t="str">
        <f aca="false">IFERROR(INDEX(Catálogo!D$4:D$1000,MATCH($A$1&amp;"|"&amp;11,Índice!$A$4:$A$1000,0)),"")</f>
        <v/>
      </c>
      <c r="E14" s="6" t="str">
        <f aca="false">IFERROR(INDEX(Catálogo!E$4:E$1000,MATCH($A$1&amp;"|"&amp;11,Índice!$A$4:$A$1000,0)),"")</f>
        <v/>
      </c>
      <c r="F14" s="5" t="str">
        <f aca="false">IFERROR(INDEX(Catálogo!F$4:F$1000,MATCH($A$1&amp;"|"&amp;11,Índice!$A$4:$A$1000,0)),"")</f>
        <v/>
      </c>
      <c r="G14" s="5" t="str">
        <f aca="false">IFERROR(INDEX(Catálogo!G$4:G$1000,MATCH($A$1&amp;"|"&amp;11,Índice!$A$4:$A$1000,0)),"")</f>
        <v/>
      </c>
      <c r="H14" s="5" t="str">
        <f aca="false">IFERROR(INDEX(Catálogo!H$4:H$1000,MATCH($A$1&amp;"|"&amp;11,Índice!$A$4:$A$1000,0)),"")</f>
        <v/>
      </c>
      <c r="I14" s="6" t="str">
        <f aca="false">IFERROR(INDEX(Catálogo!I$4:I$1000,MATCH($A$1&amp;"|"&amp;11,Índice!$A$4:$A$1000,0)),"")</f>
        <v/>
      </c>
      <c r="J14" s="6" t="str">
        <f aca="false">IFERROR(INDEX(Catálogo!J$4:J$1000,MATCH($A$1&amp;"|"&amp;11,Índice!$A$4:$A$1000,0)),"")</f>
        <v/>
      </c>
      <c r="K14" s="6" t="str">
        <f aca="false">IFERROR(INDEX(Catálogo!K$4:K$1000,MATCH($A$1&amp;"|"&amp;11,Índice!$A$4:$A$1000,0)),"")</f>
        <v/>
      </c>
      <c r="L14" s="6" t="str">
        <f aca="false">IFERROR(INDEX(Catálogo!L$4:L$1000,MATCH($A$1&amp;"|"&amp;11,Índice!$A$4:$A$1000,0)),"")</f>
        <v/>
      </c>
      <c r="M14" s="7" t="str">
        <f aca="false">IFERROR(INDEX(Catálogo!M$4:M$1000,MATCH($A$1&amp;"|"&amp;11,Índice!$A$4:$A$1000,0)),"")</f>
        <v/>
      </c>
    </row>
    <row r="15" customFormat="false" ht="42" hidden="false" customHeight="true" outlineLevel="0" collapsed="false">
      <c r="A15" s="5" t="str">
        <f aca="false">IFERROR(INDEX(Catálogo!A$4:A$1000,MATCH($A$1&amp;"|"&amp;12,Índice!$A$4:$A$1000,0)),"")</f>
        <v/>
      </c>
      <c r="B15" s="6" t="str">
        <f aca="false">IFERROR(INDEX(Catálogo!B$4:B$1000,MATCH($A$1&amp;"|"&amp;12,Índice!$A$4:$A$1000,0)),"")</f>
        <v/>
      </c>
      <c r="C15" s="6" t="str">
        <f aca="false">IFERROR(INDEX(Catálogo!C$4:C$1000,MATCH($A$1&amp;"|"&amp;12,Índice!$A$4:$A$1000,0)),"")</f>
        <v/>
      </c>
      <c r="D15" s="6" t="str">
        <f aca="false">IFERROR(INDEX(Catálogo!D$4:D$1000,MATCH($A$1&amp;"|"&amp;12,Índice!$A$4:$A$1000,0)),"")</f>
        <v/>
      </c>
      <c r="E15" s="6" t="str">
        <f aca="false">IFERROR(INDEX(Catálogo!E$4:E$1000,MATCH($A$1&amp;"|"&amp;12,Índice!$A$4:$A$1000,0)),"")</f>
        <v/>
      </c>
      <c r="F15" s="5" t="str">
        <f aca="false">IFERROR(INDEX(Catálogo!F$4:F$1000,MATCH($A$1&amp;"|"&amp;12,Índice!$A$4:$A$1000,0)),"")</f>
        <v/>
      </c>
      <c r="G15" s="5" t="str">
        <f aca="false">IFERROR(INDEX(Catálogo!G$4:G$1000,MATCH($A$1&amp;"|"&amp;12,Índice!$A$4:$A$1000,0)),"")</f>
        <v/>
      </c>
      <c r="H15" s="5" t="str">
        <f aca="false">IFERROR(INDEX(Catálogo!H$4:H$1000,MATCH($A$1&amp;"|"&amp;12,Índice!$A$4:$A$1000,0)),"")</f>
        <v/>
      </c>
      <c r="I15" s="6" t="str">
        <f aca="false">IFERROR(INDEX(Catálogo!I$4:I$1000,MATCH($A$1&amp;"|"&amp;12,Índice!$A$4:$A$1000,0)),"")</f>
        <v/>
      </c>
      <c r="J15" s="6" t="str">
        <f aca="false">IFERROR(INDEX(Catálogo!J$4:J$1000,MATCH($A$1&amp;"|"&amp;12,Índice!$A$4:$A$1000,0)),"")</f>
        <v/>
      </c>
      <c r="K15" s="6" t="str">
        <f aca="false">IFERROR(INDEX(Catálogo!K$4:K$1000,MATCH($A$1&amp;"|"&amp;12,Índice!$A$4:$A$1000,0)),"")</f>
        <v/>
      </c>
      <c r="L15" s="6" t="str">
        <f aca="false">IFERROR(INDEX(Catálogo!L$4:L$1000,MATCH($A$1&amp;"|"&amp;12,Índice!$A$4:$A$1000,0)),"")</f>
        <v/>
      </c>
      <c r="M15" s="7" t="str">
        <f aca="false">IFERROR(INDEX(Catálogo!M$4:M$1000,MATCH($A$1&amp;"|"&amp;12,Índice!$A$4:$A$1000,0)),"")</f>
        <v/>
      </c>
    </row>
    <row r="16" customFormat="false" ht="42" hidden="false" customHeight="true" outlineLevel="0" collapsed="false">
      <c r="A16" s="5" t="str">
        <f aca="false">IFERROR(INDEX(Catálogo!A$4:A$1000,MATCH($A$1&amp;"|"&amp;13,Índice!$A$4:$A$1000,0)),"")</f>
        <v/>
      </c>
      <c r="B16" s="6" t="str">
        <f aca="false">IFERROR(INDEX(Catálogo!B$4:B$1000,MATCH($A$1&amp;"|"&amp;13,Índice!$A$4:$A$1000,0)),"")</f>
        <v/>
      </c>
      <c r="C16" s="6" t="str">
        <f aca="false">IFERROR(INDEX(Catálogo!C$4:C$1000,MATCH($A$1&amp;"|"&amp;13,Índice!$A$4:$A$1000,0)),"")</f>
        <v/>
      </c>
      <c r="D16" s="6" t="str">
        <f aca="false">IFERROR(INDEX(Catálogo!D$4:D$1000,MATCH($A$1&amp;"|"&amp;13,Índice!$A$4:$A$1000,0)),"")</f>
        <v/>
      </c>
      <c r="E16" s="6" t="str">
        <f aca="false">IFERROR(INDEX(Catálogo!E$4:E$1000,MATCH($A$1&amp;"|"&amp;13,Índice!$A$4:$A$1000,0)),"")</f>
        <v/>
      </c>
      <c r="F16" s="5" t="str">
        <f aca="false">IFERROR(INDEX(Catálogo!F$4:F$1000,MATCH($A$1&amp;"|"&amp;13,Índice!$A$4:$A$1000,0)),"")</f>
        <v/>
      </c>
      <c r="G16" s="5" t="str">
        <f aca="false">IFERROR(INDEX(Catálogo!G$4:G$1000,MATCH($A$1&amp;"|"&amp;13,Índice!$A$4:$A$1000,0)),"")</f>
        <v/>
      </c>
      <c r="H16" s="5" t="str">
        <f aca="false">IFERROR(INDEX(Catálogo!H$4:H$1000,MATCH($A$1&amp;"|"&amp;13,Índice!$A$4:$A$1000,0)),"")</f>
        <v/>
      </c>
      <c r="I16" s="6" t="str">
        <f aca="false">IFERROR(INDEX(Catálogo!I$4:I$1000,MATCH($A$1&amp;"|"&amp;13,Índice!$A$4:$A$1000,0)),"")</f>
        <v/>
      </c>
      <c r="J16" s="6" t="str">
        <f aca="false">IFERROR(INDEX(Catálogo!J$4:J$1000,MATCH($A$1&amp;"|"&amp;13,Índice!$A$4:$A$1000,0)),"")</f>
        <v/>
      </c>
      <c r="K16" s="6" t="str">
        <f aca="false">IFERROR(INDEX(Catálogo!K$4:K$1000,MATCH($A$1&amp;"|"&amp;13,Índice!$A$4:$A$1000,0)),"")</f>
        <v/>
      </c>
      <c r="L16" s="6" t="str">
        <f aca="false">IFERROR(INDEX(Catálogo!L$4:L$1000,MATCH($A$1&amp;"|"&amp;13,Índice!$A$4:$A$1000,0)),"")</f>
        <v/>
      </c>
      <c r="M16" s="7" t="str">
        <f aca="false">IFERROR(INDEX(Catálogo!M$4:M$1000,MATCH($A$1&amp;"|"&amp;13,Índice!$A$4:$A$1000,0)),"")</f>
        <v/>
      </c>
    </row>
    <row r="17" customFormat="false" ht="42" hidden="false" customHeight="true" outlineLevel="0" collapsed="false">
      <c r="A17" s="5" t="str">
        <f aca="false">IFERROR(INDEX(Catálogo!A$4:A$1000,MATCH($A$1&amp;"|"&amp;14,Índice!$A$4:$A$1000,0)),"")</f>
        <v/>
      </c>
      <c r="B17" s="6" t="str">
        <f aca="false">IFERROR(INDEX(Catálogo!B$4:B$1000,MATCH($A$1&amp;"|"&amp;14,Índice!$A$4:$A$1000,0)),"")</f>
        <v/>
      </c>
      <c r="C17" s="6" t="str">
        <f aca="false">IFERROR(INDEX(Catálogo!C$4:C$1000,MATCH($A$1&amp;"|"&amp;14,Índice!$A$4:$A$1000,0)),"")</f>
        <v/>
      </c>
      <c r="D17" s="6" t="str">
        <f aca="false">IFERROR(INDEX(Catálogo!D$4:D$1000,MATCH($A$1&amp;"|"&amp;14,Índice!$A$4:$A$1000,0)),"")</f>
        <v/>
      </c>
      <c r="E17" s="6" t="str">
        <f aca="false">IFERROR(INDEX(Catálogo!E$4:E$1000,MATCH($A$1&amp;"|"&amp;14,Índice!$A$4:$A$1000,0)),"")</f>
        <v/>
      </c>
      <c r="F17" s="5" t="str">
        <f aca="false">IFERROR(INDEX(Catálogo!F$4:F$1000,MATCH($A$1&amp;"|"&amp;14,Índice!$A$4:$A$1000,0)),"")</f>
        <v/>
      </c>
      <c r="G17" s="5" t="str">
        <f aca="false">IFERROR(INDEX(Catálogo!G$4:G$1000,MATCH($A$1&amp;"|"&amp;14,Índice!$A$4:$A$1000,0)),"")</f>
        <v/>
      </c>
      <c r="H17" s="5" t="str">
        <f aca="false">IFERROR(INDEX(Catálogo!H$4:H$1000,MATCH($A$1&amp;"|"&amp;14,Índice!$A$4:$A$1000,0)),"")</f>
        <v/>
      </c>
      <c r="I17" s="6" t="str">
        <f aca="false">IFERROR(INDEX(Catálogo!I$4:I$1000,MATCH($A$1&amp;"|"&amp;14,Índice!$A$4:$A$1000,0)),"")</f>
        <v/>
      </c>
      <c r="J17" s="6" t="str">
        <f aca="false">IFERROR(INDEX(Catálogo!J$4:J$1000,MATCH($A$1&amp;"|"&amp;14,Índice!$A$4:$A$1000,0)),"")</f>
        <v/>
      </c>
      <c r="K17" s="6" t="str">
        <f aca="false">IFERROR(INDEX(Catálogo!K$4:K$1000,MATCH($A$1&amp;"|"&amp;14,Índice!$A$4:$A$1000,0)),"")</f>
        <v/>
      </c>
      <c r="L17" s="6" t="str">
        <f aca="false">IFERROR(INDEX(Catálogo!L$4:L$1000,MATCH($A$1&amp;"|"&amp;14,Índice!$A$4:$A$1000,0)),"")</f>
        <v/>
      </c>
      <c r="M17" s="7" t="str">
        <f aca="false">IFERROR(INDEX(Catálogo!M$4:M$1000,MATCH($A$1&amp;"|"&amp;14,Índice!$A$4:$A$1000,0)),"")</f>
        <v/>
      </c>
    </row>
    <row r="18" customFormat="false" ht="42" hidden="false" customHeight="true" outlineLevel="0" collapsed="false">
      <c r="A18" s="5" t="str">
        <f aca="false">IFERROR(INDEX(Catálogo!A$4:A$1000,MATCH($A$1&amp;"|"&amp;15,Índice!$A$4:$A$1000,0)),"")</f>
        <v/>
      </c>
      <c r="B18" s="6" t="str">
        <f aca="false">IFERROR(INDEX(Catálogo!B$4:B$1000,MATCH($A$1&amp;"|"&amp;15,Índice!$A$4:$A$1000,0)),"")</f>
        <v/>
      </c>
      <c r="C18" s="6" t="str">
        <f aca="false">IFERROR(INDEX(Catálogo!C$4:C$1000,MATCH($A$1&amp;"|"&amp;15,Índice!$A$4:$A$1000,0)),"")</f>
        <v/>
      </c>
      <c r="D18" s="6" t="str">
        <f aca="false">IFERROR(INDEX(Catálogo!D$4:D$1000,MATCH($A$1&amp;"|"&amp;15,Índice!$A$4:$A$1000,0)),"")</f>
        <v/>
      </c>
      <c r="E18" s="6" t="str">
        <f aca="false">IFERROR(INDEX(Catálogo!E$4:E$1000,MATCH($A$1&amp;"|"&amp;15,Índice!$A$4:$A$1000,0)),"")</f>
        <v/>
      </c>
      <c r="F18" s="5" t="str">
        <f aca="false">IFERROR(INDEX(Catálogo!F$4:F$1000,MATCH($A$1&amp;"|"&amp;15,Índice!$A$4:$A$1000,0)),"")</f>
        <v/>
      </c>
      <c r="G18" s="5" t="str">
        <f aca="false">IFERROR(INDEX(Catálogo!G$4:G$1000,MATCH($A$1&amp;"|"&amp;15,Índice!$A$4:$A$1000,0)),"")</f>
        <v/>
      </c>
      <c r="H18" s="5" t="str">
        <f aca="false">IFERROR(INDEX(Catálogo!H$4:H$1000,MATCH($A$1&amp;"|"&amp;15,Índice!$A$4:$A$1000,0)),"")</f>
        <v/>
      </c>
      <c r="I18" s="6" t="str">
        <f aca="false">IFERROR(INDEX(Catálogo!I$4:I$1000,MATCH($A$1&amp;"|"&amp;15,Índice!$A$4:$A$1000,0)),"")</f>
        <v/>
      </c>
      <c r="J18" s="6" t="str">
        <f aca="false">IFERROR(INDEX(Catálogo!J$4:J$1000,MATCH($A$1&amp;"|"&amp;15,Índice!$A$4:$A$1000,0)),"")</f>
        <v/>
      </c>
      <c r="K18" s="6" t="str">
        <f aca="false">IFERROR(INDEX(Catálogo!K$4:K$1000,MATCH($A$1&amp;"|"&amp;15,Índice!$A$4:$A$1000,0)),"")</f>
        <v/>
      </c>
      <c r="L18" s="6" t="str">
        <f aca="false">IFERROR(INDEX(Catálogo!L$4:L$1000,MATCH($A$1&amp;"|"&amp;15,Índice!$A$4:$A$1000,0)),"")</f>
        <v/>
      </c>
      <c r="M18" s="7" t="str">
        <f aca="false">IFERROR(INDEX(Catálogo!M$4:M$1000,MATCH($A$1&amp;"|"&amp;15,Índice!$A$4:$A$1000,0)),"")</f>
        <v/>
      </c>
    </row>
  </sheetData>
  <autoFilter ref="A3:M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1289</v>
      </c>
      <c r="I1" s="17" t="str">
        <f aca="false">COUNTIF(Catálogo!$C$4:$C$1000,$A$1)&amp;IF(COUNTIF(Catálogo!$C$4:$C$1000,$A$1)=1," instrumento nesta área"," instrumentos nesta área")</f>
        <v>3 instrumentos nesta área</v>
      </c>
    </row>
    <row r="2" customFormat="false" ht="15" hidden="false" customHeight="true" outlineLevel="0" collapsed="false">
      <c r="A2" s="18" t="s">
        <v>1488</v>
      </c>
      <c r="I2" s="19" t="str">
        <f aca="false">IF(COUNTIF(Catálogo!$C$4:$C$1000,$A$1)&gt;10,"⚠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192</v>
      </c>
      <c r="B4" s="6" t="str">
        <f aca="false">IFERROR(INDEX(Catálogo!B$4:B$1000,MATCH($A$1&amp;"|"&amp;1,Índice!$A$4:$A$1000,0)),"")</f>
        <v>EIFP — Escala de Interferência Funcional Pediátrica (Formas C e P)</v>
      </c>
      <c r="C4" s="6" t="str">
        <f aca="false">IFERROR(INDEX(Catálogo!C$4:C$1000,MATCH($A$1&amp;"|"&amp;1,Índice!$A$4:$A$1000,0)),"")</f>
        <v>Funcionamento &amp; Interferência Funcional</v>
      </c>
      <c r="D4" s="6" t="str">
        <f aca="false">IFERROR(INDEX(Catálogo!D$4:D$1000,MATCH($A$1&amp;"|"&amp;1,Índice!$A$4:$A$1000,0)),"")</f>
        <v>Criança/Jovem,Mãe,Pai,Enc. Educação</v>
      </c>
      <c r="E4" s="6" t="str">
        <f aca="false">IFERROR(INDEX(Catálogo!E$4:E$1000,MATCH($A$1&amp;"|"&amp;1,Índice!$A$4:$A$1000,0)),"")</f>
        <v>7–18 anos</v>
      </c>
      <c r="F4" s="5" t="n">
        <f aca="false">IFERROR(INDEX(Catálogo!F$4:F$1000,MATCH($A$1&amp;"|"&amp;1,Índice!$A$4:$A$1000,0)),"")</f>
        <v>7</v>
      </c>
      <c r="G4" s="5" t="n">
        <f aca="false">IFERROR(INDEX(Catálogo!G$4:G$1000,MATCH($A$1&amp;"|"&amp;1,Índice!$A$4:$A$1000,0)),"")</f>
        <v>18</v>
      </c>
      <c r="H4" s="5" t="n">
        <f aca="false">IFERROR(INDEX(Catálogo!H$4:H$1000,MATCH($A$1&amp;"|"&amp;1,Índice!$A$4:$A$1000,0)),"")</f>
        <v>13</v>
      </c>
      <c r="I4" s="6" t="str">
        <f aca="false">IFERROR(INDEX(Catálogo!I$4:I$1000,MATCH($A$1&amp;"|"&amp;1,Índice!$A$4:$A$1000,0)),"")</f>
        <v>Mede a INTERFERÊNCIA FUNCIONAL atribuída ao problema-alvo em três domínios de vida da criança ou adolescente, na janela dos ÚLTIMOS 7 DIAS. Instrumento ORIGINAL em português europeu (adaptação inspirada, Via B), construído a partir do enquadramento conceptual e da estrutura psicométrica da Child Sheehan Disability Scale (CSDS/CSDS-P; Whiteside, 2009), SEM reprodução de itens, instruções ou ancoragens protegidas. Duas formas na mesma aba: EIFP-C, autorrelato a partir dos 7 anos, 3 itens 0–10 (total 0–30), e EIFP-P, heterorrelato do cuidador, 5 itens 0–10 (total 0–50) em duas subescalas — Subescala I, interferência na vida da criança (2 itens, 0–20), e Subescala II, interferência na vida do cuidador e da família (3 itens, 0–30). O domínio familiar aparece UMA só vez, referido ao agregado. A leitura primária é feita por DOMÍNIO, não pelo total: consideram-se assinalados os domínios com pontuação SUPERIOR a 5 (Williams, 2000), critério que NÃO deve ser confundido com o ponto de corte de Leon et al. (1997), que incide sobre o total e está documentado mas não é aplicado. Um total baixo pode coexistir com interferência extrema num único domínio (ex.: 10 / 0 / 0 = total 10), pelo que o total é sempre leitura secundária. ⚠ As bandas descritivas de intensidade média — Nula · Ligeira · Moderada · Marcada · Extrema — derivam das ancoragens verbais da própria escala de resposta e NÃO constituem pontos de corte clínicos. ⚠ O instrumento mede INTERFERÊNCIA FUNCIONAL atribuída pelo informante: não mede sintomatologia, gravidade sintomática nem etiologia, e discrepâncias entre sintomas e interferência são informação clínica e não erro de medida. ⚠ As pontuações NÃO são comparáveis entre instrumentos da família EIF, por divergirem as janelas temporais, os referentes e as populações-alvo. ⚠ Sem estudo psicométrico próprio e sem normas portuguesas. ⚠ As referências externas (valores z e limiar de mudança fiável) são da CSDS/CSDS-P, instrumento DISTINTO da EIFP, em amostra norte-americana predominantemente caucasiana e de escolaridade parental elevada; nas amostras comunitárias o desvio-padrão iguala ou excede a média, o que indica assimetria positiva severa e efeito de chão, pelo que os valores z NÃO são convertidos em percentis. ⚠ Whiteside não publicou α por subescala: o índice de mudança fiável só é calculável para os totais, e as subescalas ficam n.d. por construção, sem estimativa. ⚠ Os critérios grupais de Sheehan &amp; Sheehan (2008) NÃO são aplicados nesta versão pediátrica, por derivarem de ensaios com adultos. ⚠ A concordância entre informantes é habitualmente modesta na avaliação pediátrica: divergências entre a Forma C e a Forma P são perspetivas distintas, não erro de medida</v>
      </c>
      <c r="J4" s="6" t="str">
        <f aca="false">IFERROR(INDEX(Catálogo!J$4:J$1000,MATCH($A$1&amp;"|"&amp;1,Índice!$A$4:$A$1000,0)),"")</f>
        <v>EIFP-C Total (3 itens, 0–30) — autorrelato da criança ou adolescente sobre escola, amigos e casa | EIFP-P Subescala I — interferência na vida da criança (2 itens, 0–20): escolaridade e vida social | EIFP-P Subescala II — interferência na vida do cuidador e da família (3 itens, 0–30): trabalho e vida social do cuidador, e vida familiar do agregado | EIFP-P Total (5 itens, 0–50) | Sinalização por domínio — assinalável se pontuação SUPERIOR a 5; é o critério primário de leitura e reporta-se domínio a domínio, nunca por agregação | Banda descritiva de intensidade média (média por domínio) — Nula (0) · Ligeira (≤3) · Moderada (≤6) · Marcada (≤9) · Extrema (&gt;9); descreve INTENSIDADE MÉDIA declarada, nunca gravidade clínica nem posição normativa | Dispersão do perfil — perfil dissociado quando a amplitude entre domínios do autorrelato é ≥ 5 pontos, indicando que a leitura pelo total subestimaria o compromisso no domínio mais afetado | Bloco complementar de dias — indicador ecológico externo a QUALQUER total, sem entrar em nenhuma pontuação de escala | Regra de omissão sem imputação — o total de uma escala só é calculado se TODOS os seus itens estiverem respondidos; não há prorrateamento nem estimativa | Distribuição da carga percebida — se se concentra na vida da criança, na do cuidador e família, ou se se distribui de forma equilibrada | Convergência entre informantes — comparação entre a média por domínio do autorrelato e a da Subescala I do heterorrelato; divergências são perspetivas distintas, não erro de medida | Índice de mudança fiável individual (ICF; Jacobson &amp; Truax, 1991) entre M1 e M2 — limiar 8,70 no total do autorrelato e 9,90 no total do heterorrelato; NÃO calculável nas subescalas, por ausência de α publicado | Posição face a referências externas (valores z face à amostra comunitária e à amostra clínica da CSDS/CSDS-P) — sem conversão percentílica, por invalidade estatística</v>
      </c>
      <c r="K4" s="6" t="str">
        <f aca="false">IFERROR(INDEX(Catálogo!K$4:K$1000,MATCH($A$1&amp;"|"&amp;1,Índice!$A$4:$A$1000,0)),"")</f>
        <v>eifp</v>
      </c>
      <c r="L4" s="6" t="str">
        <f aca="false">IFERROR(INDEX(Catálogo!L$4:L$1000,MATCH($A$1&amp;"|"&amp;1,Índice!$A$4:$A$1000,0)),"")</f>
        <v>q_eifp</v>
      </c>
      <c r="M4" s="7" t="str">
        <f aca="false">IFERROR(INDEX(Catálogo!M$4:M$1000,MATCH($A$1&amp;"|"&amp;1,Índice!$A$4:$A$1000,0)),"")</f>
        <v>https://correiaricardina-ui.github.io/questionarios/EIFP_v1.html</v>
      </c>
    </row>
    <row r="5" customFormat="false" ht="42" hidden="false" customHeight="true" outlineLevel="0" collapsed="false">
      <c r="A5" s="5" t="n">
        <f aca="false">IFERROR(INDEX(Catálogo!A$4:A$1000,MATCH($A$1&amp;"|"&amp;2,Índice!$A$4:$A$1000,0)),"")</f>
        <v>193</v>
      </c>
      <c r="B5" s="6" t="str">
        <f aca="false">IFERROR(INDEX(Catálogo!B$4:B$1000,MATCH($A$1&amp;"|"&amp;2,Índice!$A$4:$A$1000,0)),"")</f>
        <v>EIFA — Escala de Interferência Funcional em Adultos (Formas A e S)</v>
      </c>
      <c r="C5" s="6" t="str">
        <f aca="false">IFERROR(INDEX(Catálogo!C$4:C$1000,MATCH($A$1&amp;"|"&amp;2,Índice!$A$4:$A$1000,0)),"")</f>
        <v>Funcionamento &amp; Interferência Funcional</v>
      </c>
      <c r="D5" s="6" t="str">
        <f aca="false">IFERROR(INDEX(Catálogo!D$4:D$1000,MATCH($A$1&amp;"|"&amp;2,Índice!$A$4:$A$1000,0)),"")</f>
        <v>Próprio,Companheiro(a),Familiar</v>
      </c>
      <c r="E5" s="6" t="str">
        <f aca="false">IFERROR(INDEX(Catálogo!E$4:E$1000,MATCH($A$1&amp;"|"&amp;2,Índice!$A$4:$A$1000,0)),"")</f>
        <v>18–99 anos</v>
      </c>
      <c r="F5" s="5" t="n">
        <f aca="false">IFERROR(INDEX(Catálogo!F$4:F$1000,MATCH($A$1&amp;"|"&amp;2,Índice!$A$4:$A$1000,0)),"")</f>
        <v>18</v>
      </c>
      <c r="G5" s="5" t="n">
        <f aca="false">IFERROR(INDEX(Catálogo!G$4:G$1000,MATCH($A$1&amp;"|"&amp;2,Índice!$A$4:$A$1000,0)),"")</f>
        <v>99</v>
      </c>
      <c r="H5" s="5" t="n">
        <f aca="false">IFERROR(INDEX(Catálogo!H$4:H$1000,MATCH($A$1&amp;"|"&amp;2,Índice!$A$4:$A$1000,0)),"")</f>
        <v>14</v>
      </c>
      <c r="I5" s="6" t="str">
        <f aca="false">IFERROR(INDEX(Catálogo!I$4:I$1000,MATCH($A$1&amp;"|"&amp;2,Índice!$A$4:$A$1000,0)),"")</f>
        <v>Mede a INTERFERÊNCIA FUNCIONAL atribuída ao problema-alvo em três domínios de vida do adulto, na janela dos ÚLTIMOS 7 DIAS. Duas formas na mesma aba: EIFA-A, autorrelato do próprio, 3 itens 0–10 (total 0–30), adaptação inspirada (Via B) da Sheehan Disability Scale (Sheehan, 1983) sem reprodução de conteúdo protegido; e EIFA-S, heterorrelato do companheiro ou outra pessoa significativa, 5 itens 0–10 (total 0–50) em duas subescalas — Subescala I, interferência na vida do próprio (2 itens, 0–20), e Subescala II, interferência na vida do informante e do agregado (3 itens, 0–30) —, esta construção DE RAIZ (Via C), seguindo a solução bifatorial validada por Whiteside (2009) no heterorrelato pediátrico. O domínio familiar aparece UMA só vez, referido ao agregado, porque o casal o partilha. A leitura primária é feita por DOMÍNIO, não pelo total: consideram-se assinalados os domínios com pontuação SUPERIOR a 5 (Williams, 2000), critério que NÃO deve ser confundido com o ponto de corte de Leon et al. (1997), que incide sobre o total e está documentado mas não é aplicado. Um total baixo pode coexistir com interferência extrema num único domínio (ex.: 10 / 0 / 0 = total 10), pelo que o total é sempre leitura secundária. ⚠ As bandas descritivas de intensidade média — Nula · Ligeira · Moderada · Marcada · Extrema — derivam das ancoragens verbais da própria escala de resposta e NÃO constituem pontos de corte clínicos. ⚠ O instrumento mede INTERFERÊNCIA FUNCIONAL atribuída pelo informante: não mede sintomatologia, gravidade sintomática nem etiologia, e discrepâncias entre sintomas e interferência são informação clínica e não erro de medida. ⚠ As pontuações NÃO são comparáveis entre instrumentos da família EIF, por divergirem as janelas temporais, os referentes e as populações-alvo. ⚠ Sem estudo psicométrico próprio e sem normas portuguesas. ⚠ As referências externas da Forma A provêm de um ensaio clínico em ADULTOS COM PHDA (Coles et al., 2014), com critérios de inclusão que restringiram a variância inicial: a média de referência de 20,5 é elevada e reflete uma amostra selecionada por gravidade, não a população geral. ⚠ A Forma S NÃO dispõe de qualquer referência publicada — não existe versão de informante validada da escala-fonte, nem normas, α, estrutura fatorial ou fidelidade conhecidos —, pelo que não são apresentados valores z nem limiar de mudança fiável e a leitura é exclusivamente por domínio e por comparação intra-sujeito entre momentos. ⚠ Os critérios de remissão (≤6), resposta (≤12) e melhoria (redução ≥4) de Sheehan &amp; Sheehan (2008) são de nível GRUPAL, derivados de médias de ensaios clínicos e não específicos de perturbação: aplicam-se apenas ao total do autorrelato e NÃO substituem o índice de mudança fiável individual, substancialmente mais exigente</v>
      </c>
      <c r="J5" s="6" t="str">
        <f aca="false">IFERROR(INDEX(Catálogo!J$4:J$1000,MATCH($A$1&amp;"|"&amp;2,Índice!$A$4:$A$1000,0)),"")</f>
        <v>EIFA-A Total (3 itens, 0–30) — autorrelato sobre trabalho ou estudos, vida social e lazer, e vida familiar | EIFA-S Subescala I — interferência na vida do próprio (2 itens, 0–20), percebida pelo informante | EIFA-S Subescala II — interferência na vida do informante e do agregado (3 itens, 0–30) | EIFA-S Total (5 itens, 0–50) | Sinalização por domínio — assinalável se pontuação SUPERIOR a 5; é o critério primário de leitura e reporta-se domínio a domínio, nunca por agregação | Banda descritiva de intensidade média (média por domínio) — Nula (0) · Ligeira (≤3) · Moderada (≤6) · Marcada (≤9) · Extrema (&gt;9); descreve INTENSIDADE MÉDIA declarada, nunca gravidade clínica nem posição normativa | Dispersão do perfil — perfil dissociado quando a amplitude entre domínios do autorrelato é ≥ 5 pontos, indicando que a leitura pelo total subestimaria o compromisso no domínio mais afetado | Bloco complementar de dias — indicador ecológico externo a QUALQUER total, sem entrar em nenhuma pontuação de escala | Regra de omissão sem imputação — o total de uma escala só é calculado se TODOS os seus itens estiverem respondidos; não há prorrateamento nem estimativa | Distribuição da carga percebida — se a interferência se concentra na vida do próprio, na do informante e agregado, ou se se distribui de forma equilibrada | Convergência entre informantes — comparação entre a média por domínio do autorrelato e a da Subescala I do heterorrelato | Índice de mudança fiável individual (ICF; Jacobson &amp; Truax, 1991) entre M1 e M2 — limiar 6,99 no total do autorrelato; NÃO calculável na Forma S, por ausência de referências | Critérios de nível GRUPAL (Sheehan &amp; Sheehan, 2008), apenas no total do autorrelato — remissão ≤6, resposta ≤12, melhoria com redução ≥4; apresentados em bloco separado do índice individual, que não substituem | Posição face a referências externas (valores z face à média clínica inicial e à pós-tratamento de Coles et al., 2014) — apenas na Forma A, sem conversão percentílica</v>
      </c>
      <c r="K5" s="6" t="str">
        <f aca="false">IFERROR(INDEX(Catálogo!K$4:K$1000,MATCH($A$1&amp;"|"&amp;2,Índice!$A$4:$A$1000,0)),"")</f>
        <v>eifa</v>
      </c>
      <c r="L5" s="6" t="str">
        <f aca="false">IFERROR(INDEX(Catálogo!L$4:L$1000,MATCH($A$1&amp;"|"&amp;2,Índice!$A$4:$A$1000,0)),"")</f>
        <v>q_eifa</v>
      </c>
      <c r="M5" s="7" t="str">
        <f aca="false">IFERROR(INDEX(Catálogo!M$4:M$1000,MATCH($A$1&amp;"|"&amp;2,Índice!$A$4:$A$1000,0)),"")</f>
        <v>https://correiaricardina-ui.github.io/questionarios/EIFA_v1.html</v>
      </c>
    </row>
    <row r="6" customFormat="false" ht="42" hidden="false" customHeight="true" outlineLevel="0" collapsed="false">
      <c r="A6" s="5" t="n">
        <f aca="false">IFERROR(INDEX(Catálogo!A$4:A$1000,MATCH($A$1&amp;"|"&amp;3,Índice!$A$4:$A$1000,0)),"")</f>
        <v>202</v>
      </c>
      <c r="B6" s="6" t="str">
        <f aca="false">IFERROR(INDEX(Catálogo!B$4:B$1000,MATCH($A$1&amp;"|"&amp;3,Índice!$A$4:$A$1000,0)),"")</f>
        <v>EQVA-41 — Escala de Qualidade de Vida do Adolescente</v>
      </c>
      <c r="C6" s="6" t="str">
        <f aca="false">IFERROR(INDEX(Catálogo!C$4:C$1000,MATCH($A$1&amp;"|"&amp;3,Índice!$A$4:$A$1000,0)),"")</f>
        <v>Funcionamento &amp; Interferência Funcional</v>
      </c>
      <c r="D6" s="6" t="str">
        <f aca="false">IFERROR(INDEX(Catálogo!D$4:D$1000,MATCH($A$1&amp;"|"&amp;3,Índice!$A$4:$A$1000,0)),"")</f>
        <v>Próprio</v>
      </c>
      <c r="E6" s="6" t="str">
        <f aca="false">IFERROR(INDEX(Catálogo!E$4:E$1000,MATCH($A$1&amp;"|"&amp;3,Índice!$A$4:$A$1000,0)),"")</f>
        <v>11–18 anos</v>
      </c>
      <c r="F6" s="5" t="n">
        <f aca="false">IFERROR(INDEX(Catálogo!F$4:F$1000,MATCH($A$1&amp;"|"&amp;3,Índice!$A$4:$A$1000,0)),"")</f>
        <v>11</v>
      </c>
      <c r="G6" s="5" t="n">
        <f aca="false">IFERROR(INDEX(Catálogo!G$4:G$1000,MATCH($A$1&amp;"|"&amp;3,Índice!$A$4:$A$1000,0)),"")</f>
        <v>18</v>
      </c>
      <c r="H6" s="5" t="n">
        <f aca="false">IFERROR(INDEX(Catálogo!H$4:H$1000,MATCH($A$1&amp;"|"&amp;3,Índice!$A$4:$A$1000,0)),"")</f>
        <v>12</v>
      </c>
      <c r="I6" s="6" t="str">
        <f aca="false">IFERROR(INDEX(Catálogo!I$4:I$1000,MATCH($A$1&amp;"|"&amp;3,Índice!$A$4:$A$1000,0)),"")</f>
        <v>Avalia a QUALIDADE DE VIDA PERCEBIDA na adolescência enquanto construto perceptual — aquilo que apenas o próprio jovem pode reportar, por oposição aos indicadores contextuais observáveis por terceiros (rendimento do agregado, composição familiar, tipologia escolar). Instrumento de CONSTRUÇÃO ORIGINAL INSPIRADA, em português europeu, tecnicamente equivalente ao Youth Quality of Life Instrument – Research Version (YQOL-R) quanto ao modelo conceptual, à estrutura em quatro domínios, ao número de itens e ao formato de resposta, mas que NÃO reproduz, não traduz nem deriva do texto dos itens originais: o YQOL-R está protegido por direitos de autor da University of Washington, que mantém o controlo das traduções autorizadas, pelo que uma tradução para português europeu constituiria obra derivada não autorizada. Referencial: modelo multidimensional de qualidade de vida percebida em adolescentes (Patrick, Edwards &amp; Topolski, 2002; Edwards, Huebner, Connell &amp; Patrick, 2002) e enquadramento conceptual da OMS quanto à definição de qualidade de vida como perceção subjetiva (WHOQOL Group, 1995). 41 itens em escala numérica de 11 pontos (0 «de maneira nenhuma» a 10 «completamente»), período de referência: perceção habitual, EM GERAL, e não o estado do dia da aplicação. Dois itens de formulação negativa (23 e 29) são invertidos antes de qualquer soma (valor cotado = 10 − resposta) para controlar o padrão de resposta automática. ⚠ Instrumento EXCLUSIVAMENTE DE AUTORRELATO: a heteroavaliação por pais ou professores mede um construto diferente e não é intermutável. ⚠ A transformação linear para a métrica 0–100 é indispensável — os domínios têm números de itens diferentes e as somas brutas não são comparáveis entre si; a pontuação total calcula-se sobre a soma dos 41 itens e NÃO sobre a média das quatro pontuações transformadas, que atribuiria peso idêntico a domínios com 3 e com 15 itens. ⚠ Até 20% dos itens de um domínio podem ser substituídos pela média dos itens respondidos desse domínio (máximo: 2 em SS, 3 em REL, 1 em AMB, 0 em QVG); acima desse limite o domínio não é cotado e a pontuação total não é calculada. ⚠ NÃO EXISTEM NORMAS PUBLICADAS nem estudo de estrutura fatorial, de fidelidade ou de validade de critério para a população portuguesa: as faixas (0–39 Muito baixa · 40–54 Baixa · 55–69 Moderada · 70–84 Elevada · 85–100 Muito elevada) assentam em CRITÉRIO CRITERIAL, definido sobre a proporção da amplitude da escala efetivamente utilizada, destinam-se a orientar a leitura clínica e NÃO constituem pontos de corte validados; são por isso apresentadas em paleta AZUL, ficando o VERMELHO reservado aos itens de sinalização, que são bandeiras binárias de exploração dirigida e não medidas de intensidade. ⚠ A leitura é obrigatoriamente PERFILAR e não apenas totalitária: a dissociação entre o Sentido de Si e as Relações identifica configurações clinicamente relevantes — nomeadamente perfis de sofrimento interno em contexto relacional continente, frequentes em quadros internalizantes, em que a pontuação total tende a SUBESTIMAR a gravidade. ⚠ Utilização EXPLORATÓRIA, de apoio à formulação clínica e à monitorização INTRAINDIVIDUAL; não pode ser apresentado como equivalente ao YQOL-R nem utilizado em investigação como substituto de instrumento validado. ⚠ Aplicação em 10 a 15 minutos, autoadministrada, com leitura assistida quando existirem dificuldades de literacia, sem interpretação nem reformulação dos itens; não identificar ao jovem quais os itens invertidos nem agrupar visivelmente os itens por domínio, para reduzir o enviesamento por aquiescência ou por consistência percebida.</v>
      </c>
      <c r="J6" s="6" t="str">
        <f aca="false">IFERROR(INDEX(Catálogo!J$4:J$1000,MATCH($A$1&amp;"|"&amp;3,Índice!$A$4:$A$1000,0)),"")</f>
        <v>I — Sentido de Si (SS), itens 1 a 14: autoperceção, autoeficácia, corporalidade e sentido pessoal; soma bruta 0–140, transformada em (soma ÷ 140) × 100 | II — Relações (REL), itens 15 a 29: vinculação aos cuidadores e pertença ao grupo de pares; soma bruta 0–150, transformada em (soma ÷ 150) × 100; inclui os dois itens invertidos (23 isolamento percebido, 29 rejeição pelos pares) | III — Ambiente e Comunidade (AMB), itens 30 a 38: segurança, recursos e oportunidades disponíveis; soma bruta 0–90, transformada em (soma ÷ 90) × 100 | IV — Qualidade de Vida Geral (QVG), itens 39 a 41: apreciação integrada e sintética da própria vida; soma bruta 0–30, transformada em (soma ÷ 30) × 100 | Pontuação total, 41 itens: soma bruta 0–410, transformada em (soma ÷ 410) × 100; calculada sobre a soma dos itens e NUNCA sobre a média das quatro pontuações transformadas | Classificação criterial por faixa (Muito baixa &lt;40 · Baixa 40–54 · Moderada 55–69 · Elevada 70–84 · Muito elevada ≥85), aplicada a cada domínio e ao total; critério criterial, sem base normativa | Configuração do perfil SS × REL (diferença mínima de 20 pontos na métrica 0–100): dissociação com Sentido de Si muito abaixo das Relações — sofrimento interno em contexto continente, frequente em quadros internalizantes e em depressão de início na adolescência, em que o total subestima a gravidade; dissociação com Relações muito abaixo do Sentido de Si — dificuldade relacional circunscrita com recursos pessoais mantidos, prognóstico habitualmente mais favorável, que orienta a intervenção para competências sociais ou para a dinâmica familiar; ou perfil homogéneo | Coerência da apreciação global: QVG comparado com a média dos três domínios específicos (limiar de 20 pontos) — apreciação global negativa não sustentada pelos conteúdos específicos é compatível com enviesamento cognitivo negativo, característico de quadros depressivos, e deve ser explicitada em vez de omitida; apreciação global acima dos domínios específicos recomenda verificar desejabilidade social | AMB baixo isolado: remete para condições contextuais objetivas (segurança, recursos, escola) e NÃO para funcionamento psicológico; exige verificação com os cuidadores e, quando aplicável, sinalização | Itens de sinalização clínica (bandeiras binárias, exploração dirigida na mesma sessão ou na imediatamente seguinte): item 23 isolamento percebido e item 29 rejeição pelos pares, ambos sinalizados sobre a resposta BRUTA elevada (≥ 8) por serem de formulação negativa; itens 34 privação material percebida, 35 segurança no contexto familiar, 38 segurança no contexto escolar e 41 avaliação global do valor da própria vida, sinalizados sobre a resposta bruta baixa (≤ 2) | Regra de omissos: até 20% dos itens de um domínio substituídos pela média dos itens respondidos (máximo 2 em SS, 3 em REL, 1 em AMB, 0 em QVG); acima do limite o domínio não é cotado e o total não é calculado | Momento de avaliação (linha de base · reavaliação 1 · reavaliação 2 · final) para monitorização intraindividual da evolução do perfil</v>
      </c>
      <c r="K6" s="6" t="str">
        <f aca="false">IFERROR(INDEX(Catálogo!K$4:K$1000,MATCH($A$1&amp;"|"&amp;3,Índice!$A$4:$A$1000,0)),"")</f>
        <v>eqva41</v>
      </c>
      <c r="L6" s="6" t="str">
        <f aca="false">IFERROR(INDEX(Catálogo!L$4:L$1000,MATCH($A$1&amp;"|"&amp;3,Índice!$A$4:$A$1000,0)),"")</f>
        <v>q_eqva41</v>
      </c>
      <c r="M6" s="7" t="str">
        <f aca="false">IFERROR(INDEX(Catálogo!M$4:M$1000,MATCH($A$1&amp;"|"&amp;3,Índice!$A$4:$A$1000,0)),"")</f>
        <v>https://correiaricardina-ui.github.io/questionarios/EQVA41_v1.html</v>
      </c>
    </row>
    <row r="7" customFormat="false" ht="42" hidden="false" customHeight="true" outlineLevel="0" collapsed="false">
      <c r="A7" s="5" t="str">
        <f aca="false">IFERROR(INDEX(Catálogo!A$4:A$1000,MATCH($A$1&amp;"|"&amp;4,Índice!$A$4:$A$1000,0)),"")</f>
        <v/>
      </c>
      <c r="B7" s="6" t="str">
        <f aca="false">IFERROR(INDEX(Catálogo!B$4:B$1000,MATCH($A$1&amp;"|"&amp;4,Índice!$A$4:$A$1000,0)),"")</f>
        <v/>
      </c>
      <c r="C7" s="6" t="str">
        <f aca="false">IFERROR(INDEX(Catálogo!C$4:C$1000,MATCH($A$1&amp;"|"&amp;4,Índice!$A$4:$A$1000,0)),"")</f>
        <v/>
      </c>
      <c r="D7" s="6" t="str">
        <f aca="false">IFERROR(INDEX(Catálogo!D$4:D$1000,MATCH($A$1&amp;"|"&amp;4,Índice!$A$4:$A$1000,0)),"")</f>
        <v/>
      </c>
      <c r="E7" s="6" t="str">
        <f aca="false">IFERROR(INDEX(Catálogo!E$4:E$1000,MATCH($A$1&amp;"|"&amp;4,Índice!$A$4:$A$1000,0)),"")</f>
        <v/>
      </c>
      <c r="F7" s="5" t="str">
        <f aca="false">IFERROR(INDEX(Catálogo!F$4:F$1000,MATCH($A$1&amp;"|"&amp;4,Índice!$A$4:$A$1000,0)),"")</f>
        <v/>
      </c>
      <c r="G7" s="5" t="str">
        <f aca="false">IFERROR(INDEX(Catálogo!G$4:G$1000,MATCH($A$1&amp;"|"&amp;4,Índice!$A$4:$A$1000,0)),"")</f>
        <v/>
      </c>
      <c r="H7" s="5" t="str">
        <f aca="false">IFERROR(INDEX(Catálogo!H$4:H$1000,MATCH($A$1&amp;"|"&amp;4,Índice!$A$4:$A$1000,0)),"")</f>
        <v/>
      </c>
      <c r="I7" s="6" t="str">
        <f aca="false">IFERROR(INDEX(Catálogo!I$4:I$1000,MATCH($A$1&amp;"|"&amp;4,Índice!$A$4:$A$1000,0)),"")</f>
        <v/>
      </c>
      <c r="J7" s="6" t="str">
        <f aca="false">IFERROR(INDEX(Catálogo!J$4:J$1000,MATCH($A$1&amp;"|"&amp;4,Índice!$A$4:$A$1000,0)),"")</f>
        <v/>
      </c>
      <c r="K7" s="6" t="str">
        <f aca="false">IFERROR(INDEX(Catálogo!K$4:K$1000,MATCH($A$1&amp;"|"&amp;4,Índice!$A$4:$A$1000,0)),"")</f>
        <v/>
      </c>
      <c r="L7" s="6" t="str">
        <f aca="false">IFERROR(INDEX(Catálogo!L$4:L$1000,MATCH($A$1&amp;"|"&amp;4,Índice!$A$4:$A$1000,0)),"")</f>
        <v/>
      </c>
      <c r="M7" s="7" t="str">
        <f aca="false">IFERROR(INDEX(Catálogo!M$4:M$1000,MATCH($A$1&amp;"|"&amp;4,Índice!$A$4:$A$1000,0)),"")</f>
        <v/>
      </c>
    </row>
    <row r="8" customFormat="false" ht="42" hidden="false" customHeight="true" outlineLevel="0" collapsed="false">
      <c r="A8" s="5" t="str">
        <f aca="false">IFERROR(INDEX(Catálogo!A$4:A$1000,MATCH($A$1&amp;"|"&amp;5,Índice!$A$4:$A$1000,0)),"")</f>
        <v/>
      </c>
      <c r="B8" s="6" t="str">
        <f aca="false">IFERROR(INDEX(Catálogo!B$4:B$1000,MATCH($A$1&amp;"|"&amp;5,Índice!$A$4:$A$1000,0)),"")</f>
        <v/>
      </c>
      <c r="C8" s="6" t="str">
        <f aca="false">IFERROR(INDEX(Catálogo!C$4:C$1000,MATCH($A$1&amp;"|"&amp;5,Índice!$A$4:$A$1000,0)),"")</f>
        <v/>
      </c>
      <c r="D8" s="6" t="str">
        <f aca="false">IFERROR(INDEX(Catálogo!D$4:D$1000,MATCH($A$1&amp;"|"&amp;5,Índice!$A$4:$A$1000,0)),"")</f>
        <v/>
      </c>
      <c r="E8" s="6" t="str">
        <f aca="false">IFERROR(INDEX(Catálogo!E$4:E$1000,MATCH($A$1&amp;"|"&amp;5,Índice!$A$4:$A$1000,0)),"")</f>
        <v/>
      </c>
      <c r="F8" s="5" t="str">
        <f aca="false">IFERROR(INDEX(Catálogo!F$4:F$1000,MATCH($A$1&amp;"|"&amp;5,Índice!$A$4:$A$1000,0)),"")</f>
        <v/>
      </c>
      <c r="G8" s="5" t="str">
        <f aca="false">IFERROR(INDEX(Catálogo!G$4:G$1000,MATCH($A$1&amp;"|"&amp;5,Índice!$A$4:$A$1000,0)),"")</f>
        <v/>
      </c>
      <c r="H8" s="5" t="str">
        <f aca="false">IFERROR(INDEX(Catálogo!H$4:H$1000,MATCH($A$1&amp;"|"&amp;5,Índice!$A$4:$A$1000,0)),"")</f>
        <v/>
      </c>
      <c r="I8" s="6" t="str">
        <f aca="false">IFERROR(INDEX(Catálogo!I$4:I$1000,MATCH($A$1&amp;"|"&amp;5,Índice!$A$4:$A$1000,0)),"")</f>
        <v/>
      </c>
      <c r="J8" s="6" t="str">
        <f aca="false">IFERROR(INDEX(Catálogo!J$4:J$1000,MATCH($A$1&amp;"|"&amp;5,Índice!$A$4:$A$1000,0)),"")</f>
        <v/>
      </c>
      <c r="K8" s="6" t="str">
        <f aca="false">IFERROR(INDEX(Catálogo!K$4:K$1000,MATCH($A$1&amp;"|"&amp;5,Índice!$A$4:$A$1000,0)),"")</f>
        <v/>
      </c>
      <c r="L8" s="6" t="str">
        <f aca="false">IFERROR(INDEX(Catálogo!L$4:L$1000,MATCH($A$1&amp;"|"&amp;5,Índice!$A$4:$A$1000,0)),"")</f>
        <v/>
      </c>
      <c r="M8" s="7" t="str">
        <f aca="false">IFERROR(INDEX(Catálogo!M$4:M$1000,MATCH($A$1&amp;"|"&amp;5,Índice!$A$4:$A$1000,0)),"")</f>
        <v/>
      </c>
    </row>
    <row r="9" customFormat="false" ht="42" hidden="false" customHeight="true" outlineLevel="0" collapsed="false">
      <c r="A9" s="5" t="str">
        <f aca="false">IFERROR(INDEX(Catálogo!A$4:A$1000,MATCH($A$1&amp;"|"&amp;6,Índice!$A$4:$A$1000,0)),"")</f>
        <v/>
      </c>
      <c r="B9" s="6" t="str">
        <f aca="false">IFERROR(INDEX(Catálogo!B$4:B$1000,MATCH($A$1&amp;"|"&amp;6,Índice!$A$4:$A$1000,0)),"")</f>
        <v/>
      </c>
      <c r="C9" s="6" t="str">
        <f aca="false">IFERROR(INDEX(Catálogo!C$4:C$1000,MATCH($A$1&amp;"|"&amp;6,Índice!$A$4:$A$1000,0)),"")</f>
        <v/>
      </c>
      <c r="D9" s="6" t="str">
        <f aca="false">IFERROR(INDEX(Catálogo!D$4:D$1000,MATCH($A$1&amp;"|"&amp;6,Índice!$A$4:$A$1000,0)),"")</f>
        <v/>
      </c>
      <c r="E9" s="6" t="str">
        <f aca="false">IFERROR(INDEX(Catálogo!E$4:E$1000,MATCH($A$1&amp;"|"&amp;6,Índice!$A$4:$A$1000,0)),"")</f>
        <v/>
      </c>
      <c r="F9" s="5" t="str">
        <f aca="false">IFERROR(INDEX(Catálogo!F$4:F$1000,MATCH($A$1&amp;"|"&amp;6,Índice!$A$4:$A$1000,0)),"")</f>
        <v/>
      </c>
      <c r="G9" s="5" t="str">
        <f aca="false">IFERROR(INDEX(Catálogo!G$4:G$1000,MATCH($A$1&amp;"|"&amp;6,Índice!$A$4:$A$1000,0)),"")</f>
        <v/>
      </c>
      <c r="H9" s="5" t="str">
        <f aca="false">IFERROR(INDEX(Catálogo!H$4:H$1000,MATCH($A$1&amp;"|"&amp;6,Índice!$A$4:$A$1000,0)),"")</f>
        <v/>
      </c>
      <c r="I9" s="6" t="str">
        <f aca="false">IFERROR(INDEX(Catálogo!I$4:I$1000,MATCH($A$1&amp;"|"&amp;6,Índice!$A$4:$A$1000,0)),"")</f>
        <v/>
      </c>
      <c r="J9" s="6" t="str">
        <f aca="false">IFERROR(INDEX(Catálogo!J$4:J$1000,MATCH($A$1&amp;"|"&amp;6,Índice!$A$4:$A$1000,0)),"")</f>
        <v/>
      </c>
      <c r="K9" s="6" t="str">
        <f aca="false">IFERROR(INDEX(Catálogo!K$4:K$1000,MATCH($A$1&amp;"|"&amp;6,Índice!$A$4:$A$1000,0)),"")</f>
        <v/>
      </c>
      <c r="L9" s="6" t="str">
        <f aca="false">IFERROR(INDEX(Catálogo!L$4:L$1000,MATCH($A$1&amp;"|"&amp;6,Índice!$A$4:$A$1000,0)),"")</f>
        <v/>
      </c>
      <c r="M9" s="7" t="str">
        <f aca="false">IFERROR(INDEX(Catálogo!M$4:M$1000,MATCH($A$1&amp;"|"&amp;6,Índice!$A$4:$A$1000,0)),"")</f>
        <v/>
      </c>
    </row>
    <row r="10" customFormat="false" ht="42" hidden="false" customHeight="true" outlineLevel="0" collapsed="false">
      <c r="A10" s="5" t="str">
        <f aca="false">IFERROR(INDEX(Catálogo!A$4:A$1000,MATCH($A$1&amp;"|"&amp;7,Índice!$A$4:$A$1000,0)),"")</f>
        <v/>
      </c>
      <c r="B10" s="6" t="str">
        <f aca="false">IFERROR(INDEX(Catálogo!B$4:B$1000,MATCH($A$1&amp;"|"&amp;7,Índice!$A$4:$A$1000,0)),"")</f>
        <v/>
      </c>
      <c r="C10" s="6" t="str">
        <f aca="false">IFERROR(INDEX(Catálogo!C$4:C$1000,MATCH($A$1&amp;"|"&amp;7,Índice!$A$4:$A$1000,0)),"")</f>
        <v/>
      </c>
      <c r="D10" s="6" t="str">
        <f aca="false">IFERROR(INDEX(Catálogo!D$4:D$1000,MATCH($A$1&amp;"|"&amp;7,Índice!$A$4:$A$1000,0)),"")</f>
        <v/>
      </c>
      <c r="E10" s="6" t="str">
        <f aca="false">IFERROR(INDEX(Catálogo!E$4:E$1000,MATCH($A$1&amp;"|"&amp;7,Índice!$A$4:$A$1000,0)),"")</f>
        <v/>
      </c>
      <c r="F10" s="5" t="str">
        <f aca="false">IFERROR(INDEX(Catálogo!F$4:F$1000,MATCH($A$1&amp;"|"&amp;7,Índice!$A$4:$A$1000,0)),"")</f>
        <v/>
      </c>
      <c r="G10" s="5" t="str">
        <f aca="false">IFERROR(INDEX(Catálogo!G$4:G$1000,MATCH($A$1&amp;"|"&amp;7,Índice!$A$4:$A$1000,0)),"")</f>
        <v/>
      </c>
      <c r="H10" s="5" t="str">
        <f aca="false">IFERROR(INDEX(Catálogo!H$4:H$1000,MATCH($A$1&amp;"|"&amp;7,Índice!$A$4:$A$1000,0)),"")</f>
        <v/>
      </c>
      <c r="I10" s="6" t="str">
        <f aca="false">IFERROR(INDEX(Catálogo!I$4:I$1000,MATCH($A$1&amp;"|"&amp;7,Índice!$A$4:$A$1000,0)),"")</f>
        <v/>
      </c>
      <c r="J10" s="6" t="str">
        <f aca="false">IFERROR(INDEX(Catálogo!J$4:J$1000,MATCH($A$1&amp;"|"&amp;7,Índice!$A$4:$A$1000,0)),"")</f>
        <v/>
      </c>
      <c r="K10" s="6" t="str">
        <f aca="false">IFERROR(INDEX(Catálogo!K$4:K$1000,MATCH($A$1&amp;"|"&amp;7,Índice!$A$4:$A$1000,0)),"")</f>
        <v/>
      </c>
      <c r="L10" s="6" t="str">
        <f aca="false">IFERROR(INDEX(Catálogo!L$4:L$1000,MATCH($A$1&amp;"|"&amp;7,Índice!$A$4:$A$1000,0)),"")</f>
        <v/>
      </c>
      <c r="M10" s="7" t="str">
        <f aca="false">IFERROR(INDEX(Catálogo!M$4:M$1000,MATCH($A$1&amp;"|"&amp;7,Índice!$A$4:$A$1000,0)),"")</f>
        <v/>
      </c>
    </row>
    <row r="11" customFormat="false" ht="42" hidden="false" customHeight="true" outlineLevel="0" collapsed="false">
      <c r="A11" s="5" t="str">
        <f aca="false">IFERROR(INDEX(Catálogo!A$4:A$1000,MATCH($A$1&amp;"|"&amp;8,Índice!$A$4:$A$1000,0)),"")</f>
        <v/>
      </c>
      <c r="B11" s="6" t="str">
        <f aca="false">IFERROR(INDEX(Catálogo!B$4:B$1000,MATCH($A$1&amp;"|"&amp;8,Índice!$A$4:$A$1000,0)),"")</f>
        <v/>
      </c>
      <c r="C11" s="6" t="str">
        <f aca="false">IFERROR(INDEX(Catálogo!C$4:C$1000,MATCH($A$1&amp;"|"&amp;8,Índice!$A$4:$A$1000,0)),"")</f>
        <v/>
      </c>
      <c r="D11" s="6" t="str">
        <f aca="false">IFERROR(INDEX(Catálogo!D$4:D$1000,MATCH($A$1&amp;"|"&amp;8,Índice!$A$4:$A$1000,0)),"")</f>
        <v/>
      </c>
      <c r="E11" s="6" t="str">
        <f aca="false">IFERROR(INDEX(Catálogo!E$4:E$1000,MATCH($A$1&amp;"|"&amp;8,Índice!$A$4:$A$1000,0)),"")</f>
        <v/>
      </c>
      <c r="F11" s="5" t="str">
        <f aca="false">IFERROR(INDEX(Catálogo!F$4:F$1000,MATCH($A$1&amp;"|"&amp;8,Índice!$A$4:$A$1000,0)),"")</f>
        <v/>
      </c>
      <c r="G11" s="5" t="str">
        <f aca="false">IFERROR(INDEX(Catálogo!G$4:G$1000,MATCH($A$1&amp;"|"&amp;8,Índice!$A$4:$A$1000,0)),"")</f>
        <v/>
      </c>
      <c r="H11" s="5" t="str">
        <f aca="false">IFERROR(INDEX(Catálogo!H$4:H$1000,MATCH($A$1&amp;"|"&amp;8,Índice!$A$4:$A$1000,0)),"")</f>
        <v/>
      </c>
      <c r="I11" s="6" t="str">
        <f aca="false">IFERROR(INDEX(Catálogo!I$4:I$1000,MATCH($A$1&amp;"|"&amp;8,Índice!$A$4:$A$1000,0)),"")</f>
        <v/>
      </c>
      <c r="J11" s="6" t="str">
        <f aca="false">IFERROR(INDEX(Catálogo!J$4:J$1000,MATCH($A$1&amp;"|"&amp;8,Índice!$A$4:$A$1000,0)),"")</f>
        <v/>
      </c>
      <c r="K11" s="6" t="str">
        <f aca="false">IFERROR(INDEX(Catálogo!K$4:K$1000,MATCH($A$1&amp;"|"&amp;8,Índice!$A$4:$A$1000,0)),"")</f>
        <v/>
      </c>
      <c r="L11" s="6" t="str">
        <f aca="false">IFERROR(INDEX(Catálogo!L$4:L$1000,MATCH($A$1&amp;"|"&amp;8,Índice!$A$4:$A$1000,0)),"")</f>
        <v/>
      </c>
      <c r="M11" s="7" t="str">
        <f aca="false">IFERROR(INDEX(Catálogo!M$4:M$1000,MATCH($A$1&amp;"|"&amp;8,Índice!$A$4:$A$1000,0)),"")</f>
        <v/>
      </c>
    </row>
    <row r="12" customFormat="false" ht="42" hidden="false" customHeight="true" outlineLevel="0" collapsed="false">
      <c r="A12" s="5" t="str">
        <f aca="false">IFERROR(INDEX(Catálogo!A$4:A$1000,MATCH($A$1&amp;"|"&amp;9,Índice!$A$4:$A$1000,0)),"")</f>
        <v/>
      </c>
      <c r="B12" s="6" t="str">
        <f aca="false">IFERROR(INDEX(Catálogo!B$4:B$1000,MATCH($A$1&amp;"|"&amp;9,Índice!$A$4:$A$1000,0)),"")</f>
        <v/>
      </c>
      <c r="C12" s="6" t="str">
        <f aca="false">IFERROR(INDEX(Catálogo!C$4:C$1000,MATCH($A$1&amp;"|"&amp;9,Índice!$A$4:$A$1000,0)),"")</f>
        <v/>
      </c>
      <c r="D12" s="6" t="str">
        <f aca="false">IFERROR(INDEX(Catálogo!D$4:D$1000,MATCH($A$1&amp;"|"&amp;9,Índice!$A$4:$A$1000,0)),"")</f>
        <v/>
      </c>
      <c r="E12" s="6" t="str">
        <f aca="false">IFERROR(INDEX(Catálogo!E$4:E$1000,MATCH($A$1&amp;"|"&amp;9,Índice!$A$4:$A$1000,0)),"")</f>
        <v/>
      </c>
      <c r="F12" s="5" t="str">
        <f aca="false">IFERROR(INDEX(Catálogo!F$4:F$1000,MATCH($A$1&amp;"|"&amp;9,Índice!$A$4:$A$1000,0)),"")</f>
        <v/>
      </c>
      <c r="G12" s="5" t="str">
        <f aca="false">IFERROR(INDEX(Catálogo!G$4:G$1000,MATCH($A$1&amp;"|"&amp;9,Índice!$A$4:$A$1000,0)),"")</f>
        <v/>
      </c>
      <c r="H12" s="5" t="str">
        <f aca="false">IFERROR(INDEX(Catálogo!H$4:H$1000,MATCH($A$1&amp;"|"&amp;9,Índice!$A$4:$A$1000,0)),"")</f>
        <v/>
      </c>
      <c r="I12" s="6" t="str">
        <f aca="false">IFERROR(INDEX(Catálogo!I$4:I$1000,MATCH($A$1&amp;"|"&amp;9,Índice!$A$4:$A$1000,0)),"")</f>
        <v/>
      </c>
      <c r="J12" s="6" t="str">
        <f aca="false">IFERROR(INDEX(Catálogo!J$4:J$1000,MATCH($A$1&amp;"|"&amp;9,Índice!$A$4:$A$1000,0)),"")</f>
        <v/>
      </c>
      <c r="K12" s="6" t="str">
        <f aca="false">IFERROR(INDEX(Catálogo!K$4:K$1000,MATCH($A$1&amp;"|"&amp;9,Índice!$A$4:$A$1000,0)),"")</f>
        <v/>
      </c>
      <c r="L12" s="6" t="str">
        <f aca="false">IFERROR(INDEX(Catálogo!L$4:L$1000,MATCH($A$1&amp;"|"&amp;9,Índice!$A$4:$A$1000,0)),"")</f>
        <v/>
      </c>
      <c r="M12" s="7" t="str">
        <f aca="false">IFERROR(INDEX(Catálogo!M$4:M$1000,MATCH($A$1&amp;"|"&amp;9,Índice!$A$4:$A$1000,0)),"")</f>
        <v/>
      </c>
    </row>
    <row r="13" customFormat="false" ht="42" hidden="false" customHeight="true" outlineLevel="0" collapsed="false">
      <c r="A13" s="5" t="str">
        <f aca="false">IFERROR(INDEX(Catálogo!A$4:A$1000,MATCH($A$1&amp;"|"&amp;10,Índice!$A$4:$A$1000,0)),"")</f>
        <v/>
      </c>
      <c r="B13" s="6" t="str">
        <f aca="false">IFERROR(INDEX(Catálogo!B$4:B$1000,MATCH($A$1&amp;"|"&amp;10,Índice!$A$4:$A$1000,0)),"")</f>
        <v/>
      </c>
      <c r="C13" s="6" t="str">
        <f aca="false">IFERROR(INDEX(Catálogo!C$4:C$1000,MATCH($A$1&amp;"|"&amp;10,Índice!$A$4:$A$1000,0)),"")</f>
        <v/>
      </c>
      <c r="D13" s="6" t="str">
        <f aca="false">IFERROR(INDEX(Catálogo!D$4:D$1000,MATCH($A$1&amp;"|"&amp;10,Índice!$A$4:$A$1000,0)),"")</f>
        <v/>
      </c>
      <c r="E13" s="6" t="str">
        <f aca="false">IFERROR(INDEX(Catálogo!E$4:E$1000,MATCH($A$1&amp;"|"&amp;10,Índice!$A$4:$A$1000,0)),"")</f>
        <v/>
      </c>
      <c r="F13" s="5" t="str">
        <f aca="false">IFERROR(INDEX(Catálogo!F$4:F$1000,MATCH($A$1&amp;"|"&amp;10,Índice!$A$4:$A$1000,0)),"")</f>
        <v/>
      </c>
      <c r="G13" s="5" t="str">
        <f aca="false">IFERROR(INDEX(Catálogo!G$4:G$1000,MATCH($A$1&amp;"|"&amp;10,Índice!$A$4:$A$1000,0)),"")</f>
        <v/>
      </c>
      <c r="H13" s="5" t="str">
        <f aca="false">IFERROR(INDEX(Catálogo!H$4:H$1000,MATCH($A$1&amp;"|"&amp;10,Índice!$A$4:$A$1000,0)),"")</f>
        <v/>
      </c>
      <c r="I13" s="6" t="str">
        <f aca="false">IFERROR(INDEX(Catálogo!I$4:I$1000,MATCH($A$1&amp;"|"&amp;10,Índice!$A$4:$A$1000,0)),"")</f>
        <v/>
      </c>
      <c r="J13" s="6" t="str">
        <f aca="false">IFERROR(INDEX(Catálogo!J$4:J$1000,MATCH($A$1&amp;"|"&amp;10,Índice!$A$4:$A$1000,0)),"")</f>
        <v/>
      </c>
      <c r="K13" s="6" t="str">
        <f aca="false">IFERROR(INDEX(Catálogo!K$4:K$1000,MATCH($A$1&amp;"|"&amp;10,Índice!$A$4:$A$1000,0)),"")</f>
        <v/>
      </c>
      <c r="L13" s="6" t="str">
        <f aca="false">IFERROR(INDEX(Catálogo!L$4:L$1000,MATCH($A$1&amp;"|"&amp;10,Índice!$A$4:$A$1000,0)),"")</f>
        <v/>
      </c>
      <c r="M13" s="7" t="str">
        <f aca="false">IFERROR(INDEX(Catálogo!M$4:M$1000,MATCH($A$1&amp;"|"&amp;10,Índice!$A$4:$A$1000,0)),"")</f>
        <v/>
      </c>
    </row>
  </sheetData>
  <autoFilter ref="A3:M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24"/>
    <col collapsed="false" customWidth="true" hidden="false" outlineLevel="0" max="4" min="4" style="1" width="22"/>
    <col collapsed="false" customWidth="true" hidden="false" outlineLevel="0" max="5" min="5" style="1" width="17"/>
    <col collapsed="false" customWidth="true" hidden="false" outlineLevel="0" max="7" min="6" style="1" width="11"/>
    <col collapsed="false" customWidth="true" hidden="false" outlineLevel="0" max="8" min="8" style="1" width="9"/>
    <col collapsed="false" customWidth="true" hidden="false" outlineLevel="0" max="9" min="9" style="1" width="50"/>
    <col collapsed="false" customWidth="true" hidden="false" outlineLevel="0" max="10" min="10" style="1" width="58"/>
    <col collapsed="false" customWidth="true" hidden="false" outlineLevel="0" max="11" min="11" style="1" width="16"/>
    <col collapsed="false" customWidth="true" hidden="false" outlineLevel="0" max="12" min="12" style="1" width="15"/>
    <col collapsed="false" customWidth="true" hidden="false" outlineLevel="0" max="13" min="13" style="1" width="40"/>
  </cols>
  <sheetData>
    <row r="1" customFormat="false" ht="15" hidden="false" customHeight="true" outlineLevel="0" collapsed="false">
      <c r="A1" s="16" t="s">
        <v>1304</v>
      </c>
      <c r="I1" s="17" t="str">
        <f aca="false">COUNTIF(Catálogo!$C$4:$C$1000,$A$1)&amp;IF(COUNTIF(Catálogo!$C$4:$C$1000,$A$1)=1," instrumento nesta área"," instrumentos nesta área")</f>
        <v>1 instrumento nesta área</v>
      </c>
    </row>
    <row r="2" customFormat="false" ht="15" hidden="false" customHeight="true" outlineLevel="0" collapsed="false">
      <c r="A2" s="18" t="s">
        <v>1488</v>
      </c>
      <c r="I2" s="19" t="str">
        <f aca="false">IF(COUNTIF(Catálogo!$C$4:$C$1000,$A$1)&gt;9,"⚠ Área com mais instrumentos do que linhas nesta folha — alargar","OK")</f>
        <v>OK</v>
      </c>
    </row>
    <row r="3" customFormat="false" ht="30" hidden="false" customHeight="true" outlineLevel="0" collapsed="false">
      <c r="A3" s="4" t="s">
        <v>2</v>
      </c>
      <c r="B3" s="4" t="s">
        <v>3</v>
      </c>
      <c r="C3" s="4" t="s">
        <v>4</v>
      </c>
      <c r="D3" s="4" t="s">
        <v>5</v>
      </c>
      <c r="E3" s="4" t="s">
        <v>6</v>
      </c>
      <c r="F3" s="4" t="s">
        <v>7</v>
      </c>
      <c r="G3" s="4" t="s">
        <v>8</v>
      </c>
      <c r="H3" s="4" t="s">
        <v>9</v>
      </c>
      <c r="I3" s="4" t="s">
        <v>10</v>
      </c>
      <c r="J3" s="4" t="s">
        <v>11</v>
      </c>
      <c r="K3" s="4" t="s">
        <v>12</v>
      </c>
      <c r="L3" s="4" t="s">
        <v>13</v>
      </c>
      <c r="M3" s="4" t="s">
        <v>14</v>
      </c>
    </row>
    <row r="4" customFormat="false" ht="42" hidden="false" customHeight="true" outlineLevel="0" collapsed="false">
      <c r="A4" s="5" t="n">
        <f aca="false">IFERROR(INDEX(Catálogo!A$4:A$1000,MATCH($A$1&amp;"|"&amp;1,Índice!$A$4:$A$1000,0)),"")</f>
        <v>194</v>
      </c>
      <c r="B4" s="6" t="str">
        <f aca="false">IFERROR(INDEX(Catálogo!B$4:B$1000,MATCH($A$1&amp;"|"&amp;1,Índice!$A$4:$A$1000,0)),"")</f>
        <v>EIFJ — Escala de Interferência Funcional em Comportamentos de Jogo (Formas J e S)</v>
      </c>
      <c r="C4" s="6" t="str">
        <f aca="false">IFERROR(INDEX(Catálogo!C$4:C$1000,MATCH($A$1&amp;"|"&amp;1,Índice!$A$4:$A$1000,0)),"")</f>
        <v>Comportamentos Aditivos</v>
      </c>
      <c r="D4" s="6" t="str">
        <f aca="false">IFERROR(INDEX(Catálogo!D$4:D$1000,MATCH($A$1&amp;"|"&amp;1,Índice!$A$4:$A$1000,0)),"")</f>
        <v>Próprio,Companheiro(a),Familiar</v>
      </c>
      <c r="E4" s="6" t="str">
        <f aca="false">IFERROR(INDEX(Catálogo!E$4:E$1000,MATCH($A$1&amp;"|"&amp;1,Índice!$A$4:$A$1000,0)),"")</f>
        <v>12–99 anos</v>
      </c>
      <c r="F4" s="5" t="n">
        <f aca="false">IFERROR(INDEX(Catálogo!F$4:F$1000,MATCH($A$1&amp;"|"&amp;1,Índice!$A$4:$A$1000,0)),"")</f>
        <v>12</v>
      </c>
      <c r="G4" s="5" t="n">
        <f aca="false">IFERROR(INDEX(Catálogo!G$4:G$1000,MATCH($A$1&amp;"|"&amp;1,Índice!$A$4:$A$1000,0)),"")</f>
        <v>99</v>
      </c>
      <c r="H4" s="5" t="n">
        <f aca="false">IFERROR(INDEX(Catálogo!H$4:H$1000,MATCH($A$1&amp;"|"&amp;1,Índice!$A$4:$A$1000,0)),"")</f>
        <v>16</v>
      </c>
      <c r="I4" s="6" t="str">
        <f aca="false">IFERROR(INDEX(Catálogo!I$4:I$1000,MATCH($A$1&amp;"|"&amp;1,Índice!$A$4:$A$1000,0)),"")</f>
        <v>Mede a INTERFERÊNCIA FUNCIONAL atribuída ao comportamento de jogo em três domínios de vida, na janela do ÚLTIMO MÊS (30 dias) — que DIVERGE dos sete dias da EIFP e da EIFA. Duas formas na mesma aba: EIFJ-J, autorrelato, 3 itens 0–10 (total 0–30), adaptação inspirada (Via B) da SDS-G (Hodgins, 2013; Sheehan, 1983) sem reprodução de conteúdo protegido; e EIFJ-S, heterorrelato do companheiro ou outro significativo, 5 itens 0–10 (total 0–50) em duas subescalas, construção DE RAIZ (Via C). O REFERENTE é selecionado na administração — jogo a dinheiro (CID-11 6C50) ou jogo digital (CID-11 6C51), entidades DISTINTAS — e a FORMULAÇÃO usada («o seu jogo» se não reconhece o comportamento como problema, «o seu problema de jogo» se o reconhece) deve manter-se constante em todos os itens e momentos; ambas ficam registadas. A leitura primária é feita por DOMÍNIO, não pelo total: consideram-se assinalados os domínios com pontuação SUPERIOR a 5 (Williams, 2000), critério que NÃO deve ser confundido com o ponto de corte de Leon et al. (1997), que incide sobre o total e está documentado mas não é aplicado. Um total baixo pode coexistir com interferência extrema num único domínio (ex.: 10 / 0 / 0 = total 10), pelo que o total é sempre leitura secundária. ⚠ As bandas descritivas de intensidade média — Nula · Ligeira · Moderada · Marcada · Extrema — derivam das ancoragens verbais da própria escala de resposta e NÃO constituem pontos de corte clínicos. ⚠ O instrumento mede INTERFERÊNCIA FUNCIONAL atribuída pelo informante: não mede sintomatologia, gravidade sintomática nem etiologia, e discrepâncias entre sintomas e interferência são informação clínica e não erro de medida. ⚠ As pontuações NÃO são comparáveis entre instrumentos da família EIF, por divergirem as janelas temporais, os referentes e as populações-alvo. ⚠ Sem estudo psicométrico próprio e sem normas portuguesas. ⚠ A EIFJ mede interferência funcional, NÃO gravidade sintomática: a gravidade da Perturbação de Jogo no DSM-5-TR estabelece-se por CONTAGEM DE CRITÉRIOS, não por esta escala. ⚠ Em jogo, a MINIMIZAÇÃO e a OCULTAÇÃO são fenómenos clínicos frequentes: uma pontuação baixa no autorrelato NÃO exclui compromisso funcional objetivo e deve ser confrontada com a Forma S e com indicadores financeiros, escolares ou laborais — o painel sinaliza automaticamente as bandas Nula e Ligeira. ⚠ Em MENORES o acesso a jogo a dinheiro é ILEGAL em Portugal: a sua identificação obriga a ponderação de risco e do dever de proteção, independentemente da pontuação obtida, e o painel sinaliza-o automaticamente. ⚠ A Forma S não dispõe de qualquer referência publicada. ⚠ O α inicial reportado por Hodgins é de 0,56, abaixo do aceitável para decisão individual; adota-se α = 0,81 (12 meses), e com o α inicial o limiar de mudança fiável passaria de 9,7 para 14,7 pontos — diferença que deve constar de qualquer relatório que use o índice. ⚠ As médias de referência provêm de uma subamostra de cerca de 42 participantes seguidos nos três momentos, não de normas populacionais</v>
      </c>
      <c r="J4" s="6" t="str">
        <f aca="false">IFERROR(INDEX(Catálogo!J$4:J$1000,MATCH($A$1&amp;"|"&amp;1,Índice!$A$4:$A$1000,0)),"")</f>
        <v>EIFJ-J Total (3 itens, 0–30) — autorrelato sobre trabalho ou estudos, vida social e lazer, e vida familiar, no último mês | EIFJ-S Subescala I — interferência na vida do próprio (2 itens, 0–20), percebida pelo informante | EIFJ-S Subescala II — interferência na vida do informante e do agregado (3 itens, 0–30) | EIFJ-S Total (5 itens, 0–50) | Sinalização por domínio — assinalável se pontuação SUPERIOR a 5; é o critério primário de leitura e reporta-se domínio a domínio, nunca por agregação | Banda descritiva de intensidade média (média por domínio) — Nula (0) · Ligeira (≤3) · Moderada (≤6) · Marcada (≤9) · Extrema (&gt;9); descreve INTENSIDADE MÉDIA declarada, nunca gravidade clínica nem posição normativa | Dispersão do perfil — perfil dissociado quando a amplitude entre domínios do autorrelato é ≥ 5 pontos, indicando que a leitura pelo total subestimaria o compromisso no domínio mais afetado | Bloco complementar de dias — indicador ecológico externo a QUALQUER total, sem entrar em nenhuma pontuação de escala | Regra de omissão sem imputação — o total de uma escala só é calculado se TODOS os seus itens estiverem respondidos; não há prorrateamento nem estimativa | Referente registado — jogo a dinheiro (CID-11 6C50) ou jogo digital (CID-11 6C51); entidades distintas, cuja escolha condiciona a interpretação e consta do relatório | Formulação registada — «o seu jogo» ou «o seu problema de jogo», mantida constante entre momentos e passada automaticamente à terceira pessoa no heterorrelato | Sinalizador de minimização — aviso automático sempre que o autorrelato cai nas bandas Nula ou Ligeira, por a pontuação baixa não ser, neste quadro, informação tranquilizadora | Sinalizador de menor com jogo a dinheiro — aviso automático em vermelho quando a idade é inferior a 18 anos e o referente é jogo a dinheiro, independentemente da pontuação obtida | Índice de mudança fiável individual (ICF; Jacobson &amp; Truax, 1991) entre M1 e M2 — limiar 9,67 no total do autorrelato; NÃO calculável na Forma S, por ausência de referências | Critérios de nível GRUPAL (Sheehan &amp; Sheehan, 2008), apenas no total do autorrelato — remissão ≤6, resposta ≤12, melhoria com redução ≥4; em bloco separado do índice individual | Posição face a referências externas (valores z face à avaliação inicial e ao seguimento aos 12 meses de Hodgins, 2013) — apenas na Forma J, sem conversão percentílica</v>
      </c>
      <c r="K4" s="6" t="str">
        <f aca="false">IFERROR(INDEX(Catálogo!K$4:K$1000,MATCH($A$1&amp;"|"&amp;1,Índice!$A$4:$A$1000,0)),"")</f>
        <v>eifj</v>
      </c>
      <c r="L4" s="6" t="str">
        <f aca="false">IFERROR(INDEX(Catálogo!L$4:L$1000,MATCH($A$1&amp;"|"&amp;1,Índice!$A$4:$A$1000,0)),"")</f>
        <v>q_eifj</v>
      </c>
      <c r="M4" s="7" t="str">
        <f aca="false">IFERROR(INDEX(Catálogo!M$4:M$1000,MATCH($A$1&amp;"|"&amp;1,Índice!$A$4:$A$1000,0)),"")</f>
        <v>https://correiaricardina-ui.github.io/questionarios/EIFJ_v1.html</v>
      </c>
    </row>
    <row r="5" customFormat="false" ht="42" hidden="false" customHeight="true" outlineLevel="0" collapsed="false">
      <c r="A5" s="5" t="str">
        <f aca="false">IFERROR(INDEX(Catálogo!A$4:A$1000,MATCH($A$1&amp;"|"&amp;2,Índice!$A$4:$A$1000,0)),"")</f>
        <v/>
      </c>
      <c r="B5" s="6" t="str">
        <f aca="false">IFERROR(INDEX(Catálogo!B$4:B$1000,MATCH($A$1&amp;"|"&amp;2,Índice!$A$4:$A$1000,0)),"")</f>
        <v/>
      </c>
      <c r="C5" s="6" t="str">
        <f aca="false">IFERROR(INDEX(Catálogo!C$4:C$1000,MATCH($A$1&amp;"|"&amp;2,Índice!$A$4:$A$1000,0)),"")</f>
        <v/>
      </c>
      <c r="D5" s="6" t="str">
        <f aca="false">IFERROR(INDEX(Catálogo!D$4:D$1000,MATCH($A$1&amp;"|"&amp;2,Índice!$A$4:$A$1000,0)),"")</f>
        <v/>
      </c>
      <c r="E5" s="6" t="str">
        <f aca="false">IFERROR(INDEX(Catálogo!E$4:E$1000,MATCH($A$1&amp;"|"&amp;2,Índice!$A$4:$A$1000,0)),"")</f>
        <v/>
      </c>
      <c r="F5" s="5" t="str">
        <f aca="false">IFERROR(INDEX(Catálogo!F$4:F$1000,MATCH($A$1&amp;"|"&amp;2,Índice!$A$4:$A$1000,0)),"")</f>
        <v/>
      </c>
      <c r="G5" s="5" t="str">
        <f aca="false">IFERROR(INDEX(Catálogo!G$4:G$1000,MATCH($A$1&amp;"|"&amp;2,Índice!$A$4:$A$1000,0)),"")</f>
        <v/>
      </c>
      <c r="H5" s="5" t="str">
        <f aca="false">IFERROR(INDEX(Catálogo!H$4:H$1000,MATCH($A$1&amp;"|"&amp;2,Índice!$A$4:$A$1000,0)),"")</f>
        <v/>
      </c>
      <c r="I5" s="6" t="str">
        <f aca="false">IFERROR(INDEX(Catálogo!I$4:I$1000,MATCH($A$1&amp;"|"&amp;2,Índice!$A$4:$A$1000,0)),"")</f>
        <v/>
      </c>
      <c r="J5" s="6" t="str">
        <f aca="false">IFERROR(INDEX(Catálogo!J$4:J$1000,MATCH($A$1&amp;"|"&amp;2,Índice!$A$4:$A$1000,0)),"")</f>
        <v/>
      </c>
      <c r="K5" s="6" t="str">
        <f aca="false">IFERROR(INDEX(Catálogo!K$4:K$1000,MATCH($A$1&amp;"|"&amp;2,Índice!$A$4:$A$1000,0)),"")</f>
        <v/>
      </c>
      <c r="L5" s="6" t="str">
        <f aca="false">IFERROR(INDEX(Catálogo!L$4:L$1000,MATCH($A$1&amp;"|"&amp;2,Índice!$A$4:$A$1000,0)),"")</f>
        <v/>
      </c>
      <c r="M5" s="7" t="str">
        <f aca="false">IFERROR(INDEX(Catálogo!M$4:M$1000,MATCH($A$1&amp;"|"&amp;2,Índice!$A$4:$A$1000,0)),"")</f>
        <v/>
      </c>
    </row>
    <row r="6" customFormat="false" ht="42" hidden="false" customHeight="true" outlineLevel="0" collapsed="false">
      <c r="A6" s="5" t="str">
        <f aca="false">IFERROR(INDEX(Catálogo!A$4:A$1000,MATCH($A$1&amp;"|"&amp;3,Índice!$A$4:$A$1000,0)),"")</f>
        <v/>
      </c>
      <c r="B6" s="6" t="str">
        <f aca="false">IFERROR(INDEX(Catálogo!B$4:B$1000,MATCH($A$1&amp;"|"&amp;3,Índice!$A$4:$A$1000,0)),"")</f>
        <v/>
      </c>
      <c r="C6" s="6" t="str">
        <f aca="false">IFERROR(INDEX(Catálogo!C$4:C$1000,MATCH($A$1&amp;"|"&amp;3,Índice!$A$4:$A$1000,0)),"")</f>
        <v/>
      </c>
      <c r="D6" s="6" t="str">
        <f aca="false">IFERROR(INDEX(Catálogo!D$4:D$1000,MATCH($A$1&amp;"|"&amp;3,Índice!$A$4:$A$1000,0)),"")</f>
        <v/>
      </c>
      <c r="E6" s="6" t="str">
        <f aca="false">IFERROR(INDEX(Catálogo!E$4:E$1000,MATCH($A$1&amp;"|"&amp;3,Índice!$A$4:$A$1000,0)),"")</f>
        <v/>
      </c>
      <c r="F6" s="5" t="str">
        <f aca="false">IFERROR(INDEX(Catálogo!F$4:F$1000,MATCH($A$1&amp;"|"&amp;3,Índice!$A$4:$A$1000,0)),"")</f>
        <v/>
      </c>
      <c r="G6" s="5" t="str">
        <f aca="false">IFERROR(INDEX(Catálogo!G$4:G$1000,MATCH($A$1&amp;"|"&amp;3,Índice!$A$4:$A$1000,0)),"")</f>
        <v/>
      </c>
      <c r="H6" s="5" t="str">
        <f aca="false">IFERROR(INDEX(Catálogo!H$4:H$1000,MATCH($A$1&amp;"|"&amp;3,Índice!$A$4:$A$1000,0)),"")</f>
        <v/>
      </c>
      <c r="I6" s="6" t="str">
        <f aca="false">IFERROR(INDEX(Catálogo!I$4:I$1000,MATCH($A$1&amp;"|"&amp;3,Índice!$A$4:$A$1000,0)),"")</f>
        <v/>
      </c>
      <c r="J6" s="6" t="str">
        <f aca="false">IFERROR(INDEX(Catálogo!J$4:J$1000,MATCH($A$1&amp;"|"&amp;3,Índice!$A$4:$A$1000,0)),"")</f>
        <v/>
      </c>
      <c r="K6" s="6" t="str">
        <f aca="false">IFERROR(INDEX(Catálogo!K$4:K$1000,MATCH($A$1&amp;"|"&amp;3,Índice!$A$4:$A$1000,0)),"")</f>
        <v/>
      </c>
      <c r="L6" s="6" t="str">
        <f aca="false">IFERROR(INDEX(Catálogo!L$4:L$1000,MATCH($A$1&amp;"|"&amp;3,Índice!$A$4:$A$1000,0)),"")</f>
        <v/>
      </c>
      <c r="M6" s="7" t="str">
        <f aca="false">IFERROR(INDEX(Catálogo!M$4:M$1000,MATCH($A$1&amp;"|"&amp;3,Índice!$A$4:$A$1000,0)),"")</f>
        <v/>
      </c>
    </row>
    <row r="7" customFormat="false" ht="42" hidden="false" customHeight="true" outlineLevel="0" collapsed="false">
      <c r="A7" s="5" t="str">
        <f aca="false">IFERROR(INDEX(Catálogo!A$4:A$1000,MATCH($A$1&amp;"|"&amp;4,Índice!$A$4:$A$1000,0)),"")</f>
        <v/>
      </c>
      <c r="B7" s="6" t="str">
        <f aca="false">IFERROR(INDEX(Catálogo!B$4:B$1000,MATCH($A$1&amp;"|"&amp;4,Índice!$A$4:$A$1000,0)),"")</f>
        <v/>
      </c>
      <c r="C7" s="6" t="str">
        <f aca="false">IFERROR(INDEX(Catálogo!C$4:C$1000,MATCH($A$1&amp;"|"&amp;4,Índice!$A$4:$A$1000,0)),"")</f>
        <v/>
      </c>
      <c r="D7" s="6" t="str">
        <f aca="false">IFERROR(INDEX(Catálogo!D$4:D$1000,MATCH($A$1&amp;"|"&amp;4,Índice!$A$4:$A$1000,0)),"")</f>
        <v/>
      </c>
      <c r="E7" s="6" t="str">
        <f aca="false">IFERROR(INDEX(Catálogo!E$4:E$1000,MATCH($A$1&amp;"|"&amp;4,Índice!$A$4:$A$1000,0)),"")</f>
        <v/>
      </c>
      <c r="F7" s="5" t="str">
        <f aca="false">IFERROR(INDEX(Catálogo!F$4:F$1000,MATCH($A$1&amp;"|"&amp;4,Índice!$A$4:$A$1000,0)),"")</f>
        <v/>
      </c>
      <c r="G7" s="5" t="str">
        <f aca="false">IFERROR(INDEX(Catálogo!G$4:G$1000,MATCH($A$1&amp;"|"&amp;4,Índice!$A$4:$A$1000,0)),"")</f>
        <v/>
      </c>
      <c r="H7" s="5" t="str">
        <f aca="false">IFERROR(INDEX(Catálogo!H$4:H$1000,MATCH($A$1&amp;"|"&amp;4,Índice!$A$4:$A$1000,0)),"")</f>
        <v/>
      </c>
      <c r="I7" s="6" t="str">
        <f aca="false">IFERROR(INDEX(Catálogo!I$4:I$1000,MATCH($A$1&amp;"|"&amp;4,Índice!$A$4:$A$1000,0)),"")</f>
        <v/>
      </c>
      <c r="J7" s="6" t="str">
        <f aca="false">IFERROR(INDEX(Catálogo!J$4:J$1000,MATCH($A$1&amp;"|"&amp;4,Índice!$A$4:$A$1000,0)),"")</f>
        <v/>
      </c>
      <c r="K7" s="6" t="str">
        <f aca="false">IFERROR(INDEX(Catálogo!K$4:K$1000,MATCH($A$1&amp;"|"&amp;4,Índice!$A$4:$A$1000,0)),"")</f>
        <v/>
      </c>
      <c r="L7" s="6" t="str">
        <f aca="false">IFERROR(INDEX(Catálogo!L$4:L$1000,MATCH($A$1&amp;"|"&amp;4,Índice!$A$4:$A$1000,0)),"")</f>
        <v/>
      </c>
      <c r="M7" s="7" t="str">
        <f aca="false">IFERROR(INDEX(Catálogo!M$4:M$1000,MATCH($A$1&amp;"|"&amp;4,Índice!$A$4:$A$1000,0)),"")</f>
        <v/>
      </c>
    </row>
    <row r="8" customFormat="false" ht="42" hidden="false" customHeight="true" outlineLevel="0" collapsed="false">
      <c r="A8" s="5" t="str">
        <f aca="false">IFERROR(INDEX(Catálogo!A$4:A$1000,MATCH($A$1&amp;"|"&amp;5,Índice!$A$4:$A$1000,0)),"")</f>
        <v/>
      </c>
      <c r="B8" s="6" t="str">
        <f aca="false">IFERROR(INDEX(Catálogo!B$4:B$1000,MATCH($A$1&amp;"|"&amp;5,Índice!$A$4:$A$1000,0)),"")</f>
        <v/>
      </c>
      <c r="C8" s="6" t="str">
        <f aca="false">IFERROR(INDEX(Catálogo!C$4:C$1000,MATCH($A$1&amp;"|"&amp;5,Índice!$A$4:$A$1000,0)),"")</f>
        <v/>
      </c>
      <c r="D8" s="6" t="str">
        <f aca="false">IFERROR(INDEX(Catálogo!D$4:D$1000,MATCH($A$1&amp;"|"&amp;5,Índice!$A$4:$A$1000,0)),"")</f>
        <v/>
      </c>
      <c r="E8" s="6" t="str">
        <f aca="false">IFERROR(INDEX(Catálogo!E$4:E$1000,MATCH($A$1&amp;"|"&amp;5,Índice!$A$4:$A$1000,0)),"")</f>
        <v/>
      </c>
      <c r="F8" s="5" t="str">
        <f aca="false">IFERROR(INDEX(Catálogo!F$4:F$1000,MATCH($A$1&amp;"|"&amp;5,Índice!$A$4:$A$1000,0)),"")</f>
        <v/>
      </c>
      <c r="G8" s="5" t="str">
        <f aca="false">IFERROR(INDEX(Catálogo!G$4:G$1000,MATCH($A$1&amp;"|"&amp;5,Índice!$A$4:$A$1000,0)),"")</f>
        <v/>
      </c>
      <c r="H8" s="5" t="str">
        <f aca="false">IFERROR(INDEX(Catálogo!H$4:H$1000,MATCH($A$1&amp;"|"&amp;5,Índice!$A$4:$A$1000,0)),"")</f>
        <v/>
      </c>
      <c r="I8" s="6" t="str">
        <f aca="false">IFERROR(INDEX(Catálogo!I$4:I$1000,MATCH($A$1&amp;"|"&amp;5,Índice!$A$4:$A$1000,0)),"")</f>
        <v/>
      </c>
      <c r="J8" s="6" t="str">
        <f aca="false">IFERROR(INDEX(Catálogo!J$4:J$1000,MATCH($A$1&amp;"|"&amp;5,Índice!$A$4:$A$1000,0)),"")</f>
        <v/>
      </c>
      <c r="K8" s="6" t="str">
        <f aca="false">IFERROR(INDEX(Catálogo!K$4:K$1000,MATCH($A$1&amp;"|"&amp;5,Índice!$A$4:$A$1000,0)),"")</f>
        <v/>
      </c>
      <c r="L8" s="6" t="str">
        <f aca="false">IFERROR(INDEX(Catálogo!L$4:L$1000,MATCH($A$1&amp;"|"&amp;5,Índice!$A$4:$A$1000,0)),"")</f>
        <v/>
      </c>
      <c r="M8" s="7" t="str">
        <f aca="false">IFERROR(INDEX(Catálogo!M$4:M$1000,MATCH($A$1&amp;"|"&amp;5,Índice!$A$4:$A$1000,0)),"")</f>
        <v/>
      </c>
    </row>
    <row r="9" customFormat="false" ht="42" hidden="false" customHeight="true" outlineLevel="0" collapsed="false">
      <c r="A9" s="5" t="str">
        <f aca="false">IFERROR(INDEX(Catálogo!A$4:A$1000,MATCH($A$1&amp;"|"&amp;6,Índice!$A$4:$A$1000,0)),"")</f>
        <v/>
      </c>
      <c r="B9" s="6" t="str">
        <f aca="false">IFERROR(INDEX(Catálogo!B$4:B$1000,MATCH($A$1&amp;"|"&amp;6,Índice!$A$4:$A$1000,0)),"")</f>
        <v/>
      </c>
      <c r="C9" s="6" t="str">
        <f aca="false">IFERROR(INDEX(Catálogo!C$4:C$1000,MATCH($A$1&amp;"|"&amp;6,Índice!$A$4:$A$1000,0)),"")</f>
        <v/>
      </c>
      <c r="D9" s="6" t="str">
        <f aca="false">IFERROR(INDEX(Catálogo!D$4:D$1000,MATCH($A$1&amp;"|"&amp;6,Índice!$A$4:$A$1000,0)),"")</f>
        <v/>
      </c>
      <c r="E9" s="6" t="str">
        <f aca="false">IFERROR(INDEX(Catálogo!E$4:E$1000,MATCH($A$1&amp;"|"&amp;6,Índice!$A$4:$A$1000,0)),"")</f>
        <v/>
      </c>
      <c r="F9" s="5" t="str">
        <f aca="false">IFERROR(INDEX(Catálogo!F$4:F$1000,MATCH($A$1&amp;"|"&amp;6,Índice!$A$4:$A$1000,0)),"")</f>
        <v/>
      </c>
      <c r="G9" s="5" t="str">
        <f aca="false">IFERROR(INDEX(Catálogo!G$4:G$1000,MATCH($A$1&amp;"|"&amp;6,Índice!$A$4:$A$1000,0)),"")</f>
        <v/>
      </c>
      <c r="H9" s="5" t="str">
        <f aca="false">IFERROR(INDEX(Catálogo!H$4:H$1000,MATCH($A$1&amp;"|"&amp;6,Índice!$A$4:$A$1000,0)),"")</f>
        <v/>
      </c>
      <c r="I9" s="6" t="str">
        <f aca="false">IFERROR(INDEX(Catálogo!I$4:I$1000,MATCH($A$1&amp;"|"&amp;6,Índice!$A$4:$A$1000,0)),"")</f>
        <v/>
      </c>
      <c r="J9" s="6" t="str">
        <f aca="false">IFERROR(INDEX(Catálogo!J$4:J$1000,MATCH($A$1&amp;"|"&amp;6,Índice!$A$4:$A$1000,0)),"")</f>
        <v/>
      </c>
      <c r="K9" s="6" t="str">
        <f aca="false">IFERROR(INDEX(Catálogo!K$4:K$1000,MATCH($A$1&amp;"|"&amp;6,Índice!$A$4:$A$1000,0)),"")</f>
        <v/>
      </c>
      <c r="L9" s="6" t="str">
        <f aca="false">IFERROR(INDEX(Catálogo!L$4:L$1000,MATCH($A$1&amp;"|"&amp;6,Índice!$A$4:$A$1000,0)),"")</f>
        <v/>
      </c>
      <c r="M9" s="7" t="str">
        <f aca="false">IFERROR(INDEX(Catálogo!M$4:M$1000,MATCH($A$1&amp;"|"&amp;6,Índice!$A$4:$A$1000,0)),"")</f>
        <v/>
      </c>
    </row>
    <row r="10" customFormat="false" ht="42" hidden="false" customHeight="true" outlineLevel="0" collapsed="false">
      <c r="A10" s="5" t="str">
        <f aca="false">IFERROR(INDEX(Catálogo!A$4:A$1000,MATCH($A$1&amp;"|"&amp;7,Índice!$A$4:$A$1000,0)),"")</f>
        <v/>
      </c>
      <c r="B10" s="6" t="str">
        <f aca="false">IFERROR(INDEX(Catálogo!B$4:B$1000,MATCH($A$1&amp;"|"&amp;7,Índice!$A$4:$A$1000,0)),"")</f>
        <v/>
      </c>
      <c r="C10" s="6" t="str">
        <f aca="false">IFERROR(INDEX(Catálogo!C$4:C$1000,MATCH($A$1&amp;"|"&amp;7,Índice!$A$4:$A$1000,0)),"")</f>
        <v/>
      </c>
      <c r="D10" s="6" t="str">
        <f aca="false">IFERROR(INDEX(Catálogo!D$4:D$1000,MATCH($A$1&amp;"|"&amp;7,Índice!$A$4:$A$1000,0)),"")</f>
        <v/>
      </c>
      <c r="E10" s="6" t="str">
        <f aca="false">IFERROR(INDEX(Catálogo!E$4:E$1000,MATCH($A$1&amp;"|"&amp;7,Índice!$A$4:$A$1000,0)),"")</f>
        <v/>
      </c>
      <c r="F10" s="5" t="str">
        <f aca="false">IFERROR(INDEX(Catálogo!F$4:F$1000,MATCH($A$1&amp;"|"&amp;7,Índice!$A$4:$A$1000,0)),"")</f>
        <v/>
      </c>
      <c r="G10" s="5" t="str">
        <f aca="false">IFERROR(INDEX(Catálogo!G$4:G$1000,MATCH($A$1&amp;"|"&amp;7,Índice!$A$4:$A$1000,0)),"")</f>
        <v/>
      </c>
      <c r="H10" s="5" t="str">
        <f aca="false">IFERROR(INDEX(Catálogo!H$4:H$1000,MATCH($A$1&amp;"|"&amp;7,Índice!$A$4:$A$1000,0)),"")</f>
        <v/>
      </c>
      <c r="I10" s="6" t="str">
        <f aca="false">IFERROR(INDEX(Catálogo!I$4:I$1000,MATCH($A$1&amp;"|"&amp;7,Índice!$A$4:$A$1000,0)),"")</f>
        <v/>
      </c>
      <c r="J10" s="6" t="str">
        <f aca="false">IFERROR(INDEX(Catálogo!J$4:J$1000,MATCH($A$1&amp;"|"&amp;7,Índice!$A$4:$A$1000,0)),"")</f>
        <v/>
      </c>
      <c r="K10" s="6" t="str">
        <f aca="false">IFERROR(INDEX(Catálogo!K$4:K$1000,MATCH($A$1&amp;"|"&amp;7,Índice!$A$4:$A$1000,0)),"")</f>
        <v/>
      </c>
      <c r="L10" s="6" t="str">
        <f aca="false">IFERROR(INDEX(Catálogo!L$4:L$1000,MATCH($A$1&amp;"|"&amp;7,Índice!$A$4:$A$1000,0)),"")</f>
        <v/>
      </c>
      <c r="M10" s="7" t="str">
        <f aca="false">IFERROR(INDEX(Catálogo!M$4:M$1000,MATCH($A$1&amp;"|"&amp;7,Índice!$A$4:$A$1000,0)),"")</f>
        <v/>
      </c>
    </row>
    <row r="11" customFormat="false" ht="42" hidden="false" customHeight="true" outlineLevel="0" collapsed="false">
      <c r="A11" s="5" t="str">
        <f aca="false">IFERROR(INDEX(Catálogo!A$4:A$1000,MATCH($A$1&amp;"|"&amp;8,Índice!$A$4:$A$1000,0)),"")</f>
        <v/>
      </c>
      <c r="B11" s="6" t="str">
        <f aca="false">IFERROR(INDEX(Catálogo!B$4:B$1000,MATCH($A$1&amp;"|"&amp;8,Índice!$A$4:$A$1000,0)),"")</f>
        <v/>
      </c>
      <c r="C11" s="6" t="str">
        <f aca="false">IFERROR(INDEX(Catálogo!C$4:C$1000,MATCH($A$1&amp;"|"&amp;8,Índice!$A$4:$A$1000,0)),"")</f>
        <v/>
      </c>
      <c r="D11" s="6" t="str">
        <f aca="false">IFERROR(INDEX(Catálogo!D$4:D$1000,MATCH($A$1&amp;"|"&amp;8,Índice!$A$4:$A$1000,0)),"")</f>
        <v/>
      </c>
      <c r="E11" s="6" t="str">
        <f aca="false">IFERROR(INDEX(Catálogo!E$4:E$1000,MATCH($A$1&amp;"|"&amp;8,Índice!$A$4:$A$1000,0)),"")</f>
        <v/>
      </c>
      <c r="F11" s="5" t="str">
        <f aca="false">IFERROR(INDEX(Catálogo!F$4:F$1000,MATCH($A$1&amp;"|"&amp;8,Índice!$A$4:$A$1000,0)),"")</f>
        <v/>
      </c>
      <c r="G11" s="5" t="str">
        <f aca="false">IFERROR(INDEX(Catálogo!G$4:G$1000,MATCH($A$1&amp;"|"&amp;8,Índice!$A$4:$A$1000,0)),"")</f>
        <v/>
      </c>
      <c r="H11" s="5" t="str">
        <f aca="false">IFERROR(INDEX(Catálogo!H$4:H$1000,MATCH($A$1&amp;"|"&amp;8,Índice!$A$4:$A$1000,0)),"")</f>
        <v/>
      </c>
      <c r="I11" s="6" t="str">
        <f aca="false">IFERROR(INDEX(Catálogo!I$4:I$1000,MATCH($A$1&amp;"|"&amp;8,Índice!$A$4:$A$1000,0)),"")</f>
        <v/>
      </c>
      <c r="J11" s="6" t="str">
        <f aca="false">IFERROR(INDEX(Catálogo!J$4:J$1000,MATCH($A$1&amp;"|"&amp;8,Índice!$A$4:$A$1000,0)),"")</f>
        <v/>
      </c>
      <c r="K11" s="6" t="str">
        <f aca="false">IFERROR(INDEX(Catálogo!K$4:K$1000,MATCH($A$1&amp;"|"&amp;8,Índice!$A$4:$A$1000,0)),"")</f>
        <v/>
      </c>
      <c r="L11" s="6" t="str">
        <f aca="false">IFERROR(INDEX(Catálogo!L$4:L$1000,MATCH($A$1&amp;"|"&amp;8,Índice!$A$4:$A$1000,0)),"")</f>
        <v/>
      </c>
      <c r="M11" s="7" t="str">
        <f aca="false">IFERROR(INDEX(Catálogo!M$4:M$1000,MATCH($A$1&amp;"|"&amp;8,Índice!$A$4:$A$1000,0)),"")</f>
        <v/>
      </c>
    </row>
    <row r="12" customFormat="false" ht="42" hidden="false" customHeight="true" outlineLevel="0" collapsed="false">
      <c r="A12" s="5" t="str">
        <f aca="false">IFERROR(INDEX(Catálogo!A$4:A$1000,MATCH($A$1&amp;"|"&amp;9,Índice!$A$4:$A$1000,0)),"")</f>
        <v/>
      </c>
      <c r="B12" s="6" t="str">
        <f aca="false">IFERROR(INDEX(Catálogo!B$4:B$1000,MATCH($A$1&amp;"|"&amp;9,Índice!$A$4:$A$1000,0)),"")</f>
        <v/>
      </c>
      <c r="C12" s="6" t="str">
        <f aca="false">IFERROR(INDEX(Catálogo!C$4:C$1000,MATCH($A$1&amp;"|"&amp;9,Índice!$A$4:$A$1000,0)),"")</f>
        <v/>
      </c>
      <c r="D12" s="6" t="str">
        <f aca="false">IFERROR(INDEX(Catálogo!D$4:D$1000,MATCH($A$1&amp;"|"&amp;9,Índice!$A$4:$A$1000,0)),"")</f>
        <v/>
      </c>
      <c r="E12" s="6" t="str">
        <f aca="false">IFERROR(INDEX(Catálogo!E$4:E$1000,MATCH($A$1&amp;"|"&amp;9,Índice!$A$4:$A$1000,0)),"")</f>
        <v/>
      </c>
      <c r="F12" s="5" t="str">
        <f aca="false">IFERROR(INDEX(Catálogo!F$4:F$1000,MATCH($A$1&amp;"|"&amp;9,Índice!$A$4:$A$1000,0)),"")</f>
        <v/>
      </c>
      <c r="G12" s="5" t="str">
        <f aca="false">IFERROR(INDEX(Catálogo!G$4:G$1000,MATCH($A$1&amp;"|"&amp;9,Índice!$A$4:$A$1000,0)),"")</f>
        <v/>
      </c>
      <c r="H12" s="5" t="str">
        <f aca="false">IFERROR(INDEX(Catálogo!H$4:H$1000,MATCH($A$1&amp;"|"&amp;9,Índice!$A$4:$A$1000,0)),"")</f>
        <v/>
      </c>
      <c r="I12" s="6" t="str">
        <f aca="false">IFERROR(INDEX(Catálogo!I$4:I$1000,MATCH($A$1&amp;"|"&amp;9,Índice!$A$4:$A$1000,0)),"")</f>
        <v/>
      </c>
      <c r="J12" s="6" t="str">
        <f aca="false">IFERROR(INDEX(Catálogo!J$4:J$1000,MATCH($A$1&amp;"|"&amp;9,Índice!$A$4:$A$1000,0)),"")</f>
        <v/>
      </c>
      <c r="K12" s="6" t="str">
        <f aca="false">IFERROR(INDEX(Catálogo!K$4:K$1000,MATCH($A$1&amp;"|"&amp;9,Índice!$A$4:$A$1000,0)),"")</f>
        <v/>
      </c>
      <c r="L12" s="6" t="str">
        <f aca="false">IFERROR(INDEX(Catálogo!L$4:L$1000,MATCH($A$1&amp;"|"&amp;9,Índice!$A$4:$A$1000,0)),"")</f>
        <v/>
      </c>
      <c r="M12" s="7" t="str">
        <f aca="false">IFERROR(INDEX(Catálogo!M$4:M$1000,MATCH($A$1&amp;"|"&amp;9,Índice!$A$4:$A$1000,0)),"")</f>
        <v/>
      </c>
    </row>
  </sheetData>
  <autoFilter ref="A3:M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s>
  <sheetData>
    <row r="1" customFormat="false" ht="15" hidden="false" customHeight="true" outlineLevel="0" collapsed="false">
      <c r="A1" s="20" t="s">
        <v>1489</v>
      </c>
    </row>
    <row r="4" customFormat="false" ht="15" hidden="false" customHeight="true" outlineLevel="0" collapsed="false">
      <c r="A4" s="1" t="str">
        <f aca="false">IF(Catálogo!$C4="","",Catálogo!$C4&amp;"|"&amp;COUNTIF(Catálogo!$C$4:$C4,Catálogo!$C4))</f>
        <v>Neurodesenvolvimento|1</v>
      </c>
    </row>
    <row r="5" customFormat="false" ht="15" hidden="false" customHeight="true" outlineLevel="0" collapsed="false">
      <c r="A5" s="1" t="str">
        <f aca="false">IF(Catálogo!$C5="","",Catálogo!$C5&amp;"|"&amp;COUNTIF(Catálogo!$C$4:$C5,Catálogo!$C5))</f>
        <v>Neurodesenvolvimento|2</v>
      </c>
    </row>
    <row r="6" customFormat="false" ht="15" hidden="false" customHeight="true" outlineLevel="0" collapsed="false">
      <c r="A6" s="1" t="str">
        <f aca="false">IF(Catálogo!$C6="","",Catálogo!$C6&amp;"|"&amp;COUNTIF(Catálogo!$C$4:$C6,Catálogo!$C6))</f>
        <v>Neurodesenvolvimento|3</v>
      </c>
    </row>
    <row r="7" customFormat="false" ht="15" hidden="false" customHeight="true" outlineLevel="0" collapsed="false">
      <c r="A7" s="1" t="str">
        <f aca="false">IF(Catálogo!$C7="","",Catálogo!$C7&amp;"|"&amp;COUNTIF(Catálogo!$C$4:$C7,Catálogo!$C7))</f>
        <v>Neurodesenvolvimento|4</v>
      </c>
    </row>
    <row r="8" customFormat="false" ht="15" hidden="false" customHeight="true" outlineLevel="0" collapsed="false">
      <c r="A8" s="1" t="str">
        <f aca="false">IF(Catálogo!$C8="","",Catálogo!$C8&amp;"|"&amp;COUNTIF(Catálogo!$C$4:$C8,Catálogo!$C8))</f>
        <v>Neurodesenvolvimento|5</v>
      </c>
    </row>
    <row r="9" customFormat="false" ht="15" hidden="false" customHeight="true" outlineLevel="0" collapsed="false">
      <c r="A9" s="1" t="str">
        <f aca="false">IF(Catálogo!$C9="","",Catálogo!$C9&amp;"|"&amp;COUNTIF(Catálogo!$C$4:$C9,Catálogo!$C9))</f>
        <v>Anamnese, História &amp; Monitorização|1</v>
      </c>
    </row>
    <row r="10" customFormat="false" ht="15" hidden="false" customHeight="true" outlineLevel="0" collapsed="false">
      <c r="A10" s="1" t="str">
        <f aca="false">IF(Catálogo!$C10="","",Catálogo!$C10&amp;"|"&amp;COUNTIF(Catálogo!$C$4:$C10,Catálogo!$C10))</f>
        <v>Anamnese, História &amp; Monitorização|2</v>
      </c>
    </row>
    <row r="11" customFormat="false" ht="15" hidden="false" customHeight="true" outlineLevel="0" collapsed="false">
      <c r="A11" s="1" t="str">
        <f aca="false">IF(Catálogo!$C11="","",Catálogo!$C11&amp;"|"&amp;COUNTIF(Catálogo!$C$4:$C11,Catálogo!$C11))</f>
        <v>Anamnese, História &amp; Monitorização|3</v>
      </c>
    </row>
    <row r="12" customFormat="false" ht="15" hidden="false" customHeight="true" outlineLevel="0" collapsed="false">
      <c r="A12" s="1" t="str">
        <f aca="false">IF(Catálogo!$C12="","",Catálogo!$C12&amp;"|"&amp;COUNTIF(Catálogo!$C$4:$C12,Catálogo!$C12))</f>
        <v>Externalização &amp; Comportamento|1</v>
      </c>
    </row>
    <row r="13" customFormat="false" ht="15" hidden="false" customHeight="true" outlineLevel="0" collapsed="false">
      <c r="A13" s="1" t="str">
        <f aca="false">IF(Catálogo!$C13="","",Catálogo!$C13&amp;"|"&amp;COUNTIF(Catálogo!$C$4:$C13,Catálogo!$C13))</f>
        <v>Neurodesenvolvimento|6</v>
      </c>
    </row>
    <row r="14" customFormat="false" ht="15" hidden="false" customHeight="true" outlineLevel="0" collapsed="false">
      <c r="A14" s="1" t="str">
        <f aca="false">IF(Catálogo!$C14="","",Catálogo!$C14&amp;"|"&amp;COUNTIF(Catálogo!$C$4:$C14,Catálogo!$C14))</f>
        <v>Externalização &amp; Comportamento|2</v>
      </c>
    </row>
    <row r="15" customFormat="false" ht="15" hidden="false" customHeight="true" outlineLevel="0" collapsed="false">
      <c r="A15" s="1" t="str">
        <f aca="false">IF(Catálogo!$C15="","",Catálogo!$C15&amp;"|"&amp;COUNTIF(Catálogo!$C$4:$C15,Catálogo!$C15))</f>
        <v>Externalização &amp; Comportamento|3</v>
      </c>
    </row>
    <row r="16" customFormat="false" ht="15" hidden="false" customHeight="true" outlineLevel="0" collapsed="false">
      <c r="A16" s="1" t="str">
        <f aca="false">IF(Catálogo!$C16="","",Catálogo!$C16&amp;"|"&amp;COUNTIF(Catálogo!$C$4:$C16,Catálogo!$C16))</f>
        <v>Externalização &amp; Comportamento|4</v>
      </c>
    </row>
    <row r="17" customFormat="false" ht="15" hidden="false" customHeight="true" outlineLevel="0" collapsed="false">
      <c r="A17" s="1" t="str">
        <f aca="false">IF(Catálogo!$C17="","",Catálogo!$C17&amp;"|"&amp;COUNTIF(Catálogo!$C$4:$C17,Catálogo!$C17))</f>
        <v>Externalização &amp; Comportamento|5</v>
      </c>
    </row>
    <row r="18" customFormat="false" ht="15" hidden="false" customHeight="true" outlineLevel="0" collapsed="false">
      <c r="A18" s="1" t="str">
        <f aca="false">IF(Catálogo!$C18="","",Catálogo!$C18&amp;"|"&amp;COUNTIF(Catálogo!$C$4:$C18,Catálogo!$C18))</f>
        <v>Competências Sociais &amp; Assertividade|1</v>
      </c>
    </row>
    <row r="19" customFormat="false" ht="15" hidden="false" customHeight="true" outlineLevel="0" collapsed="false">
      <c r="A19" s="1" t="str">
        <f aca="false">IF(Catálogo!$C19="","",Catálogo!$C19&amp;"|"&amp;COUNTIF(Catálogo!$C$4:$C19,Catálogo!$C19))</f>
        <v>Alimentação &amp; Imagem Corporal|1</v>
      </c>
    </row>
    <row r="20" customFormat="false" ht="15" hidden="false" customHeight="true" outlineLevel="0" collapsed="false">
      <c r="A20" s="1" t="str">
        <f aca="false">IF(Catálogo!$C20="","",Catálogo!$C20&amp;"|"&amp;COUNTIF(Catálogo!$C$4:$C20,Catálogo!$C20))</f>
        <v>Atenção, PHDA &amp; Funções Executivas|1</v>
      </c>
    </row>
    <row r="21" customFormat="false" ht="15" hidden="false" customHeight="true" outlineLevel="0" collapsed="false">
      <c r="A21" s="1" t="str">
        <f aca="false">IF(Catálogo!$C21="","",Catálogo!$C21&amp;"|"&amp;COUNTIF(Catálogo!$C$4:$C21,Catálogo!$C21))</f>
        <v>Atenção, PHDA &amp; Funções Executivas|2</v>
      </c>
    </row>
    <row r="22" customFormat="false" ht="15" hidden="false" customHeight="true" outlineLevel="0" collapsed="false">
      <c r="A22" s="1" t="str">
        <f aca="false">IF(Catálogo!$C22="","",Catálogo!$C22&amp;"|"&amp;COUNTIF(Catálogo!$C$4:$C22,Catálogo!$C22))</f>
        <v>Atenção, PHDA &amp; Funções Executivas|3</v>
      </c>
    </row>
    <row r="23" customFormat="false" ht="15" hidden="false" customHeight="true" outlineLevel="0" collapsed="false">
      <c r="A23" s="1" t="str">
        <f aca="false">IF(Catálogo!$C23="","",Catálogo!$C23&amp;"|"&amp;COUNTIF(Catálogo!$C$4:$C23,Catálogo!$C23))</f>
        <v>Atenção, PHDA &amp; Funções Executivas|4</v>
      </c>
    </row>
    <row r="24" customFormat="false" ht="15" hidden="false" customHeight="true" outlineLevel="0" collapsed="false">
      <c r="A24" s="1" t="str">
        <f aca="false">IF(Catálogo!$C24="","",Catálogo!$C24&amp;"|"&amp;COUNTIF(Catálogo!$C$4:$C24,Catálogo!$C24))</f>
        <v>Atenção, PHDA &amp; Funções Executivas|5</v>
      </c>
    </row>
    <row r="25" customFormat="false" ht="15" hidden="false" customHeight="true" outlineLevel="0" collapsed="false">
      <c r="A25" s="1" t="str">
        <f aca="false">IF(Catálogo!$C25="","",Catálogo!$C25&amp;"|"&amp;COUNTIF(Catálogo!$C$4:$C25,Catálogo!$C25))</f>
        <v>Risco, Autolesão &amp; Psicopatologia Geral|1</v>
      </c>
    </row>
    <row r="26" customFormat="false" ht="15" hidden="false" customHeight="true" outlineLevel="0" collapsed="false">
      <c r="A26" s="1" t="str">
        <f aca="false">IF(Catálogo!$C26="","",Catálogo!$C26&amp;"|"&amp;COUNTIF(Catálogo!$C$4:$C26,Catálogo!$C26))</f>
        <v>Competências Sociais &amp; Assertividade|2</v>
      </c>
    </row>
    <row r="27" customFormat="false" ht="15" hidden="false" customHeight="true" outlineLevel="0" collapsed="false">
      <c r="A27" s="1" t="str">
        <f aca="false">IF(Catálogo!$C27="","",Catálogo!$C27&amp;"|"&amp;COUNTIF(Catálogo!$C$4:$C27,Catálogo!$C27))</f>
        <v>Competências Sociais &amp; Assertividade|3</v>
      </c>
    </row>
    <row r="28" customFormat="false" ht="15" hidden="false" customHeight="true" outlineLevel="0" collapsed="false">
      <c r="A28" s="1" t="str">
        <f aca="false">IF(Catálogo!$C28="","",Catálogo!$C28&amp;"|"&amp;COUNTIF(Catálogo!$C$4:$C28,Catálogo!$C28))</f>
        <v>Neurodesenvolvimento|7</v>
      </c>
    </row>
    <row r="29" customFormat="false" ht="15" hidden="false" customHeight="true" outlineLevel="0" collapsed="false">
      <c r="A29" s="1" t="str">
        <f aca="false">IF(Catálogo!$C29="","",Catálogo!$C29&amp;"|"&amp;COUNTIF(Catálogo!$C$4:$C29,Catálogo!$C29))</f>
        <v>Neurodesenvolvimento|8</v>
      </c>
    </row>
    <row r="30" customFormat="false" ht="15" hidden="false" customHeight="true" outlineLevel="0" collapsed="false">
      <c r="A30" s="1" t="str">
        <f aca="false">IF(Catálogo!$C30="","",Catálogo!$C30&amp;"|"&amp;COUNTIF(Catálogo!$C$4:$C30,Catálogo!$C30))</f>
        <v>Neurodesenvolvimento|9</v>
      </c>
    </row>
    <row r="31" customFormat="false" ht="15" hidden="false" customHeight="true" outlineLevel="0" collapsed="false">
      <c r="A31" s="1" t="str">
        <f aca="false">IF(Catálogo!$C31="","",Catálogo!$C31&amp;"|"&amp;COUNTIF(Catálogo!$C$4:$C31,Catálogo!$C31))</f>
        <v>Regulação Emocional &amp; Coping|1</v>
      </c>
    </row>
    <row r="32" customFormat="false" ht="15" hidden="false" customHeight="true" outlineLevel="0" collapsed="false">
      <c r="A32" s="1" t="str">
        <f aca="false">IF(Catálogo!$C32="","",Catálogo!$C32&amp;"|"&amp;COUNTIF(Catálogo!$C$4:$C32,Catálogo!$C32))</f>
        <v>Ansiedade, Depressão &amp; Internalização|1</v>
      </c>
    </row>
    <row r="33" customFormat="false" ht="15" hidden="false" customHeight="true" outlineLevel="0" collapsed="false">
      <c r="A33" s="1" t="str">
        <f aca="false">IF(Catálogo!$C33="","",Catálogo!$C33&amp;"|"&amp;COUNTIF(Catálogo!$C$4:$C33,Catálogo!$C33))</f>
        <v>Regulação Emocional &amp; Coping|2</v>
      </c>
    </row>
    <row r="34" customFormat="false" ht="15" hidden="false" customHeight="true" outlineLevel="0" collapsed="false">
      <c r="A34" s="1" t="str">
        <f aca="false">IF(Catálogo!$C34="","",Catálogo!$C34&amp;"|"&amp;COUNTIF(Catálogo!$C$4:$C34,Catálogo!$C34))</f>
        <v>Regulação Emocional &amp; Coping|3</v>
      </c>
    </row>
    <row r="35" customFormat="false" ht="15" hidden="false" customHeight="true" outlineLevel="0" collapsed="false">
      <c r="A35" s="1" t="str">
        <f aca="false">IF(Catálogo!$C35="","",Catálogo!$C35&amp;"|"&amp;COUNTIF(Catálogo!$C$4:$C35,Catálogo!$C35))</f>
        <v>Regulação Emocional &amp; Coping|4</v>
      </c>
    </row>
    <row r="36" customFormat="false" ht="15" hidden="false" customHeight="true" outlineLevel="0" collapsed="false">
      <c r="A36" s="1" t="str">
        <f aca="false">IF(Catálogo!$C36="","",Catálogo!$C36&amp;"|"&amp;COUNTIF(Catálogo!$C$4:$C36,Catálogo!$C36))</f>
        <v>Alimentação &amp; Imagem Corporal|2</v>
      </c>
    </row>
    <row r="37" customFormat="false" ht="15" hidden="false" customHeight="true" outlineLevel="0" collapsed="false">
      <c r="A37" s="1" t="str">
        <f aca="false">IF(Catálogo!$C37="","",Catálogo!$C37&amp;"|"&amp;COUNTIF(Catálogo!$C$4:$C37,Catálogo!$C37))</f>
        <v>Atenção, PHDA &amp; Funções Executivas|6</v>
      </c>
    </row>
    <row r="38" customFormat="false" ht="15" hidden="false" customHeight="true" outlineLevel="0" collapsed="false">
      <c r="A38" s="1" t="str">
        <f aca="false">IF(Catálogo!$C38="","",Catálogo!$C38&amp;"|"&amp;COUNTIF(Catálogo!$C$4:$C38,Catálogo!$C38))</f>
        <v>Atenção, PHDA &amp; Funções Executivas|7</v>
      </c>
    </row>
    <row r="39" customFormat="false" ht="15" hidden="false" customHeight="true" outlineLevel="0" collapsed="false">
      <c r="A39" s="1" t="str">
        <f aca="false">IF(Catálogo!$C39="","",Catálogo!$C39&amp;"|"&amp;COUNTIF(Catálogo!$C$4:$C39,Catálogo!$C39))</f>
        <v>Ansiedade, Depressão &amp; Internalização|2</v>
      </c>
    </row>
    <row r="40" customFormat="false" ht="15" hidden="false" customHeight="true" outlineLevel="0" collapsed="false">
      <c r="A40" s="1" t="str">
        <f aca="false">IF(Catálogo!$C40="","",Catálogo!$C40&amp;"|"&amp;COUNTIF(Catálogo!$C$4:$C40,Catálogo!$C40))</f>
        <v>Alimentação &amp; Imagem Corporal|3</v>
      </c>
    </row>
    <row r="41" customFormat="false" ht="15" hidden="false" customHeight="true" outlineLevel="0" collapsed="false">
      <c r="A41" s="1" t="str">
        <f aca="false">IF(Catálogo!$C41="","",Catálogo!$C41&amp;"|"&amp;COUNTIF(Catálogo!$C$4:$C41,Catálogo!$C41))</f>
        <v>Família &amp; Parentalidade|1</v>
      </c>
    </row>
    <row r="42" customFormat="false" ht="15" hidden="false" customHeight="true" outlineLevel="0" collapsed="false">
      <c r="A42" s="1" t="str">
        <f aca="false">IF(Catálogo!$C42="","",Catálogo!$C42&amp;"|"&amp;COUNTIF(Catálogo!$C$4:$C42,Catálogo!$C42))</f>
        <v>Família &amp; Parentalidade|2</v>
      </c>
    </row>
    <row r="43" customFormat="false" ht="15" hidden="false" customHeight="true" outlineLevel="0" collapsed="false">
      <c r="A43" s="1" t="str">
        <f aca="false">IF(Catálogo!$C43="","",Catálogo!$C43&amp;"|"&amp;COUNTIF(Catálogo!$C$4:$C43,Catálogo!$C43))</f>
        <v>Família &amp; Parentalidade|3</v>
      </c>
    </row>
    <row r="44" customFormat="false" ht="15" hidden="false" customHeight="true" outlineLevel="0" collapsed="false">
      <c r="A44" s="1" t="str">
        <f aca="false">IF(Catálogo!$C44="","",Catálogo!$C44&amp;"|"&amp;COUNTIF(Catálogo!$C$4:$C44,Catálogo!$C44))</f>
        <v>Família &amp; Parentalidade|4</v>
      </c>
    </row>
    <row r="45" customFormat="false" ht="15" hidden="false" customHeight="true" outlineLevel="0" collapsed="false">
      <c r="A45" s="1" t="str">
        <f aca="false">IF(Catálogo!$C45="","",Catálogo!$C45&amp;"|"&amp;COUNTIF(Catálogo!$C$4:$C45,Catálogo!$C45))</f>
        <v>Família &amp; Parentalidade|5</v>
      </c>
    </row>
    <row r="46" customFormat="false" ht="15" hidden="false" customHeight="true" outlineLevel="0" collapsed="false">
      <c r="A46" s="1" t="str">
        <f aca="false">IF(Catálogo!$C46="","",Catálogo!$C46&amp;"|"&amp;COUNTIF(Catálogo!$C$4:$C46,Catálogo!$C46))</f>
        <v>Atenção, PHDA &amp; Funções Executivas|8</v>
      </c>
    </row>
    <row r="47" customFormat="false" ht="15" hidden="false" customHeight="true" outlineLevel="0" collapsed="false">
      <c r="A47" s="1" t="str">
        <f aca="false">IF(Catálogo!$C47="","",Catálogo!$C47&amp;"|"&amp;COUNTIF(Catálogo!$C$4:$C47,Catálogo!$C47))</f>
        <v>Atenção, PHDA &amp; Funções Executivas|9</v>
      </c>
    </row>
    <row r="48" customFormat="false" ht="15" hidden="false" customHeight="true" outlineLevel="0" collapsed="false">
      <c r="A48" s="1" t="str">
        <f aca="false">IF(Catálogo!$C48="","",Catálogo!$C48&amp;"|"&amp;COUNTIF(Catálogo!$C$4:$C48,Catálogo!$C48))</f>
        <v>Atenção, PHDA &amp; Funções Executivas|10</v>
      </c>
    </row>
    <row r="49" customFormat="false" ht="15" hidden="false" customHeight="true" outlineLevel="0" collapsed="false">
      <c r="A49" s="1" t="str">
        <f aca="false">IF(Catálogo!$C49="","",Catálogo!$C49&amp;"|"&amp;COUNTIF(Catálogo!$C$4:$C49,Catálogo!$C49))</f>
        <v>Atenção, PHDA &amp; Funções Executivas|11</v>
      </c>
    </row>
    <row r="50" customFormat="false" ht="15" hidden="false" customHeight="true" outlineLevel="0" collapsed="false">
      <c r="A50" s="1" t="str">
        <f aca="false">IF(Catálogo!$C50="","",Catálogo!$C50&amp;"|"&amp;COUNTIF(Catálogo!$C$4:$C50,Catálogo!$C50))</f>
        <v>Risco, Autolesão &amp; Psicopatologia Geral|2</v>
      </c>
    </row>
    <row r="51" customFormat="false" ht="15" hidden="false" customHeight="true" outlineLevel="0" collapsed="false">
      <c r="A51" s="1" t="str">
        <f aca="false">IF(Catálogo!$C51="","",Catálogo!$C51&amp;"|"&amp;COUNTIF(Catálogo!$C$4:$C51,Catálogo!$C51))</f>
        <v>Risco, Autolesão &amp; Psicopatologia Geral|3</v>
      </c>
    </row>
    <row r="52" customFormat="false" ht="15" hidden="false" customHeight="true" outlineLevel="0" collapsed="false">
      <c r="A52" s="1" t="str">
        <f aca="false">IF(Catálogo!$C52="","",Catálogo!$C52&amp;"|"&amp;COUNTIF(Catálogo!$C$4:$C52,Catálogo!$C52))</f>
        <v>Risco, Autolesão &amp; Psicopatologia Geral|4</v>
      </c>
    </row>
    <row r="53" customFormat="false" ht="15" hidden="false" customHeight="true" outlineLevel="0" collapsed="false">
      <c r="A53" s="1" t="str">
        <f aca="false">IF(Catálogo!$C53="","",Catálogo!$C53&amp;"|"&amp;COUNTIF(Catálogo!$C$4:$C53,Catálogo!$C53))</f>
        <v>Risco, Autolesão &amp; Psicopatologia Geral|5</v>
      </c>
    </row>
    <row r="54" customFormat="false" ht="15" hidden="false" customHeight="true" outlineLevel="0" collapsed="false">
      <c r="A54" s="1" t="str">
        <f aca="false">IF(Catálogo!$C54="","",Catálogo!$C54&amp;"|"&amp;COUNTIF(Catálogo!$C$4:$C54,Catálogo!$C54))</f>
        <v>Externalização &amp; Comportamento|6</v>
      </c>
    </row>
    <row r="55" customFormat="false" ht="15" hidden="false" customHeight="true" outlineLevel="0" collapsed="false">
      <c r="A55" s="1" t="str">
        <f aca="false">IF(Catálogo!$C55="","",Catálogo!$C55&amp;"|"&amp;COUNTIF(Catálogo!$C$4:$C55,Catálogo!$C55))</f>
        <v>Regulação Emocional &amp; Coping|5</v>
      </c>
    </row>
    <row r="56" customFormat="false" ht="15" hidden="false" customHeight="true" outlineLevel="0" collapsed="false">
      <c r="A56" s="1" t="str">
        <f aca="false">IF(Catálogo!$C56="","",Catálogo!$C56&amp;"|"&amp;COUNTIF(Catálogo!$C$4:$C56,Catálogo!$C56))</f>
        <v>Anamnese, História &amp; Monitorização|4</v>
      </c>
    </row>
    <row r="57" customFormat="false" ht="15" hidden="false" customHeight="true" outlineLevel="0" collapsed="false">
      <c r="A57" s="1" t="str">
        <f aca="false">IF(Catálogo!$C57="","",Catálogo!$C57&amp;"|"&amp;COUNTIF(Catálogo!$C$4:$C57,Catálogo!$C57))</f>
        <v>Risco, Autolesão &amp; Psicopatologia Geral|6</v>
      </c>
    </row>
    <row r="58" customFormat="false" ht="15" hidden="false" customHeight="true" outlineLevel="0" collapsed="false">
      <c r="A58" s="1" t="str">
        <f aca="false">IF(Catálogo!$C58="","",Catálogo!$C58&amp;"|"&amp;COUNTIF(Catálogo!$C$4:$C58,Catálogo!$C58))</f>
        <v>Atenção, PHDA &amp; Funções Executivas|12</v>
      </c>
    </row>
    <row r="59" customFormat="false" ht="15" hidden="false" customHeight="true" outlineLevel="0" collapsed="false">
      <c r="A59" s="1" t="str">
        <f aca="false">IF(Catálogo!$C59="","",Catálogo!$C59&amp;"|"&amp;COUNTIF(Catálogo!$C$4:$C59,Catálogo!$C59))</f>
        <v>Escola, Motivação &amp; Aprendizagem|1</v>
      </c>
    </row>
    <row r="60" customFormat="false" ht="15" hidden="false" customHeight="true" outlineLevel="0" collapsed="false">
      <c r="A60" s="1" t="str">
        <f aca="false">IF(Catálogo!$C60="","",Catálogo!$C60&amp;"|"&amp;COUNTIF(Catálogo!$C$4:$C60,Catálogo!$C60))</f>
        <v>Alimentação &amp; Imagem Corporal|4</v>
      </c>
    </row>
    <row r="61" customFormat="false" ht="15" hidden="false" customHeight="true" outlineLevel="0" collapsed="false">
      <c r="A61" s="1" t="str">
        <f aca="false">IF(Catálogo!$C61="","",Catálogo!$C61&amp;"|"&amp;COUNTIF(Catálogo!$C$4:$C61,Catálogo!$C61))</f>
        <v>Alimentação &amp; Imagem Corporal|5</v>
      </c>
    </row>
    <row r="62" customFormat="false" ht="15" hidden="false" customHeight="true" outlineLevel="0" collapsed="false">
      <c r="A62" s="1" t="str">
        <f aca="false">IF(Catálogo!$C62="","",Catálogo!$C62&amp;"|"&amp;COUNTIF(Catálogo!$C$4:$C62,Catálogo!$C62))</f>
        <v>Alimentação &amp; Imagem Corporal|6</v>
      </c>
    </row>
    <row r="63" customFormat="false" ht="15" hidden="false" customHeight="true" outlineLevel="0" collapsed="false">
      <c r="A63" s="1" t="str">
        <f aca="false">IF(Catálogo!$C63="","",Catálogo!$C63&amp;"|"&amp;COUNTIF(Catálogo!$C$4:$C63,Catálogo!$C63))</f>
        <v>Personalidade &amp; Esquemas|1</v>
      </c>
    </row>
    <row r="64" customFormat="false" ht="15" hidden="false" customHeight="true" outlineLevel="0" collapsed="false">
      <c r="A64" s="1" t="str">
        <f aca="false">IF(Catálogo!$C64="","",Catálogo!$C64&amp;"|"&amp;COUNTIF(Catálogo!$C$4:$C64,Catálogo!$C64))</f>
        <v>Personalidade &amp; Esquemas|2</v>
      </c>
    </row>
    <row r="65" customFormat="false" ht="15" hidden="false" customHeight="true" outlineLevel="0" collapsed="false">
      <c r="A65" s="1" t="str">
        <f aca="false">IF(Catálogo!$C65="","",Catálogo!$C65&amp;"|"&amp;COUNTIF(Catálogo!$C$4:$C65,Catálogo!$C65))</f>
        <v>Autoconceito &amp; Autoestima|1</v>
      </c>
    </row>
    <row r="66" customFormat="false" ht="15" hidden="false" customHeight="true" outlineLevel="0" collapsed="false">
      <c r="A66" s="1" t="str">
        <f aca="false">IF(Catálogo!$C66="","",Catálogo!$C66&amp;"|"&amp;COUNTIF(Catálogo!$C$4:$C66,Catálogo!$C66))</f>
        <v>Regulação Emocional &amp; Coping|6</v>
      </c>
    </row>
    <row r="67" customFormat="false" ht="15" hidden="false" customHeight="true" outlineLevel="0" collapsed="false">
      <c r="A67" s="1" t="str">
        <f aca="false">IF(Catálogo!$C67="","",Catálogo!$C67&amp;"|"&amp;COUNTIF(Catálogo!$C$4:$C67,Catálogo!$C67))</f>
        <v>Regulação Emocional &amp; Coping|7</v>
      </c>
    </row>
    <row r="68" customFormat="false" ht="15" hidden="false" customHeight="true" outlineLevel="0" collapsed="false">
      <c r="A68" s="1" t="str">
        <f aca="false">IF(Catálogo!$C68="","",Catálogo!$C68&amp;"|"&amp;COUNTIF(Catálogo!$C$4:$C68,Catálogo!$C68))</f>
        <v>Regulação Emocional &amp; Coping|8</v>
      </c>
    </row>
    <row r="69" customFormat="false" ht="15" hidden="false" customHeight="true" outlineLevel="0" collapsed="false">
      <c r="A69" s="1" t="str">
        <f aca="false">IF(Catálogo!$C69="","",Catálogo!$C69&amp;"|"&amp;COUNTIF(Catálogo!$C$4:$C69,Catálogo!$C69))</f>
        <v>Regulação Emocional &amp; Coping|9</v>
      </c>
    </row>
    <row r="70" customFormat="false" ht="15" hidden="false" customHeight="true" outlineLevel="0" collapsed="false">
      <c r="A70" s="1" t="str">
        <f aca="false">IF(Catálogo!$C70="","",Catálogo!$C70&amp;"|"&amp;COUNTIF(Catálogo!$C$4:$C70,Catálogo!$C70))</f>
        <v>Família &amp; Parentalidade|6</v>
      </c>
    </row>
    <row r="71" customFormat="false" ht="15" hidden="false" customHeight="true" outlineLevel="0" collapsed="false">
      <c r="A71" s="1" t="str">
        <f aca="false">IF(Catálogo!$C71="","",Catálogo!$C71&amp;"|"&amp;COUNTIF(Catálogo!$C$4:$C71,Catálogo!$C71))</f>
        <v>Família &amp; Parentalidade|7</v>
      </c>
    </row>
    <row r="72" customFormat="false" ht="15" hidden="false" customHeight="true" outlineLevel="0" collapsed="false">
      <c r="A72" s="1" t="str">
        <f aca="false">IF(Catálogo!$C72="","",Catálogo!$C72&amp;"|"&amp;COUNTIF(Catálogo!$C$4:$C72,Catálogo!$C72))</f>
        <v>Família &amp; Parentalidade|8</v>
      </c>
    </row>
    <row r="73" customFormat="false" ht="15" hidden="false" customHeight="true" outlineLevel="0" collapsed="false">
      <c r="A73" s="1" t="str">
        <f aca="false">IF(Catálogo!$C73="","",Catálogo!$C73&amp;"|"&amp;COUNTIF(Catálogo!$C$4:$C73,Catálogo!$C73))</f>
        <v>Família &amp; Parentalidade|9</v>
      </c>
    </row>
    <row r="74" customFormat="false" ht="15" hidden="false" customHeight="true" outlineLevel="0" collapsed="false">
      <c r="A74" s="1" t="str">
        <f aca="false">IF(Catálogo!$C74="","",Catálogo!$C74&amp;"|"&amp;COUNTIF(Catálogo!$C$4:$C74,Catálogo!$C74))</f>
        <v>Família &amp; Parentalidade|10</v>
      </c>
    </row>
    <row r="75" customFormat="false" ht="15" hidden="false" customHeight="true" outlineLevel="0" collapsed="false">
      <c r="A75" s="1" t="str">
        <f aca="false">IF(Catálogo!$C75="","",Catálogo!$C75&amp;"|"&amp;COUNTIF(Catálogo!$C$4:$C75,Catálogo!$C75))</f>
        <v>Família &amp; Parentalidade|11</v>
      </c>
    </row>
    <row r="76" customFormat="false" ht="15" hidden="false" customHeight="true" outlineLevel="0" collapsed="false">
      <c r="A76" s="1" t="str">
        <f aca="false">IF(Catálogo!$C76="","",Catálogo!$C76&amp;"|"&amp;COUNTIF(Catálogo!$C$4:$C76,Catálogo!$C76))</f>
        <v>Família &amp; Parentalidade|12</v>
      </c>
    </row>
    <row r="77" customFormat="false" ht="15" hidden="false" customHeight="true" outlineLevel="0" collapsed="false">
      <c r="A77" s="1" t="str">
        <f aca="false">IF(Catálogo!$C77="","",Catálogo!$C77&amp;"|"&amp;COUNTIF(Catálogo!$C$4:$C77,Catálogo!$C77))</f>
        <v>Família &amp; Parentalidade|13</v>
      </c>
    </row>
    <row r="78" customFormat="false" ht="15" hidden="false" customHeight="true" outlineLevel="0" collapsed="false">
      <c r="A78" s="1" t="str">
        <f aca="false">IF(Catálogo!$C78="","",Catálogo!$C78&amp;"|"&amp;COUNTIF(Catálogo!$C$4:$C78,Catálogo!$C78))</f>
        <v>Família &amp; Parentalidade|14</v>
      </c>
    </row>
    <row r="79" customFormat="false" ht="15" hidden="false" customHeight="true" outlineLevel="0" collapsed="false">
      <c r="A79" s="1" t="str">
        <f aca="false">IF(Catálogo!$C79="","",Catálogo!$C79&amp;"|"&amp;COUNTIF(Catálogo!$C$4:$C79,Catálogo!$C79))</f>
        <v>Ansiedade, Depressão &amp; Internalização|3</v>
      </c>
    </row>
    <row r="80" customFormat="false" ht="15" hidden="false" customHeight="true" outlineLevel="0" collapsed="false">
      <c r="A80" s="1" t="str">
        <f aca="false">IF(Catálogo!$C80="","",Catálogo!$C80&amp;"|"&amp;COUNTIF(Catálogo!$C$4:$C80,Catálogo!$C80))</f>
        <v>Risco, Autolesão &amp; Psicopatologia Geral|7</v>
      </c>
    </row>
    <row r="81" customFormat="false" ht="15" hidden="false" customHeight="true" outlineLevel="0" collapsed="false">
      <c r="A81" s="1" t="str">
        <f aca="false">IF(Catálogo!$C81="","",Catálogo!$C81&amp;"|"&amp;COUNTIF(Catálogo!$C$4:$C81,Catálogo!$C81))</f>
        <v>Orientação Vocacional &amp; Inteligências|1</v>
      </c>
    </row>
    <row r="82" customFormat="false" ht="15" hidden="false" customHeight="true" outlineLevel="0" collapsed="false">
      <c r="A82" s="1" t="str">
        <f aca="false">IF(Catálogo!$C82="","",Catálogo!$C82&amp;"|"&amp;COUNTIF(Catálogo!$C$4:$C82,Catálogo!$C82))</f>
        <v>Orientação Vocacional &amp; Inteligências|2</v>
      </c>
    </row>
    <row r="83" customFormat="false" ht="15" hidden="false" customHeight="true" outlineLevel="0" collapsed="false">
      <c r="A83" s="1" t="str">
        <f aca="false">IF(Catálogo!$C83="","",Catálogo!$C83&amp;"|"&amp;COUNTIF(Catálogo!$C$4:$C83,Catálogo!$C83))</f>
        <v>Orientação Vocacional &amp; Inteligências|3</v>
      </c>
    </row>
    <row r="84" customFormat="false" ht="15" hidden="false" customHeight="true" outlineLevel="0" collapsed="false">
      <c r="A84" s="1" t="str">
        <f aca="false">IF(Catálogo!$C84="","",Catálogo!$C84&amp;"|"&amp;COUNTIF(Catálogo!$C$4:$C84,Catálogo!$C84))</f>
        <v>Orientação Vocacional &amp; Inteligências|4</v>
      </c>
    </row>
    <row r="85" customFormat="false" ht="15" hidden="false" customHeight="true" outlineLevel="0" collapsed="false">
      <c r="A85" s="1" t="str">
        <f aca="false">IF(Catálogo!$C85="","",Catálogo!$C85&amp;"|"&amp;COUNTIF(Catálogo!$C$4:$C85,Catálogo!$C85))</f>
        <v>Orientação Vocacional &amp; Inteligências|5</v>
      </c>
    </row>
    <row r="86" customFormat="false" ht="15" hidden="false" customHeight="true" outlineLevel="0" collapsed="false">
      <c r="A86" s="1" t="str">
        <f aca="false">IF(Catálogo!$C86="","",Catálogo!$C86&amp;"|"&amp;COUNTIF(Catálogo!$C$4:$C86,Catálogo!$C86))</f>
        <v>Risco, Autolesão &amp; Psicopatologia Geral|8</v>
      </c>
    </row>
    <row r="87" customFormat="false" ht="15" hidden="false" customHeight="true" outlineLevel="0" collapsed="false">
      <c r="A87" s="1" t="str">
        <f aca="false">IF(Catálogo!$C87="","",Catálogo!$C87&amp;"|"&amp;COUNTIF(Catálogo!$C$4:$C87,Catálogo!$C87))</f>
        <v>Regulação Emocional &amp; Coping|10</v>
      </c>
    </row>
    <row r="88" customFormat="false" ht="15" hidden="false" customHeight="true" outlineLevel="0" collapsed="false">
      <c r="A88" s="1" t="str">
        <f aca="false">IF(Catálogo!$C88="","",Catálogo!$C88&amp;"|"&amp;COUNTIF(Catálogo!$C$4:$C88,Catálogo!$C88))</f>
        <v>Ansiedade, Depressão &amp; Internalização|4</v>
      </c>
    </row>
    <row r="89" customFormat="false" ht="15" hidden="false" customHeight="true" outlineLevel="0" collapsed="false">
      <c r="A89" s="1" t="str">
        <f aca="false">IF(Catálogo!$C89="","",Catálogo!$C89&amp;"|"&amp;COUNTIF(Catálogo!$C$4:$C89,Catálogo!$C89))</f>
        <v>Orientação Vocacional &amp; Inteligências|6</v>
      </c>
    </row>
    <row r="90" customFormat="false" ht="15" hidden="false" customHeight="true" outlineLevel="0" collapsed="false">
      <c r="A90" s="1" t="str">
        <f aca="false">IF(Catálogo!$C90="","",Catálogo!$C90&amp;"|"&amp;COUNTIF(Catálogo!$C$4:$C90,Catálogo!$C90))</f>
        <v>Personalidade &amp; Esquemas|3</v>
      </c>
    </row>
    <row r="91" customFormat="false" ht="15" hidden="false" customHeight="true" outlineLevel="0" collapsed="false">
      <c r="A91" s="1" t="str">
        <f aca="false">IF(Catálogo!$C91="","",Catálogo!$C91&amp;"|"&amp;COUNTIF(Catálogo!$C$4:$C91,Catálogo!$C91))</f>
        <v>Regulação Emocional &amp; Coping|11</v>
      </c>
    </row>
    <row r="92" customFormat="false" ht="15" hidden="false" customHeight="true" outlineLevel="0" collapsed="false">
      <c r="A92" s="1" t="str">
        <f aca="false">IF(Catálogo!$C92="","",Catálogo!$C92&amp;"|"&amp;COUNTIF(Catálogo!$C$4:$C92,Catálogo!$C92))</f>
        <v>Regulação Emocional &amp; Coping|12</v>
      </c>
    </row>
    <row r="93" customFormat="false" ht="15" hidden="false" customHeight="true" outlineLevel="0" collapsed="false">
      <c r="A93" s="1" t="str">
        <f aca="false">IF(Catálogo!$C93="","",Catálogo!$C93&amp;"|"&amp;COUNTIF(Catálogo!$C$4:$C93,Catálogo!$C93))</f>
        <v>Neurodesenvolvimento|10</v>
      </c>
    </row>
    <row r="94" customFormat="false" ht="15" hidden="false" customHeight="true" outlineLevel="0" collapsed="false">
      <c r="A94" s="1" t="str">
        <f aca="false">IF(Catálogo!$C94="","",Catálogo!$C94&amp;"|"&amp;COUNTIF(Catálogo!$C$4:$C94,Catálogo!$C94))</f>
        <v>Neurodesenvolvimento|11</v>
      </c>
    </row>
    <row r="95" customFormat="false" ht="15" hidden="false" customHeight="true" outlineLevel="0" collapsed="false">
      <c r="A95" s="1" t="str">
        <f aca="false">IF(Catálogo!$C95="","",Catálogo!$C95&amp;"|"&amp;COUNTIF(Catálogo!$C$4:$C95,Catálogo!$C95))</f>
        <v>Família &amp; Parentalidade|15</v>
      </c>
    </row>
    <row r="96" customFormat="false" ht="15" hidden="false" customHeight="true" outlineLevel="0" collapsed="false">
      <c r="A96" s="1" t="str">
        <f aca="false">IF(Catálogo!$C96="","",Catálogo!$C96&amp;"|"&amp;COUNTIF(Catálogo!$C$4:$C96,Catálogo!$C96))</f>
        <v>Família &amp; Parentalidade|16</v>
      </c>
    </row>
    <row r="97" customFormat="false" ht="15" hidden="false" customHeight="true" outlineLevel="0" collapsed="false">
      <c r="A97" s="1" t="str">
        <f aca="false">IF(Catálogo!$C97="","",Catálogo!$C97&amp;"|"&amp;COUNTIF(Catálogo!$C$4:$C97,Catálogo!$C97))</f>
        <v>Família &amp; Parentalidade|17</v>
      </c>
    </row>
    <row r="98" customFormat="false" ht="15" hidden="false" customHeight="true" outlineLevel="0" collapsed="false">
      <c r="A98" s="1" t="str">
        <f aca="false">IF(Catálogo!$C98="","",Catálogo!$C98&amp;"|"&amp;COUNTIF(Catálogo!$C$4:$C98,Catálogo!$C98))</f>
        <v>Família &amp; Parentalidade|18</v>
      </c>
    </row>
    <row r="99" customFormat="false" ht="15" hidden="false" customHeight="true" outlineLevel="0" collapsed="false">
      <c r="A99" s="1" t="str">
        <f aca="false">IF(Catálogo!$C99="","",Catálogo!$C99&amp;"|"&amp;COUNTIF(Catálogo!$C$4:$C99,Catálogo!$C99))</f>
        <v>Escola, Motivação &amp; Aprendizagem|2</v>
      </c>
    </row>
    <row r="100" customFormat="false" ht="15" hidden="false" customHeight="true" outlineLevel="0" collapsed="false">
      <c r="A100" s="1" t="str">
        <f aca="false">IF(Catálogo!$C100="","",Catálogo!$C100&amp;"|"&amp;COUNTIF(Catálogo!$C$4:$C100,Catálogo!$C100))</f>
        <v>Neurodesenvolvimento|12</v>
      </c>
    </row>
    <row r="101" customFormat="false" ht="15" hidden="false" customHeight="true" outlineLevel="0" collapsed="false">
      <c r="A101" s="1" t="str">
        <f aca="false">IF(Catálogo!$C101="","",Catálogo!$C101&amp;"|"&amp;COUNTIF(Catálogo!$C$4:$C101,Catálogo!$C101))</f>
        <v>Família &amp; Parentalidade|19</v>
      </c>
    </row>
    <row r="102" customFormat="false" ht="15" hidden="false" customHeight="true" outlineLevel="0" collapsed="false">
      <c r="A102" s="1" t="str">
        <f aca="false">IF(Catálogo!$C102="","",Catálogo!$C102&amp;"|"&amp;COUNTIF(Catálogo!$C$4:$C102,Catálogo!$C102))</f>
        <v>Família &amp; Parentalidade|20</v>
      </c>
    </row>
    <row r="103" customFormat="false" ht="15" hidden="false" customHeight="true" outlineLevel="0" collapsed="false">
      <c r="A103" s="1" t="str">
        <f aca="false">IF(Catálogo!$C103="","",Catálogo!$C103&amp;"|"&amp;COUNTIF(Catálogo!$C$4:$C103,Catálogo!$C103))</f>
        <v>Risco, Autolesão &amp; Psicopatologia Geral|9</v>
      </c>
    </row>
    <row r="104" customFormat="false" ht="15" hidden="false" customHeight="true" outlineLevel="0" collapsed="false">
      <c r="A104" s="1" t="str">
        <f aca="false">IF(Catálogo!$C104="","",Catálogo!$C104&amp;"|"&amp;COUNTIF(Catálogo!$C$4:$C104,Catálogo!$C104))</f>
        <v>Personalidade &amp; Esquemas|4</v>
      </c>
    </row>
    <row r="105" customFormat="false" ht="15" hidden="false" customHeight="true" outlineLevel="0" collapsed="false">
      <c r="A105" s="1" t="str">
        <f aca="false">IF(Catálogo!$C105="","",Catálogo!$C105&amp;"|"&amp;COUNTIF(Catálogo!$C$4:$C105,Catálogo!$C105))</f>
        <v>Ansiedade, Depressão &amp; Internalização|5</v>
      </c>
    </row>
    <row r="106" customFormat="false" ht="15" hidden="false" customHeight="true" outlineLevel="0" collapsed="false">
      <c r="A106" s="1" t="str">
        <f aca="false">IF(Catálogo!$C106="","",Catálogo!$C106&amp;"|"&amp;COUNTIF(Catálogo!$C$4:$C106,Catálogo!$C106))</f>
        <v>Ansiedade, Depressão &amp; Internalização|6</v>
      </c>
    </row>
    <row r="107" customFormat="false" ht="15" hidden="false" customHeight="true" outlineLevel="0" collapsed="false">
      <c r="A107" s="1" t="str">
        <f aca="false">IF(Catálogo!$C107="","",Catálogo!$C107&amp;"|"&amp;COUNTIF(Catálogo!$C$4:$C107,Catálogo!$C107))</f>
        <v>Personalidade &amp; Esquemas|5</v>
      </c>
    </row>
    <row r="108" customFormat="false" ht="15" hidden="false" customHeight="true" outlineLevel="0" collapsed="false">
      <c r="A108" s="1" t="str">
        <f aca="false">IF(Catálogo!$C108="","",Catálogo!$C108&amp;"|"&amp;COUNTIF(Catálogo!$C$4:$C108,Catálogo!$C108))</f>
        <v>Personalidade &amp; Esquemas|6</v>
      </c>
    </row>
    <row r="109" customFormat="false" ht="15" hidden="false" customHeight="true" outlineLevel="0" collapsed="false">
      <c r="A109" s="1" t="str">
        <f aca="false">IF(Catálogo!$C109="","",Catálogo!$C109&amp;"|"&amp;COUNTIF(Catálogo!$C$4:$C109,Catálogo!$C109))</f>
        <v>Escola, Motivação &amp; Aprendizagem|3</v>
      </c>
    </row>
    <row r="110" customFormat="false" ht="15" hidden="false" customHeight="true" outlineLevel="0" collapsed="false">
      <c r="A110" s="1" t="str">
        <f aca="false">IF(Catálogo!$C110="","",Catálogo!$C110&amp;"|"&amp;COUNTIF(Catálogo!$C$4:$C110,Catálogo!$C110))</f>
        <v>Escola, Motivação &amp; Aprendizagem|4</v>
      </c>
    </row>
    <row r="111" customFormat="false" ht="15" hidden="false" customHeight="true" outlineLevel="0" collapsed="false">
      <c r="A111" s="1" t="str">
        <f aca="false">IF(Catálogo!$C111="","",Catálogo!$C111&amp;"|"&amp;COUNTIF(Catálogo!$C$4:$C111,Catálogo!$C111))</f>
        <v>Escola, Motivação &amp; Aprendizagem|5</v>
      </c>
    </row>
    <row r="112" customFormat="false" ht="15" hidden="false" customHeight="true" outlineLevel="0" collapsed="false">
      <c r="A112" s="1" t="str">
        <f aca="false">IF(Catálogo!$C112="","",Catálogo!$C112&amp;"|"&amp;COUNTIF(Catálogo!$C$4:$C112,Catálogo!$C112))</f>
        <v>Escola, Motivação &amp; Aprendizagem|6</v>
      </c>
    </row>
    <row r="113" customFormat="false" ht="15" hidden="false" customHeight="true" outlineLevel="0" collapsed="false">
      <c r="A113" s="1" t="str">
        <f aca="false">IF(Catálogo!$C113="","",Catálogo!$C113&amp;"|"&amp;COUNTIF(Catálogo!$C$4:$C113,Catálogo!$C113))</f>
        <v>Escola, Motivação &amp; Aprendizagem|7</v>
      </c>
    </row>
    <row r="114" customFormat="false" ht="15" hidden="false" customHeight="true" outlineLevel="0" collapsed="false">
      <c r="A114" s="1" t="str">
        <f aca="false">IF(Catálogo!$C114="","",Catálogo!$C114&amp;"|"&amp;COUNTIF(Catálogo!$C$4:$C114,Catálogo!$C114))</f>
        <v>Escola, Motivação &amp; Aprendizagem|8</v>
      </c>
    </row>
    <row r="115" customFormat="false" ht="15" hidden="false" customHeight="true" outlineLevel="0" collapsed="false">
      <c r="A115" s="1" t="str">
        <f aca="false">IF(Catálogo!$C115="","",Catálogo!$C115&amp;"|"&amp;COUNTIF(Catálogo!$C$4:$C115,Catálogo!$C115))</f>
        <v>Escola, Motivação &amp; Aprendizagem|9</v>
      </c>
    </row>
    <row r="116" customFormat="false" ht="15" hidden="false" customHeight="true" outlineLevel="0" collapsed="false">
      <c r="A116" s="1" t="str">
        <f aca="false">IF(Catálogo!$C116="","",Catálogo!$C116&amp;"|"&amp;COUNTIF(Catálogo!$C$4:$C116,Catálogo!$C116))</f>
        <v>Escola, Motivação &amp; Aprendizagem|10</v>
      </c>
    </row>
    <row r="117" customFormat="false" ht="15" hidden="false" customHeight="true" outlineLevel="0" collapsed="false">
      <c r="A117" s="1" t="str">
        <f aca="false">IF(Catálogo!$C117="","",Catálogo!$C117&amp;"|"&amp;COUNTIF(Catálogo!$C$4:$C117,Catálogo!$C117))</f>
        <v>Ansiedade, Depressão &amp; Internalização|7</v>
      </c>
    </row>
    <row r="118" customFormat="false" ht="15" hidden="false" customHeight="true" outlineLevel="0" collapsed="false">
      <c r="A118" s="1" t="str">
        <f aca="false">IF(Catálogo!$C118="","",Catálogo!$C118&amp;"|"&amp;COUNTIF(Catálogo!$C$4:$C118,Catálogo!$C118))</f>
        <v>Neurodesenvolvimento|13</v>
      </c>
    </row>
    <row r="119" customFormat="false" ht="15" hidden="false" customHeight="true" outlineLevel="0" collapsed="false">
      <c r="A119" s="1" t="str">
        <f aca="false">IF(Catálogo!$C119="","",Catálogo!$C119&amp;"|"&amp;COUNTIF(Catálogo!$C$4:$C119,Catálogo!$C119))</f>
        <v>Neurodesenvolvimento|14</v>
      </c>
    </row>
    <row r="120" customFormat="false" ht="15" hidden="false" customHeight="true" outlineLevel="0" collapsed="false">
      <c r="A120" s="1" t="str">
        <f aca="false">IF(Catálogo!$C120="","",Catálogo!$C120&amp;"|"&amp;COUNTIF(Catálogo!$C$4:$C120,Catálogo!$C120))</f>
        <v>Família &amp; Parentalidade|21</v>
      </c>
    </row>
    <row r="121" customFormat="false" ht="15" hidden="false" customHeight="true" outlineLevel="0" collapsed="false">
      <c r="A121" s="1" t="str">
        <f aca="false">IF(Catálogo!$C121="","",Catálogo!$C121&amp;"|"&amp;COUNTIF(Catálogo!$C$4:$C121,Catálogo!$C121))</f>
        <v>Competências Sociais &amp; Assertividade|4</v>
      </c>
    </row>
    <row r="122" customFormat="false" ht="15" hidden="false" customHeight="true" outlineLevel="0" collapsed="false">
      <c r="A122" s="1" t="str">
        <f aca="false">IF(Catálogo!$C122="","",Catálogo!$C122&amp;"|"&amp;COUNTIF(Catálogo!$C$4:$C122,Catálogo!$C122))</f>
        <v>Competências Sociais &amp; Assertividade|5</v>
      </c>
    </row>
    <row r="123" customFormat="false" ht="15" hidden="false" customHeight="true" outlineLevel="0" collapsed="false">
      <c r="A123" s="1" t="str">
        <f aca="false">IF(Catálogo!$C123="","",Catálogo!$C123&amp;"|"&amp;COUNTIF(Catálogo!$C$4:$C123,Catálogo!$C123))</f>
        <v>Família &amp; Parentalidade|22</v>
      </c>
    </row>
    <row r="124" customFormat="false" ht="15" hidden="false" customHeight="true" outlineLevel="0" collapsed="false">
      <c r="A124" s="1" t="str">
        <f aca="false">IF(Catálogo!$C124="","",Catálogo!$C124&amp;"|"&amp;COUNTIF(Catálogo!$C$4:$C124,Catálogo!$C124))</f>
        <v>Família &amp; Parentalidade|23</v>
      </c>
    </row>
    <row r="125" customFormat="false" ht="15" hidden="false" customHeight="true" outlineLevel="0" collapsed="false">
      <c r="A125" s="1" t="str">
        <f aca="false">IF(Catálogo!$C125="","",Catálogo!$C125&amp;"|"&amp;COUNTIF(Catálogo!$C$4:$C125,Catálogo!$C125))</f>
        <v>Personalidade &amp; Esquemas|7</v>
      </c>
    </row>
    <row r="126" customFormat="false" ht="15" hidden="false" customHeight="true" outlineLevel="0" collapsed="false">
      <c r="A126" s="1" t="str">
        <f aca="false">IF(Catálogo!$C126="","",Catálogo!$C126&amp;"|"&amp;COUNTIF(Catálogo!$C$4:$C126,Catálogo!$C126))</f>
        <v>Família &amp; Parentalidade|24</v>
      </c>
    </row>
    <row r="127" customFormat="false" ht="15" hidden="false" customHeight="true" outlineLevel="0" collapsed="false">
      <c r="A127" s="1" t="str">
        <f aca="false">IF(Catálogo!$C127="","",Catálogo!$C127&amp;"|"&amp;COUNTIF(Catálogo!$C$4:$C127,Catálogo!$C127))</f>
        <v>Externalização &amp; Comportamento|7</v>
      </c>
    </row>
    <row r="128" customFormat="false" ht="15" hidden="false" customHeight="true" outlineLevel="0" collapsed="false">
      <c r="A128" s="1" t="str">
        <f aca="false">IF(Catálogo!$C128="","",Catálogo!$C128&amp;"|"&amp;COUNTIF(Catálogo!$C$4:$C128,Catálogo!$C128))</f>
        <v>Externalização &amp; Comportamento|8</v>
      </c>
    </row>
    <row r="129" customFormat="false" ht="15" hidden="false" customHeight="true" outlineLevel="0" collapsed="false">
      <c r="A129" s="1" t="str">
        <f aca="false">IF(Catálogo!$C129="","",Catálogo!$C129&amp;"|"&amp;COUNTIF(Catálogo!$C$4:$C129,Catálogo!$C129))</f>
        <v>Neurodesenvolvimento|15</v>
      </c>
    </row>
    <row r="130" customFormat="false" ht="15" hidden="false" customHeight="true" outlineLevel="0" collapsed="false">
      <c r="A130" s="1" t="str">
        <f aca="false">IF(Catálogo!$C130="","",Catálogo!$C130&amp;"|"&amp;COUNTIF(Catálogo!$C$4:$C130,Catálogo!$C130))</f>
        <v>Neurodesenvolvimento|16</v>
      </c>
    </row>
    <row r="131" customFormat="false" ht="15" hidden="false" customHeight="true" outlineLevel="0" collapsed="false">
      <c r="A131" s="1" t="str">
        <f aca="false">IF(Catálogo!$C131="","",Catálogo!$C131&amp;"|"&amp;COUNTIF(Catálogo!$C$4:$C131,Catálogo!$C131))</f>
        <v>Ansiedade, Depressão &amp; Internalização|8</v>
      </c>
    </row>
    <row r="132" customFormat="false" ht="15" hidden="false" customHeight="true" outlineLevel="0" collapsed="false">
      <c r="A132" s="1" t="str">
        <f aca="false">IF(Catálogo!$C132="","",Catálogo!$C132&amp;"|"&amp;COUNTIF(Catálogo!$C$4:$C132,Catálogo!$C132))</f>
        <v>Ansiedade, Depressão &amp; Internalização|9</v>
      </c>
    </row>
    <row r="133" customFormat="false" ht="15" hidden="false" customHeight="true" outlineLevel="0" collapsed="false">
      <c r="A133" s="1" t="str">
        <f aca="false">IF(Catálogo!$C133="","",Catálogo!$C133&amp;"|"&amp;COUNTIF(Catálogo!$C$4:$C133,Catálogo!$C133))</f>
        <v>Ansiedade, Depressão &amp; Internalização|10</v>
      </c>
    </row>
    <row r="134" customFormat="false" ht="15" hidden="false" customHeight="true" outlineLevel="0" collapsed="false">
      <c r="A134" s="1" t="str">
        <f aca="false">IF(Catálogo!$C134="","",Catálogo!$C134&amp;"|"&amp;COUNTIF(Catálogo!$C$4:$C134,Catálogo!$C134))</f>
        <v>Ansiedade, Depressão &amp; Internalização|11</v>
      </c>
    </row>
    <row r="135" customFormat="false" ht="15" hidden="false" customHeight="true" outlineLevel="0" collapsed="false">
      <c r="A135" s="1" t="str">
        <f aca="false">IF(Catálogo!$C135="","",Catálogo!$C135&amp;"|"&amp;COUNTIF(Catálogo!$C$4:$C135,Catálogo!$C135))</f>
        <v>Ansiedade, Depressão &amp; Internalização|12</v>
      </c>
    </row>
    <row r="136" customFormat="false" ht="15" hidden="false" customHeight="true" outlineLevel="0" collapsed="false">
      <c r="A136" s="1" t="str">
        <f aca="false">IF(Catálogo!$C136="","",Catálogo!$C136&amp;"|"&amp;COUNTIF(Catálogo!$C$4:$C136,Catálogo!$C136))</f>
        <v>Ansiedade, Depressão &amp; Internalização|13</v>
      </c>
    </row>
    <row r="137" customFormat="false" ht="15" hidden="false" customHeight="true" outlineLevel="0" collapsed="false">
      <c r="A137" s="1" t="str">
        <f aca="false">IF(Catálogo!$C137="","",Catálogo!$C137&amp;"|"&amp;COUNTIF(Catálogo!$C$4:$C137,Catálogo!$C137))</f>
        <v>Ansiedade, Depressão &amp; Internalização|14</v>
      </c>
    </row>
    <row r="138" customFormat="false" ht="15" hidden="false" customHeight="true" outlineLevel="0" collapsed="false">
      <c r="A138" s="1" t="str">
        <f aca="false">IF(Catálogo!$C138="","",Catálogo!$C138&amp;"|"&amp;COUNTIF(Catálogo!$C$4:$C138,Catálogo!$C138))</f>
        <v>Orientação Vocacional &amp; Inteligências|7</v>
      </c>
    </row>
    <row r="139" customFormat="false" ht="15" hidden="false" customHeight="true" outlineLevel="0" collapsed="false">
      <c r="A139" s="1" t="str">
        <f aca="false">IF(Catálogo!$C139="","",Catálogo!$C139&amp;"|"&amp;COUNTIF(Catálogo!$C$4:$C139,Catálogo!$C139))</f>
        <v>Escola, Motivação &amp; Aprendizagem|11</v>
      </c>
    </row>
    <row r="140" customFormat="false" ht="15" hidden="false" customHeight="true" outlineLevel="0" collapsed="false">
      <c r="A140" s="1" t="str">
        <f aca="false">IF(Catálogo!$C140="","",Catálogo!$C140&amp;"|"&amp;COUNTIF(Catálogo!$C$4:$C140,Catálogo!$C140))</f>
        <v>Atenção, PHDA &amp; Funções Executivas|13</v>
      </c>
    </row>
    <row r="141" customFormat="false" ht="15" hidden="false" customHeight="true" outlineLevel="0" collapsed="false">
      <c r="A141" s="1" t="str">
        <f aca="false">IF(Catálogo!$C141="","",Catálogo!$C141&amp;"|"&amp;COUNTIF(Catálogo!$C$4:$C141,Catálogo!$C141))</f>
        <v>Escola, Motivação &amp; Aprendizagem|12</v>
      </c>
    </row>
    <row r="142" customFormat="false" ht="15" hidden="false" customHeight="true" outlineLevel="0" collapsed="false">
      <c r="A142" s="1" t="str">
        <f aca="false">IF(Catálogo!$C142="","",Catálogo!$C142&amp;"|"&amp;COUNTIF(Catálogo!$C$4:$C142,Catálogo!$C142))</f>
        <v>Ansiedade, Depressão &amp; Internalização|15</v>
      </c>
    </row>
    <row r="143" customFormat="false" ht="15" hidden="false" customHeight="true" outlineLevel="0" collapsed="false">
      <c r="A143" s="1" t="str">
        <f aca="false">IF(Catálogo!$C143="","",Catálogo!$C143&amp;"|"&amp;COUNTIF(Catálogo!$C$4:$C143,Catálogo!$C143))</f>
        <v>Ansiedade, Depressão &amp; Internalização|16</v>
      </c>
    </row>
    <row r="144" customFormat="false" ht="15" hidden="false" customHeight="true" outlineLevel="0" collapsed="false">
      <c r="A144" s="1" t="str">
        <f aca="false">IF(Catálogo!$C144="","",Catálogo!$C144&amp;"|"&amp;COUNTIF(Catálogo!$C$4:$C144,Catálogo!$C144))</f>
        <v>Autoconceito &amp; Autoestima|2</v>
      </c>
    </row>
    <row r="145" customFormat="false" ht="15" hidden="false" customHeight="true" outlineLevel="0" collapsed="false">
      <c r="A145" s="1" t="str">
        <f aca="false">IF(Catálogo!$C145="","",Catálogo!$C145&amp;"|"&amp;COUNTIF(Catálogo!$C$4:$C145,Catálogo!$C145))</f>
        <v>Autoconceito &amp; Autoestima|3</v>
      </c>
    </row>
    <row r="146" customFormat="false" ht="15" hidden="false" customHeight="true" outlineLevel="0" collapsed="false">
      <c r="A146" s="1" t="str">
        <f aca="false">IF(Catálogo!$C146="","",Catálogo!$C146&amp;"|"&amp;COUNTIF(Catálogo!$C$4:$C146,Catálogo!$C146))</f>
        <v>Autoconceito &amp; Autoestima|4</v>
      </c>
    </row>
    <row r="147" customFormat="false" ht="15" hidden="false" customHeight="true" outlineLevel="0" collapsed="false">
      <c r="A147" s="1" t="str">
        <f aca="false">IF(Catálogo!$C147="","",Catálogo!$C147&amp;"|"&amp;COUNTIF(Catálogo!$C$4:$C147,Catálogo!$C147))</f>
        <v>Autoconceito &amp; Autoestima|5</v>
      </c>
    </row>
    <row r="148" customFormat="false" ht="15" hidden="false" customHeight="true" outlineLevel="0" collapsed="false">
      <c r="A148" s="1" t="str">
        <f aca="false">IF(Catálogo!$C148="","",Catálogo!$C148&amp;"|"&amp;COUNTIF(Catálogo!$C$4:$C148,Catálogo!$C148))</f>
        <v>Autoconceito &amp; Autoestima|6</v>
      </c>
    </row>
    <row r="149" customFormat="false" ht="15" hidden="false" customHeight="true" outlineLevel="0" collapsed="false">
      <c r="A149" s="1" t="str">
        <f aca="false">IF(Catálogo!$C149="","",Catálogo!$C149&amp;"|"&amp;COUNTIF(Catálogo!$C$4:$C149,Catálogo!$C149))</f>
        <v>Neurodesenvolvimento|17</v>
      </c>
    </row>
    <row r="150" customFormat="false" ht="15" hidden="false" customHeight="true" outlineLevel="0" collapsed="false">
      <c r="A150" s="1" t="str">
        <f aca="false">IF(Catálogo!$C150="","",Catálogo!$C150&amp;"|"&amp;COUNTIF(Catálogo!$C$4:$C150,Catálogo!$C150))</f>
        <v>Neurodesenvolvimento|18</v>
      </c>
    </row>
    <row r="151" customFormat="false" ht="15" hidden="false" customHeight="true" outlineLevel="0" collapsed="false">
      <c r="A151" s="1" t="str">
        <f aca="false">IF(Catálogo!$C151="","",Catálogo!$C151&amp;"|"&amp;COUNTIF(Catálogo!$C$4:$C151,Catálogo!$C151))</f>
        <v>Ansiedade, Depressão &amp; Internalização|17</v>
      </c>
    </row>
    <row r="152" customFormat="false" ht="15" hidden="false" customHeight="true" outlineLevel="0" collapsed="false">
      <c r="A152" s="1" t="str">
        <f aca="false">IF(Catálogo!$C152="","",Catálogo!$C152&amp;"|"&amp;COUNTIF(Catálogo!$C$4:$C152,Catálogo!$C152))</f>
        <v>Externalização &amp; Comportamento|9</v>
      </c>
    </row>
    <row r="153" customFormat="false" ht="15" hidden="false" customHeight="true" outlineLevel="0" collapsed="false">
      <c r="A153" s="1" t="str">
        <f aca="false">IF(Catálogo!$C153="","",Catálogo!$C153&amp;"|"&amp;COUNTIF(Catálogo!$C$4:$C153,Catálogo!$C153))</f>
        <v>Atenção, PHDA &amp; Funções Executivas|14</v>
      </c>
    </row>
    <row r="154" customFormat="false" ht="15" hidden="false" customHeight="true" outlineLevel="0" collapsed="false">
      <c r="A154" s="1" t="str">
        <f aca="false">IF(Catálogo!$C154="","",Catálogo!$C154&amp;"|"&amp;COUNTIF(Catálogo!$C$4:$C154,Catálogo!$C154))</f>
        <v>Regulação Emocional &amp; Coping|13</v>
      </c>
    </row>
    <row r="155" customFormat="false" ht="15" hidden="false" customHeight="true" outlineLevel="0" collapsed="false">
      <c r="A155" s="1" t="str">
        <f aca="false">IF(Catálogo!$C155="","",Catálogo!$C155&amp;"|"&amp;COUNTIF(Catálogo!$C$4:$C155,Catálogo!$C155))</f>
        <v>Trauma &amp; Stress|1</v>
      </c>
    </row>
    <row r="156" customFormat="false" ht="15" hidden="false" customHeight="true" outlineLevel="0" collapsed="false">
      <c r="A156" s="1" t="str">
        <f aca="false">IF(Catálogo!$C156="","",Catálogo!$C156&amp;"|"&amp;COUNTIF(Catálogo!$C$4:$C156,Catálogo!$C156))</f>
        <v>Sono|1</v>
      </c>
    </row>
    <row r="157" customFormat="false" ht="15" hidden="false" customHeight="true" outlineLevel="0" collapsed="false">
      <c r="A157" s="1" t="str">
        <f aca="false">IF(Catálogo!$C157="","",Catálogo!$C157&amp;"|"&amp;COUNTIF(Catálogo!$C$4:$C157,Catálogo!$C157))</f>
        <v>Sono|2</v>
      </c>
    </row>
    <row r="158" customFormat="false" ht="15" hidden="false" customHeight="true" outlineLevel="0" collapsed="false">
      <c r="A158" s="1" t="str">
        <f aca="false">IF(Catálogo!$C158="","",Catálogo!$C158&amp;"|"&amp;COUNTIF(Catálogo!$C$4:$C158,Catálogo!$C158))</f>
        <v>Neurodesenvolvimento|19</v>
      </c>
    </row>
    <row r="159" customFormat="false" ht="15" hidden="false" customHeight="true" outlineLevel="0" collapsed="false">
      <c r="A159" s="1" t="str">
        <f aca="false">IF(Catálogo!$C159="","",Catálogo!$C159&amp;"|"&amp;COUNTIF(Catálogo!$C$4:$C159,Catálogo!$C159))</f>
        <v>Trauma &amp; Stress|2</v>
      </c>
    </row>
    <row r="160" customFormat="false" ht="15" hidden="false" customHeight="true" outlineLevel="0" collapsed="false">
      <c r="A160" s="1" t="str">
        <f aca="false">IF(Catálogo!$C160="","",Catálogo!$C160&amp;"|"&amp;COUNTIF(Catálogo!$C$4:$C160,Catálogo!$C160))</f>
        <v>Trauma &amp; Stress|3</v>
      </c>
    </row>
    <row r="161" customFormat="false" ht="15" hidden="false" customHeight="true" outlineLevel="0" collapsed="false">
      <c r="A161" s="1" t="str">
        <f aca="false">IF(Catálogo!$C161="","",Catálogo!$C161&amp;"|"&amp;COUNTIF(Catálogo!$C$4:$C161,Catálogo!$C161))</f>
        <v>Trauma &amp; Stress|4</v>
      </c>
    </row>
    <row r="162" customFormat="false" ht="15" hidden="false" customHeight="true" outlineLevel="0" collapsed="false">
      <c r="A162" s="1" t="str">
        <f aca="false">IF(Catálogo!$C162="","",Catálogo!$C162&amp;"|"&amp;COUNTIF(Catálogo!$C$4:$C162,Catálogo!$C162))</f>
        <v>Risco, Autolesão &amp; Psicopatologia Geral|10</v>
      </c>
    </row>
    <row r="163" customFormat="false" ht="15" hidden="false" customHeight="true" outlineLevel="0" collapsed="false">
      <c r="A163" s="1" t="str">
        <f aca="false">IF(Catálogo!$C163="","",Catálogo!$C163&amp;"|"&amp;COUNTIF(Catálogo!$C$4:$C163,Catálogo!$C163))</f>
        <v>Trauma &amp; Stress|5</v>
      </c>
    </row>
    <row r="164" customFormat="false" ht="15" hidden="false" customHeight="true" outlineLevel="0" collapsed="false">
      <c r="A164" s="1" t="str">
        <f aca="false">IF(Catálogo!$C164="","",Catálogo!$C164&amp;"|"&amp;COUNTIF(Catálogo!$C$4:$C164,Catálogo!$C164))</f>
        <v>Ansiedade, Depressão &amp; Internalização|18</v>
      </c>
    </row>
    <row r="165" customFormat="false" ht="15" hidden="false" customHeight="true" outlineLevel="0" collapsed="false">
      <c r="A165" s="1" t="str">
        <f aca="false">IF(Catálogo!$C165="","",Catálogo!$C165&amp;"|"&amp;COUNTIF(Catálogo!$C$4:$C165,Catálogo!$C165))</f>
        <v>Ansiedade, Depressão &amp; Internalização|19</v>
      </c>
    </row>
    <row r="166" customFormat="false" ht="15" hidden="false" customHeight="true" outlineLevel="0" collapsed="false">
      <c r="A166" s="1" t="str">
        <f aca="false">IF(Catálogo!$C166="","",Catálogo!$C166&amp;"|"&amp;COUNTIF(Catálogo!$C$4:$C166,Catálogo!$C166))</f>
        <v>Neurodesenvolvimento|20</v>
      </c>
    </row>
    <row r="167" customFormat="false" ht="15" hidden="false" customHeight="true" outlineLevel="0" collapsed="false">
      <c r="A167" s="1" t="str">
        <f aca="false">IF(Catálogo!$C167="","",Catálogo!$C167&amp;"|"&amp;COUNTIF(Catálogo!$C$4:$C167,Catálogo!$C167))</f>
        <v>Sono|3</v>
      </c>
    </row>
    <row r="168" customFormat="false" ht="15" hidden="false" customHeight="true" outlineLevel="0" collapsed="false">
      <c r="A168" s="1" t="str">
        <f aca="false">IF(Catálogo!$C168="","",Catálogo!$C168&amp;"|"&amp;COUNTIF(Catálogo!$C$4:$C168,Catálogo!$C168))</f>
        <v>Ansiedade, Depressão &amp; Internalização|20</v>
      </c>
    </row>
    <row r="169" customFormat="false" ht="15" hidden="false" customHeight="true" outlineLevel="0" collapsed="false">
      <c r="A169" s="1" t="str">
        <f aca="false">IF(Catálogo!$C169="","",Catálogo!$C169&amp;"|"&amp;COUNTIF(Catálogo!$C$4:$C169,Catálogo!$C169))</f>
        <v>Ansiedade, Depressão &amp; Internalização|21</v>
      </c>
    </row>
    <row r="170" customFormat="false" ht="15" hidden="false" customHeight="true" outlineLevel="0" collapsed="false">
      <c r="A170" s="1" t="str">
        <f aca="false">IF(Catálogo!$C170="","",Catálogo!$C170&amp;"|"&amp;COUNTIF(Catálogo!$C$4:$C170,Catálogo!$C170))</f>
        <v>Ansiedade, Depressão &amp; Internalização|22</v>
      </c>
    </row>
    <row r="171" customFormat="false" ht="15" hidden="false" customHeight="true" outlineLevel="0" collapsed="false">
      <c r="A171" s="1" t="str">
        <f aca="false">IF(Catálogo!$C171="","",Catálogo!$C171&amp;"|"&amp;COUNTIF(Catálogo!$C$4:$C171,Catálogo!$C171))</f>
        <v>Ansiedade, Depressão &amp; Internalização|23</v>
      </c>
    </row>
    <row r="172" customFormat="false" ht="15" hidden="false" customHeight="true" outlineLevel="0" collapsed="false">
      <c r="A172" s="1" t="str">
        <f aca="false">IF(Catálogo!$C172="","",Catálogo!$C172&amp;"|"&amp;COUNTIF(Catálogo!$C$4:$C172,Catálogo!$C172))</f>
        <v>Regulação Emocional &amp; Coping|14</v>
      </c>
    </row>
    <row r="173" customFormat="false" ht="15" hidden="false" customHeight="true" outlineLevel="0" collapsed="false">
      <c r="A173" s="1" t="str">
        <f aca="false">IF(Catálogo!$C173="","",Catálogo!$C173&amp;"|"&amp;COUNTIF(Catálogo!$C$4:$C173,Catálogo!$C173))</f>
        <v>Família &amp; Parentalidade|25</v>
      </c>
    </row>
    <row r="174" customFormat="false" ht="15" hidden="false" customHeight="true" outlineLevel="0" collapsed="false">
      <c r="A174" s="1" t="str">
        <f aca="false">IF(Catálogo!$C174="","",Catálogo!$C174&amp;"|"&amp;COUNTIF(Catálogo!$C$4:$C174,Catálogo!$C174))</f>
        <v>Família &amp; Parentalidade|26</v>
      </c>
    </row>
    <row r="175" customFormat="false" ht="15" hidden="false" customHeight="true" outlineLevel="0" collapsed="false">
      <c r="A175" s="1" t="str">
        <f aca="false">IF(Catálogo!$C175="","",Catálogo!$C175&amp;"|"&amp;COUNTIF(Catálogo!$C$4:$C175,Catálogo!$C175))</f>
        <v>Personalidade &amp; Esquemas|8</v>
      </c>
    </row>
    <row r="176" customFormat="false" ht="15" hidden="false" customHeight="true" outlineLevel="0" collapsed="false">
      <c r="A176" s="1" t="str">
        <f aca="false">IF(Catálogo!$C176="","",Catálogo!$C176&amp;"|"&amp;COUNTIF(Catálogo!$C$4:$C176,Catálogo!$C176))</f>
        <v>Personalidade &amp; Esquemas|9</v>
      </c>
    </row>
    <row r="177" customFormat="false" ht="15" hidden="false" customHeight="true" outlineLevel="0" collapsed="false">
      <c r="A177" s="1" t="str">
        <f aca="false">IF(Catálogo!$C177="","",Catálogo!$C177&amp;"|"&amp;COUNTIF(Catálogo!$C$4:$C177,Catálogo!$C177))</f>
        <v>Alimentação &amp; Imagem Corporal|7</v>
      </c>
    </row>
    <row r="178" customFormat="false" ht="15" hidden="false" customHeight="true" outlineLevel="0" collapsed="false">
      <c r="A178" s="1" t="str">
        <f aca="false">IF(Catálogo!$C178="","",Catálogo!$C178&amp;"|"&amp;COUNTIF(Catálogo!$C$4:$C178,Catálogo!$C178))</f>
        <v>Alimentação &amp; Imagem Corporal|8</v>
      </c>
    </row>
    <row r="179" customFormat="false" ht="15" hidden="false" customHeight="true" outlineLevel="0" collapsed="false">
      <c r="A179" s="1" t="str">
        <f aca="false">IF(Catálogo!$C179="","",Catálogo!$C179&amp;"|"&amp;COUNTIF(Catálogo!$C$4:$C179,Catálogo!$C179))</f>
        <v>Alimentação &amp; Imagem Corporal|9</v>
      </c>
    </row>
    <row r="180" customFormat="false" ht="15" hidden="false" customHeight="true" outlineLevel="0" collapsed="false">
      <c r="A180" s="1" t="str">
        <f aca="false">IF(Catálogo!$C180="","",Catálogo!$C180&amp;"|"&amp;COUNTIF(Catálogo!$C$4:$C180,Catálogo!$C180))</f>
        <v>Alimentação &amp; Imagem Corporal|10</v>
      </c>
    </row>
    <row r="181" customFormat="false" ht="15" hidden="false" customHeight="true" outlineLevel="0" collapsed="false">
      <c r="A181" s="1" t="str">
        <f aca="false">IF(Catálogo!$C181="","",Catálogo!$C181&amp;"|"&amp;COUNTIF(Catálogo!$C$4:$C181,Catálogo!$C181))</f>
        <v>Ansiedade, Depressão &amp; Internalização|24</v>
      </c>
    </row>
    <row r="182" customFormat="false" ht="15" hidden="false" customHeight="true" outlineLevel="0" collapsed="false">
      <c r="A182" s="1" t="str">
        <f aca="false">IF(Catálogo!$C182="","",Catálogo!$C182&amp;"|"&amp;COUNTIF(Catálogo!$C$4:$C182,Catálogo!$C182))</f>
        <v>Ansiedade, Depressão &amp; Internalização|25</v>
      </c>
    </row>
    <row r="183" customFormat="false" ht="15" hidden="false" customHeight="true" outlineLevel="0" collapsed="false">
      <c r="A183" s="1" t="str">
        <f aca="false">IF(Catálogo!$C183="","",Catálogo!$C183&amp;"|"&amp;COUNTIF(Catálogo!$C$4:$C183,Catálogo!$C183))</f>
        <v>Ansiedade, Depressão &amp; Internalização|26</v>
      </c>
    </row>
    <row r="184" customFormat="false" ht="15" hidden="false" customHeight="true" outlineLevel="0" collapsed="false">
      <c r="A184" s="1" t="str">
        <f aca="false">IF(Catálogo!$C184="","",Catálogo!$C184&amp;"|"&amp;COUNTIF(Catálogo!$C$4:$C184,Catálogo!$C184))</f>
        <v>Ansiedade, Depressão &amp; Internalização|27</v>
      </c>
    </row>
    <row r="185" customFormat="false" ht="15" hidden="false" customHeight="true" outlineLevel="0" collapsed="false">
      <c r="A185" s="1" t="str">
        <f aca="false">IF(Catálogo!$C185="","",Catálogo!$C185&amp;"|"&amp;COUNTIF(Catálogo!$C$4:$C185,Catálogo!$C185))</f>
        <v>Atenção, PHDA &amp; Funções Executivas|15</v>
      </c>
    </row>
    <row r="186" customFormat="false" ht="15" hidden="false" customHeight="true" outlineLevel="0" collapsed="false">
      <c r="A186" s="1" t="str">
        <f aca="false">IF(Catálogo!$C186="","",Catálogo!$C186&amp;"|"&amp;COUNTIF(Catálogo!$C$4:$C186,Catálogo!$C186))</f>
        <v>Atenção, PHDA &amp; Funções Executivas|16</v>
      </c>
    </row>
    <row r="187" customFormat="false" ht="15" hidden="false" customHeight="true" outlineLevel="0" collapsed="false">
      <c r="A187" s="1" t="str">
        <f aca="false">IF(Catálogo!$C187="","",Catálogo!$C187&amp;"|"&amp;COUNTIF(Catálogo!$C$4:$C187,Catálogo!$C187))</f>
        <v>Sono|4</v>
      </c>
    </row>
    <row r="188" customFormat="false" ht="15" hidden="false" customHeight="true" outlineLevel="0" collapsed="false">
      <c r="A188" s="1" t="str">
        <f aca="false">IF(Catálogo!$C188="","",Catálogo!$C188&amp;"|"&amp;COUNTIF(Catálogo!$C$4:$C188,Catálogo!$C188))</f>
        <v>Sono|5</v>
      </c>
    </row>
    <row r="189" customFormat="false" ht="15" hidden="false" customHeight="true" outlineLevel="0" collapsed="false">
      <c r="A189" s="1" t="str">
        <f aca="false">IF(Catálogo!$C189="","",Catálogo!$C189&amp;"|"&amp;COUNTIF(Catálogo!$C$4:$C189,Catálogo!$C189))</f>
        <v>Ansiedade, Depressão &amp; Internalização|28</v>
      </c>
    </row>
    <row r="190" customFormat="false" ht="15" hidden="false" customHeight="true" outlineLevel="0" collapsed="false">
      <c r="A190" s="1" t="str">
        <f aca="false">IF(Catálogo!$C190="","",Catálogo!$C190&amp;"|"&amp;COUNTIF(Catálogo!$C$4:$C190,Catálogo!$C190))</f>
        <v>Ansiedade, Depressão &amp; Internalização|29</v>
      </c>
    </row>
    <row r="191" customFormat="false" ht="15" hidden="false" customHeight="true" outlineLevel="0" collapsed="false">
      <c r="A191" s="1" t="str">
        <f aca="false">IF(Catálogo!$C191="","",Catálogo!$C191&amp;"|"&amp;COUNTIF(Catálogo!$C$4:$C191,Catálogo!$C191))</f>
        <v>Ansiedade, Depressão &amp; Internalização|30</v>
      </c>
    </row>
    <row r="192" customFormat="false" ht="15" hidden="false" customHeight="true" outlineLevel="0" collapsed="false">
      <c r="A192" s="1" t="str">
        <f aca="false">IF(Catálogo!$C192="","",Catálogo!$C192&amp;"|"&amp;COUNTIF(Catálogo!$C$4:$C192,Catálogo!$C192))</f>
        <v>Ansiedade, Depressão &amp; Internalização|31</v>
      </c>
    </row>
    <row r="193" customFormat="false" ht="15" hidden="false" customHeight="true" outlineLevel="0" collapsed="false">
      <c r="A193" s="1" t="str">
        <f aca="false">IF(Catálogo!$C193="","",Catálogo!$C193&amp;"|"&amp;COUNTIF(Catálogo!$C$4:$C193,Catálogo!$C193))</f>
        <v>Atenção, PHDA &amp; Funções Executivas|17</v>
      </c>
    </row>
    <row r="194" customFormat="false" ht="15" hidden="false" customHeight="true" outlineLevel="0" collapsed="false">
      <c r="A194" s="1" t="str">
        <f aca="false">IF(Catálogo!$C194="","",Catálogo!$C194&amp;"|"&amp;COUNTIF(Catálogo!$C$4:$C194,Catálogo!$C194))</f>
        <v>Atenção, PHDA &amp; Funções Executivas|18</v>
      </c>
    </row>
    <row r="195" customFormat="false" ht="15" hidden="false" customHeight="true" outlineLevel="0" collapsed="false">
      <c r="A195" s="1" t="str">
        <f aca="false">IF(Catálogo!$C195="","",Catálogo!$C195&amp;"|"&amp;COUNTIF(Catálogo!$C$4:$C195,Catálogo!$C195))</f>
        <v>Funcionamento &amp; Interferência Funcional|1</v>
      </c>
    </row>
    <row r="196" customFormat="false" ht="15" hidden="false" customHeight="true" outlineLevel="0" collapsed="false">
      <c r="A196" s="1" t="str">
        <f aca="false">IF(Catálogo!$C196="","",Catálogo!$C196&amp;"|"&amp;COUNTIF(Catálogo!$C$4:$C196,Catálogo!$C196))</f>
        <v>Funcionamento &amp; Interferência Funcional|2</v>
      </c>
    </row>
    <row r="197" customFormat="false" ht="15" hidden="false" customHeight="true" outlineLevel="0" collapsed="false">
      <c r="A197" s="1" t="str">
        <f aca="false">IF(Catálogo!$C197="","",Catálogo!$C197&amp;"|"&amp;COUNTIF(Catálogo!$C$4:$C197,Catálogo!$C197))</f>
        <v>Comportamentos Aditivos|1</v>
      </c>
    </row>
    <row r="198" customFormat="false" ht="15" hidden="false" customHeight="true" outlineLevel="0" collapsed="false">
      <c r="A198" s="1" t="str">
        <f aca="false">IF(Catálogo!$C198="","",Catálogo!$C198&amp;"|"&amp;COUNTIF(Catálogo!$C$4:$C198,Catálogo!$C198))</f>
        <v>Personalidade &amp; Esquemas|10</v>
      </c>
    </row>
    <row r="199" customFormat="false" ht="15" hidden="false" customHeight="true" outlineLevel="0" collapsed="false">
      <c r="A199" s="1" t="str">
        <f aca="false">IF(Catálogo!$C199="","",Catálogo!$C199&amp;"|"&amp;COUNTIF(Catálogo!$C$4:$C199,Catálogo!$C199))</f>
        <v>Neurodesenvolvimento|21</v>
      </c>
    </row>
    <row r="200" customFormat="false" ht="15" hidden="false" customHeight="true" outlineLevel="0" collapsed="false">
      <c r="A200" s="1" t="str">
        <f aca="false">IF(Catálogo!$C200="","",Catálogo!$C200&amp;"|"&amp;COUNTIF(Catálogo!$C$4:$C200,Catálogo!$C200))</f>
        <v>Regulação Emocional &amp; Coping|15</v>
      </c>
    </row>
    <row r="201" customFormat="false" ht="15" hidden="false" customHeight="true" outlineLevel="0" collapsed="false">
      <c r="A201" s="1" t="str">
        <f aca="false">IF(Catálogo!$C201="","",Catálogo!$C201&amp;"|"&amp;COUNTIF(Catálogo!$C$4:$C201,Catálogo!$C201))</f>
        <v>Ansiedade, Depressão &amp; Internalização|32</v>
      </c>
    </row>
    <row r="202" customFormat="false" ht="15" hidden="false" customHeight="true" outlineLevel="0" collapsed="false">
      <c r="A202" s="1" t="str">
        <f aca="false">IF(Catálogo!$C202="","",Catálogo!$C202&amp;"|"&amp;COUNTIF(Catálogo!$C$4:$C202,Catálogo!$C202))</f>
        <v>Neurodesenvolvimento|22</v>
      </c>
    </row>
    <row r="203" customFormat="false" ht="15" hidden="false" customHeight="true" outlineLevel="0" collapsed="false">
      <c r="A203" s="1" t="str">
        <f aca="false">IF(Catálogo!$C203="","",Catálogo!$C203&amp;"|"&amp;COUNTIF(Catálogo!$C$4:$C203,Catálogo!$C203))</f>
        <v>Neurodesenvolvimento|23</v>
      </c>
    </row>
    <row r="204" customFormat="false" ht="15" hidden="false" customHeight="true" outlineLevel="0" collapsed="false">
      <c r="A204" s="1" t="str">
        <f aca="false">IF(Catálogo!$C204="","",Catálogo!$C204&amp;"|"&amp;COUNTIF(Catálogo!$C$4:$C204,Catálogo!$C204))</f>
        <v>Neurodesenvolvimento|24</v>
      </c>
    </row>
    <row r="205" customFormat="false" ht="15" hidden="false" customHeight="true" outlineLevel="0" collapsed="false">
      <c r="A205" s="1" t="str">
        <f aca="false">IF(Catálogo!$C205="","",Catálogo!$C205&amp;"|"&amp;COUNTIF(Catálogo!$C$4:$C205,Catálogo!$C205))</f>
        <v>Funcionamento &amp; Interferência Funcional|3</v>
      </c>
    </row>
    <row r="206" customFormat="false" ht="15" hidden="false" customHeight="true" outlineLevel="0" collapsed="false">
      <c r="A206" s="1" t="str">
        <f aca="false">IF(Catálogo!$C206="","",Catálogo!$C206&amp;"|"&amp;COUNTIF(Catálogo!$C$4:$C206,Catálogo!$C206))</f>
        <v>Neurodesenvolvimento|25</v>
      </c>
    </row>
    <row r="207" customFormat="false" ht="15" hidden="false" customHeight="true" outlineLevel="0" collapsed="false">
      <c r="A207" s="1" t="str">
        <f aca="false">IF(Catálogo!$C207="","",Catálogo!$C207&amp;"|"&amp;COUNTIF(Catálogo!$C$4:$C207,Catálogo!$C207))</f>
        <v>Ansiedade, Depressão &amp; Internalização|33</v>
      </c>
    </row>
    <row r="208" customFormat="false" ht="15" hidden="false" customHeight="true" outlineLevel="0" collapsed="false">
      <c r="A208" s="1" t="str">
        <f aca="false">IF(Catálogo!$C208="","",Catálogo!$C208&amp;"|"&amp;COUNTIF(Catálogo!$C$4:$C208,Catálogo!$C208))</f>
        <v>Neurodesenvolvimento|26</v>
      </c>
    </row>
    <row r="209" customFormat="false" ht="15" hidden="false" customHeight="true" outlineLevel="0" collapsed="false">
      <c r="A209" s="1" t="str">
        <f aca="false">IF(Catálogo!$C209="","",Catálogo!$C209&amp;"|"&amp;COUNTIF(Catálogo!$C$4:$C209,Catálogo!$C209))</f>
        <v>Neurodesenvolvimento|27</v>
      </c>
    </row>
    <row r="210" customFormat="false" ht="15" hidden="false" customHeight="true" outlineLevel="0" collapsed="false">
      <c r="A210" s="1" t="str">
        <f aca="false">IF(Catálogo!$C210="","",Catálogo!$C210&amp;"|"&amp;COUNTIF(Catálogo!$C$4:$C210,Catálogo!$C210))</f>
        <v>Anamnese, História &amp; Monitorização|5</v>
      </c>
    </row>
    <row r="211" customFormat="false" ht="15" hidden="false" customHeight="true" outlineLevel="0" collapsed="false">
      <c r="A211" s="1" t="str">
        <f aca="false">IF(Catálogo!$C211="","",Catálogo!$C211&amp;"|"&amp;COUNTIF(Catálogo!$C$4:$C211,Catálogo!$C211))</f>
        <v>Ansiedade, Depressão &amp; Internalização|34</v>
      </c>
    </row>
    <row r="212" customFormat="false" ht="15" hidden="false" customHeight="true" outlineLevel="0" collapsed="false">
      <c r="A212" s="1" t="str">
        <f aca="false">IF(Catálogo!$C212="","",Catálogo!$C212&amp;"|"&amp;COUNTIF(Catálogo!$C$4:$C212,Catálogo!$C212))</f>
        <v>Ansiedade, Depressão &amp; Internalização|35</v>
      </c>
    </row>
    <row r="213" customFormat="false" ht="15" hidden="false" customHeight="true" outlineLevel="0" collapsed="false">
      <c r="A213" s="1" t="str">
        <f aca="false">IF(Catálogo!$C213="","",Catálogo!$C213&amp;"|"&amp;COUNTIF(Catálogo!$C$4:$C213,Catálogo!$C213))</f>
        <v>Ansiedade, Depressão &amp; Internalização|36</v>
      </c>
    </row>
    <row r="214" customFormat="false" ht="15" hidden="false" customHeight="true" outlineLevel="0" collapsed="false">
      <c r="A214" s="1" t="str">
        <f aca="false">IF(Catálogo!$C214="","",Catálogo!$C214&amp;"|"&amp;COUNTIF(Catálogo!$C$4:$C214,Catálogo!$C214))</f>
        <v>Regulação Emocional &amp; Coping|16</v>
      </c>
    </row>
    <row r="215" customFormat="false" ht="15" hidden="false" customHeight="true" outlineLevel="0" collapsed="false">
      <c r="A215" s="1" t="str">
        <f aca="false">IF(Catálogo!$C215="","",Catálogo!$C215&amp;"|"&amp;COUNTIF(Catálogo!$C$4:$C215,Catálogo!$C215))</f>
        <v>Regulação Emocional &amp; Coping|17</v>
      </c>
    </row>
    <row r="216" customFormat="false" ht="15" hidden="false" customHeight="true" outlineLevel="0" collapsed="false">
      <c r="A216" s="1" t="str">
        <f aca="false">IF(Catálogo!$C216="","",Catálogo!$C216&amp;"|"&amp;COUNTIF(Catálogo!$C$4:$C216,Catálogo!$C216))</f>
        <v>Regulação Emocional &amp; Coping|18</v>
      </c>
    </row>
    <row r="217" customFormat="false" ht="15" hidden="false" customHeight="true" outlineLevel="0" collapsed="false">
      <c r="A217" s="1" t="str">
        <f aca="false">IF(Catálogo!$C217="","",Catálogo!$C217&amp;"|"&amp;COUNTIF(Catálogo!$C$4:$C217,Catálogo!$C217))</f>
        <v>Externalização &amp; Comportamento|10</v>
      </c>
    </row>
    <row r="218" customFormat="false" ht="15" hidden="false" customHeight="true" outlineLevel="0" collapsed="false">
      <c r="A218" s="1" t="str">
        <f aca="false">IF(Catálogo!$C218="","",Catálogo!$C218&amp;"|"&amp;COUNTIF(Catálogo!$C$4:$C218,Catálogo!$C218))</f>
        <v>Regulação Emocional &amp; Coping|19</v>
      </c>
    </row>
    <row r="219" customFormat="false" ht="15" hidden="false" customHeight="true" outlineLevel="0" collapsed="false">
      <c r="A219" s="1" t="str">
        <f aca="false">IF(Catálogo!$C219="","",Catálogo!$C219&amp;"|"&amp;COUNTIF(Catálogo!$C$4:$C219,Catálogo!$C219))</f>
        <v>Regulação Emocional &amp; Coping|20</v>
      </c>
    </row>
    <row r="220" customFormat="false" ht="15" hidden="false" customHeight="true" outlineLevel="0" collapsed="false">
      <c r="A220" s="1" t="str">
        <f aca="false">IF(Catálogo!$C220="","",Catálogo!$C220&amp;"|"&amp;COUNTIF(Catálogo!$C$4:$C220,Catálogo!$C220))</f>
        <v>Regulação Emocional &amp; Coping|21</v>
      </c>
    </row>
    <row r="221" customFormat="false" ht="15" hidden="false" customHeight="true" outlineLevel="0" collapsed="false">
      <c r="A221" s="1" t="str">
        <f aca="false">IF(Catálogo!$C221="","",Catálogo!$C221&amp;"|"&amp;COUNTIF(Catálogo!$C$4:$C221,Catálogo!$C221))</f>
        <v>Regulação Emocional &amp; Coping|22</v>
      </c>
    </row>
    <row r="222" customFormat="false" ht="15" hidden="false" customHeight="true" outlineLevel="0" collapsed="false">
      <c r="A222" s="1" t="str">
        <f aca="false">IF(Catálogo!$C222="","",Catálogo!$C222&amp;"|"&amp;COUNTIF(Catálogo!$C$4:$C222,Catálogo!$C222))</f>
        <v>Atenção, PHDA &amp; Funções Executivas|19</v>
      </c>
    </row>
    <row r="223" customFormat="false" ht="15" hidden="false" customHeight="true" outlineLevel="0" collapsed="false">
      <c r="A223" s="1" t="str">
        <f aca="false">IF(Catálogo!$C223="","",Catálogo!$C223&amp;"|"&amp;COUNTIF(Catálogo!$C$4:$C223,Catálogo!$C223))</f>
        <v>Atenção, PHDA &amp; Funções Executivas|20</v>
      </c>
    </row>
    <row r="224" customFormat="false" ht="15" hidden="false" customHeight="true" outlineLevel="0" collapsed="false">
      <c r="A224" s="1" t="str">
        <f aca="false">IF(Catálogo!$C224="","",Catálogo!$C224&amp;"|"&amp;COUNTIF(Catálogo!$C$4:$C224,Catálogo!$C224))</f>
        <v>Atenção, PHDA &amp; Funções Executivas|21</v>
      </c>
    </row>
    <row r="225" customFormat="false" ht="15" hidden="false" customHeight="true" outlineLevel="0" collapsed="false">
      <c r="A225" s="1" t="str">
        <f aca="false">IF(Catálogo!$C225="","",Catálogo!$C225&amp;"|"&amp;COUNTIF(Catálogo!$C$4:$C225,Catálogo!$C225))</f>
        <v/>
      </c>
    </row>
    <row r="226" customFormat="false" ht="15" hidden="false" customHeight="true" outlineLevel="0" collapsed="false">
      <c r="A226" s="1" t="str">
        <f aca="false">IF(Catálogo!$C226="","",Catálogo!$C226&amp;"|"&amp;COUNTIF(Catálogo!$C$4:$C226,Catálogo!$C226))</f>
        <v/>
      </c>
    </row>
    <row r="227" customFormat="false" ht="15" hidden="false" customHeight="true" outlineLevel="0" collapsed="false">
      <c r="A227" s="1" t="str">
        <f aca="false">IF(Catálogo!$C227="","",Catálogo!$C227&amp;"|"&amp;COUNTIF(Catálogo!$C$4:$C227,Catálogo!$C227))</f>
        <v/>
      </c>
    </row>
    <row r="228" customFormat="false" ht="15" hidden="false" customHeight="true" outlineLevel="0" collapsed="false">
      <c r="A228" s="1" t="str">
        <f aca="false">IF(Catálogo!$C228="","",Catálogo!$C228&amp;"|"&amp;COUNTIF(Catálogo!$C$4:$C228,Catálogo!$C228))</f>
        <v/>
      </c>
    </row>
    <row r="229" customFormat="false" ht="15" hidden="false" customHeight="true" outlineLevel="0" collapsed="false">
      <c r="A229" s="1" t="str">
        <f aca="false">IF(Catálogo!$C229="","",Catálogo!$C229&amp;"|"&amp;COUNTIF(Catálogo!$C$4:$C229,Catálogo!$C229))</f>
        <v/>
      </c>
    </row>
    <row r="230" customFormat="false" ht="15" hidden="false" customHeight="true" outlineLevel="0" collapsed="false">
      <c r="A230" s="1" t="str">
        <f aca="false">IF(Catálogo!$C230="","",Catálogo!$C230&amp;"|"&amp;COUNTIF(Catálogo!$C$4:$C230,Catálogo!$C230))</f>
        <v/>
      </c>
    </row>
    <row r="231" customFormat="false" ht="15" hidden="false" customHeight="true" outlineLevel="0" collapsed="false">
      <c r="A231" s="1" t="str">
        <f aca="false">IF(Catálogo!$C231="","",Catálogo!$C231&amp;"|"&amp;COUNTIF(Catálogo!$C$4:$C231,Catálogo!$C231))</f>
        <v/>
      </c>
    </row>
    <row r="232" customFormat="false" ht="15" hidden="false" customHeight="true" outlineLevel="0" collapsed="false">
      <c r="A232" s="1" t="str">
        <f aca="false">IF(Catálogo!$C232="","",Catálogo!$C232&amp;"|"&amp;COUNTIF(Catálogo!$C$4:$C232,Catálogo!$C232))</f>
        <v/>
      </c>
    </row>
    <row r="233" customFormat="false" ht="15" hidden="false" customHeight="true" outlineLevel="0" collapsed="false">
      <c r="A233" s="1" t="str">
        <f aca="false">IF(Catálogo!$C233="","",Catálogo!$C233&amp;"|"&amp;COUNTIF(Catálogo!$C$4:$C233,Catálogo!$C233))</f>
        <v/>
      </c>
    </row>
    <row r="234" customFormat="false" ht="15" hidden="false" customHeight="true" outlineLevel="0" collapsed="false">
      <c r="A234" s="1" t="str">
        <f aca="false">IF(Catálogo!$C234="","",Catálogo!$C234&amp;"|"&amp;COUNTIF(Catálogo!$C$4:$C234,Catálogo!$C234))</f>
        <v/>
      </c>
    </row>
    <row r="235" customFormat="false" ht="15" hidden="false" customHeight="true" outlineLevel="0" collapsed="false">
      <c r="A235" s="1" t="str">
        <f aca="false">IF(Catálogo!$C235="","",Catálogo!$C235&amp;"|"&amp;COUNTIF(Catálogo!$C$4:$C235,Catálogo!$C235))</f>
        <v/>
      </c>
    </row>
    <row r="236" customFormat="false" ht="15" hidden="false" customHeight="true" outlineLevel="0" collapsed="false">
      <c r="A236" s="1" t="str">
        <f aca="false">IF(Catálogo!$C236="","",Catálogo!$C236&amp;"|"&amp;COUNTIF(Catálogo!$C$4:$C236,Catálogo!$C236))</f>
        <v/>
      </c>
    </row>
    <row r="237" customFormat="false" ht="15" hidden="false" customHeight="true" outlineLevel="0" collapsed="false">
      <c r="A237" s="1" t="str">
        <f aca="false">IF(Catálogo!$C237="","",Catálogo!$C237&amp;"|"&amp;COUNTIF(Catálogo!$C$4:$C237,Catálogo!$C237))</f>
        <v/>
      </c>
    </row>
    <row r="238" customFormat="false" ht="15" hidden="false" customHeight="true" outlineLevel="0" collapsed="false">
      <c r="A238" s="1" t="str">
        <f aca="false">IF(Catálogo!$C238="","",Catálogo!$C238&amp;"|"&amp;COUNTIF(Catálogo!$C$4:$C238,Catálogo!$C238))</f>
        <v/>
      </c>
    </row>
    <row r="239" customFormat="false" ht="15" hidden="false" customHeight="true" outlineLevel="0" collapsed="false">
      <c r="A239" s="1" t="str">
        <f aca="false">IF(Catálogo!$C239="","",Catálogo!$C239&amp;"|"&amp;COUNTIF(Catálogo!$C$4:$C239,Catálogo!$C239))</f>
        <v/>
      </c>
    </row>
    <row r="240" customFormat="false" ht="15" hidden="false" customHeight="true" outlineLevel="0" collapsed="false">
      <c r="A240" s="1" t="str">
        <f aca="false">IF(Catálogo!$C240="","",Catálogo!$C240&amp;"|"&amp;COUNTIF(Catálogo!$C$4:$C240,Catálogo!$C240))</f>
        <v/>
      </c>
    </row>
    <row r="241" customFormat="false" ht="15" hidden="false" customHeight="true" outlineLevel="0" collapsed="false">
      <c r="A241" s="1" t="str">
        <f aca="false">IF(Catálogo!$C241="","",Catálogo!$C241&amp;"|"&amp;COUNTIF(Catálogo!$C$4:$C241,Catálogo!$C241))</f>
        <v/>
      </c>
    </row>
    <row r="242" customFormat="false" ht="15" hidden="false" customHeight="true" outlineLevel="0" collapsed="false">
      <c r="A242" s="1" t="str">
        <f aca="false">IF(Catálogo!$C242="","",Catálogo!$C242&amp;"|"&amp;COUNTIF(Catálogo!$C$4:$C242,Catálogo!$C242))</f>
        <v/>
      </c>
    </row>
    <row r="243" customFormat="false" ht="15" hidden="false" customHeight="true" outlineLevel="0" collapsed="false">
      <c r="A243" s="1" t="str">
        <f aca="false">IF(Catálogo!$C243="","",Catálogo!$C243&amp;"|"&amp;COUNTIF(Catálogo!$C$4:$C243,Catálogo!$C243))</f>
        <v/>
      </c>
    </row>
    <row r="244" customFormat="false" ht="15" hidden="false" customHeight="true" outlineLevel="0" collapsed="false">
      <c r="A244" s="1" t="str">
        <f aca="false">IF(Catálogo!$C244="","",Catálogo!$C244&amp;"|"&amp;COUNTIF(Catálogo!$C$4:$C244,Catálogo!$C244))</f>
        <v/>
      </c>
    </row>
    <row r="245" customFormat="false" ht="15" hidden="false" customHeight="true" outlineLevel="0" collapsed="false">
      <c r="A245" s="1" t="str">
        <f aca="false">IF(Catálogo!$C245="","",Catálogo!$C245&amp;"|"&amp;COUNTIF(Catálogo!$C$4:$C245,Catálogo!$C245))</f>
        <v/>
      </c>
    </row>
    <row r="246" customFormat="false" ht="15" hidden="false" customHeight="true" outlineLevel="0" collapsed="false">
      <c r="A246" s="1" t="str">
        <f aca="false">IF(Catálogo!$C246="","",Catálogo!$C246&amp;"|"&amp;COUNTIF(Catálogo!$C$4:$C246,Catálogo!$C246))</f>
        <v/>
      </c>
    </row>
    <row r="247" customFormat="false" ht="15" hidden="false" customHeight="true" outlineLevel="0" collapsed="false">
      <c r="A247" s="1" t="str">
        <f aca="false">IF(Catálogo!$C247="","",Catálogo!$C247&amp;"|"&amp;COUNTIF(Catálogo!$C$4:$C247,Catálogo!$C247))</f>
        <v/>
      </c>
    </row>
    <row r="248" customFormat="false" ht="15" hidden="false" customHeight="true" outlineLevel="0" collapsed="false">
      <c r="A248" s="1" t="str">
        <f aca="false">IF(Catálogo!$C248="","",Catálogo!$C248&amp;"|"&amp;COUNTIF(Catálogo!$C$4:$C248,Catálogo!$C248))</f>
        <v/>
      </c>
    </row>
    <row r="249" customFormat="false" ht="15" hidden="false" customHeight="true" outlineLevel="0" collapsed="false">
      <c r="A249" s="1" t="str">
        <f aca="false">IF(Catálogo!$C249="","",Catálogo!$C249&amp;"|"&amp;COUNTIF(Catálogo!$C$4:$C249,Catálogo!$C249))</f>
        <v/>
      </c>
    </row>
    <row r="250" customFormat="false" ht="15" hidden="false" customHeight="true" outlineLevel="0" collapsed="false">
      <c r="A250" s="1" t="str">
        <f aca="false">IF(Catálogo!$C250="","",Catálogo!$C250&amp;"|"&amp;COUNTIF(Catálogo!$C$4:$C250,Catálogo!$C250))</f>
        <v/>
      </c>
    </row>
    <row r="251" customFormat="false" ht="15" hidden="false" customHeight="true" outlineLevel="0" collapsed="false">
      <c r="A251" s="1" t="str">
        <f aca="false">IF(Catálogo!$C251="","",Catálogo!$C251&amp;"|"&amp;COUNTIF(Catálogo!$C$4:$C251,Catálogo!$C251))</f>
        <v/>
      </c>
    </row>
    <row r="252" customFormat="false" ht="15" hidden="false" customHeight="true" outlineLevel="0" collapsed="false">
      <c r="A252" s="1" t="str">
        <f aca="false">IF(Catálogo!$C252="","",Catálogo!$C252&amp;"|"&amp;COUNTIF(Catálogo!$C$4:$C252,Catálogo!$C252))</f>
        <v/>
      </c>
    </row>
    <row r="253" customFormat="false" ht="15" hidden="false" customHeight="true" outlineLevel="0" collapsed="false">
      <c r="A253" s="1" t="str">
        <f aca="false">IF(Catálogo!$C253="","",Catálogo!$C253&amp;"|"&amp;COUNTIF(Catálogo!$C$4:$C253,Catálogo!$C253))</f>
        <v/>
      </c>
    </row>
    <row r="254" customFormat="false" ht="15" hidden="false" customHeight="true" outlineLevel="0" collapsed="false">
      <c r="A254" s="1" t="str">
        <f aca="false">IF(Catálogo!$C254="","",Catálogo!$C254&amp;"|"&amp;COUNTIF(Catálogo!$C$4:$C254,Catálogo!$C254))</f>
        <v/>
      </c>
    </row>
    <row r="255" customFormat="false" ht="15" hidden="false" customHeight="true" outlineLevel="0" collapsed="false">
      <c r="A255" s="1" t="str">
        <f aca="false">IF(Catálogo!$C255="","",Catálogo!$C255&amp;"|"&amp;COUNTIF(Catálogo!$C$4:$C255,Catálogo!$C255))</f>
        <v/>
      </c>
    </row>
    <row r="256" customFormat="false" ht="15" hidden="false" customHeight="true" outlineLevel="0" collapsed="false">
      <c r="A256" s="1" t="str">
        <f aca="false">IF(Catálogo!$C256="","",Catálogo!$C256&amp;"|"&amp;COUNTIF(Catálogo!$C$4:$C256,Catálogo!$C256))</f>
        <v/>
      </c>
    </row>
    <row r="257" customFormat="false" ht="15" hidden="false" customHeight="true" outlineLevel="0" collapsed="false">
      <c r="A257" s="1" t="str">
        <f aca="false">IF(Catálogo!$C257="","",Catálogo!$C257&amp;"|"&amp;COUNTIF(Catálogo!$C$4:$C257,Catálogo!$C257))</f>
        <v/>
      </c>
    </row>
    <row r="258" customFormat="false" ht="15" hidden="false" customHeight="true" outlineLevel="0" collapsed="false">
      <c r="A258" s="1" t="str">
        <f aca="false">IF(Catálogo!$C258="","",Catálogo!$C258&amp;"|"&amp;COUNTIF(Catálogo!$C$4:$C258,Catálogo!$C258))</f>
        <v/>
      </c>
    </row>
    <row r="259" customFormat="false" ht="15" hidden="false" customHeight="true" outlineLevel="0" collapsed="false">
      <c r="A259" s="1" t="str">
        <f aca="false">IF(Catálogo!$C259="","",Catálogo!$C259&amp;"|"&amp;COUNTIF(Catálogo!$C$4:$C259,Catálogo!$C259))</f>
        <v/>
      </c>
    </row>
    <row r="260" customFormat="false" ht="15" hidden="false" customHeight="true" outlineLevel="0" collapsed="false">
      <c r="A260" s="1" t="str">
        <f aca="false">IF(Catálogo!$C260="","",Catálogo!$C260&amp;"|"&amp;COUNTIF(Catálogo!$C$4:$C260,Catálogo!$C260))</f>
        <v/>
      </c>
    </row>
    <row r="261" customFormat="false" ht="15" hidden="false" customHeight="true" outlineLevel="0" collapsed="false">
      <c r="A261" s="1" t="str">
        <f aca="false">IF(Catálogo!$C261="","",Catálogo!$C261&amp;"|"&amp;COUNTIF(Catálogo!$C$4:$C261,Catálogo!$C261))</f>
        <v/>
      </c>
    </row>
    <row r="262" customFormat="false" ht="15" hidden="false" customHeight="true" outlineLevel="0" collapsed="false">
      <c r="A262" s="1" t="str">
        <f aca="false">IF(Catálogo!$C262="","",Catálogo!$C262&amp;"|"&amp;COUNTIF(Catálogo!$C$4:$C262,Catálogo!$C262))</f>
        <v/>
      </c>
    </row>
    <row r="263" customFormat="false" ht="15" hidden="false" customHeight="true" outlineLevel="0" collapsed="false">
      <c r="A263" s="1" t="str">
        <f aca="false">IF(Catálogo!$C263="","",Catálogo!$C263&amp;"|"&amp;COUNTIF(Catálogo!$C$4:$C263,Catálogo!$C263))</f>
        <v/>
      </c>
    </row>
    <row r="264" customFormat="false" ht="15" hidden="false" customHeight="true" outlineLevel="0" collapsed="false">
      <c r="A264" s="1" t="str">
        <f aca="false">IF(Catálogo!$C264="","",Catálogo!$C264&amp;"|"&amp;COUNTIF(Catálogo!$C$4:$C264,Catálogo!$C264))</f>
        <v/>
      </c>
    </row>
    <row r="265" customFormat="false" ht="15" hidden="false" customHeight="true" outlineLevel="0" collapsed="false">
      <c r="A265" s="1" t="str">
        <f aca="false">IF(Catálogo!$C265="","",Catálogo!$C265&amp;"|"&amp;COUNTIF(Catálogo!$C$4:$C265,Catálogo!$C265))</f>
        <v/>
      </c>
    </row>
    <row r="266" customFormat="false" ht="15" hidden="false" customHeight="true" outlineLevel="0" collapsed="false">
      <c r="A266" s="1" t="str">
        <f aca="false">IF(Catálogo!$C266="","",Catálogo!$C266&amp;"|"&amp;COUNTIF(Catálogo!$C$4:$C266,Catálogo!$C266))</f>
        <v/>
      </c>
    </row>
    <row r="267" customFormat="false" ht="15" hidden="false" customHeight="true" outlineLevel="0" collapsed="false">
      <c r="A267" s="1" t="str">
        <f aca="false">IF(Catálogo!$C267="","",Catálogo!$C267&amp;"|"&amp;COUNTIF(Catálogo!$C$4:$C267,Catálogo!$C267))</f>
        <v/>
      </c>
    </row>
    <row r="268" customFormat="false" ht="15" hidden="false" customHeight="true" outlineLevel="0" collapsed="false">
      <c r="A268" s="1" t="str">
        <f aca="false">IF(Catálogo!$C268="","",Catálogo!$C268&amp;"|"&amp;COUNTIF(Catálogo!$C$4:$C268,Catálogo!$C268))</f>
        <v/>
      </c>
    </row>
    <row r="269" customFormat="false" ht="15" hidden="false" customHeight="true" outlineLevel="0" collapsed="false">
      <c r="A269" s="1" t="str">
        <f aca="false">IF(Catálogo!$C269="","",Catálogo!$C269&amp;"|"&amp;COUNTIF(Catálogo!$C$4:$C269,Catálogo!$C269))</f>
        <v/>
      </c>
    </row>
    <row r="270" customFormat="false" ht="15" hidden="false" customHeight="true" outlineLevel="0" collapsed="false">
      <c r="A270" s="1" t="str">
        <f aca="false">IF(Catálogo!$C270="","",Catálogo!$C270&amp;"|"&amp;COUNTIF(Catálogo!$C$4:$C270,Catálogo!$C270))</f>
        <v/>
      </c>
    </row>
    <row r="271" customFormat="false" ht="15" hidden="false" customHeight="true" outlineLevel="0" collapsed="false">
      <c r="A271" s="1" t="str">
        <f aca="false">IF(Catálogo!$C271="","",Catálogo!$C271&amp;"|"&amp;COUNTIF(Catálogo!$C$4:$C271,Catálogo!$C271))</f>
        <v/>
      </c>
    </row>
    <row r="272" customFormat="false" ht="15" hidden="false" customHeight="true" outlineLevel="0" collapsed="false">
      <c r="A272" s="1" t="str">
        <f aca="false">IF(Catálogo!$C272="","",Catálogo!$C272&amp;"|"&amp;COUNTIF(Catálogo!$C$4:$C272,Catálogo!$C272))</f>
        <v/>
      </c>
    </row>
    <row r="273" customFormat="false" ht="15" hidden="false" customHeight="true" outlineLevel="0" collapsed="false">
      <c r="A273" s="1" t="str">
        <f aca="false">IF(Catálogo!$C273="","",Catálogo!$C273&amp;"|"&amp;COUNTIF(Catálogo!$C$4:$C273,Catálogo!$C273))</f>
        <v/>
      </c>
    </row>
    <row r="274" customFormat="false" ht="15" hidden="false" customHeight="true" outlineLevel="0" collapsed="false">
      <c r="A274" s="1" t="str">
        <f aca="false">IF(Catálogo!$C274="","",Catálogo!$C274&amp;"|"&amp;COUNTIF(Catálogo!$C$4:$C274,Catálogo!$C274))</f>
        <v/>
      </c>
    </row>
    <row r="275" customFormat="false" ht="15" hidden="false" customHeight="true" outlineLevel="0" collapsed="false">
      <c r="A275" s="1" t="str">
        <f aca="false">IF(Catálogo!$C275="","",Catálogo!$C275&amp;"|"&amp;COUNTIF(Catálogo!$C$4:$C275,Catálogo!$C275))</f>
        <v/>
      </c>
    </row>
    <row r="276" customFormat="false" ht="15" hidden="false" customHeight="true" outlineLevel="0" collapsed="false">
      <c r="A276" s="1" t="str">
        <f aca="false">IF(Catálogo!$C276="","",Catálogo!$C276&amp;"|"&amp;COUNTIF(Catálogo!$C$4:$C276,Catálogo!$C276))</f>
        <v/>
      </c>
    </row>
    <row r="277" customFormat="false" ht="15" hidden="false" customHeight="true" outlineLevel="0" collapsed="false">
      <c r="A277" s="1" t="str">
        <f aca="false">IF(Catálogo!$C277="","",Catálogo!$C277&amp;"|"&amp;COUNTIF(Catálogo!$C$4:$C277,Catálogo!$C277))</f>
        <v/>
      </c>
    </row>
    <row r="278" customFormat="false" ht="15" hidden="false" customHeight="true" outlineLevel="0" collapsed="false">
      <c r="A278" s="1" t="str">
        <f aca="false">IF(Catálogo!$C278="","",Catálogo!$C278&amp;"|"&amp;COUNTIF(Catálogo!$C$4:$C278,Catálogo!$C278))</f>
        <v/>
      </c>
    </row>
    <row r="279" customFormat="false" ht="15" hidden="false" customHeight="true" outlineLevel="0" collapsed="false">
      <c r="A279" s="1" t="str">
        <f aca="false">IF(Catálogo!$C279="","",Catálogo!$C279&amp;"|"&amp;COUNTIF(Catálogo!$C$4:$C279,Catálogo!$C279))</f>
        <v/>
      </c>
    </row>
    <row r="280" customFormat="false" ht="15" hidden="false" customHeight="true" outlineLevel="0" collapsed="false">
      <c r="A280" s="1" t="str">
        <f aca="false">IF(Catálogo!$C280="","",Catálogo!$C280&amp;"|"&amp;COUNTIF(Catálogo!$C$4:$C280,Catálogo!$C280))</f>
        <v/>
      </c>
    </row>
    <row r="281" customFormat="false" ht="15" hidden="false" customHeight="true" outlineLevel="0" collapsed="false">
      <c r="A281" s="1" t="str">
        <f aca="false">IF(Catálogo!$C281="","",Catálogo!$C281&amp;"|"&amp;COUNTIF(Catálogo!$C$4:$C281,Catálogo!$C281))</f>
        <v/>
      </c>
    </row>
    <row r="282" customFormat="false" ht="15" hidden="false" customHeight="true" outlineLevel="0" collapsed="false">
      <c r="A282" s="1" t="str">
        <f aca="false">IF(Catálogo!$C282="","",Catálogo!$C282&amp;"|"&amp;COUNTIF(Catálogo!$C$4:$C282,Catálogo!$C282))</f>
        <v/>
      </c>
    </row>
    <row r="283" customFormat="false" ht="15" hidden="false" customHeight="true" outlineLevel="0" collapsed="false">
      <c r="A283" s="1" t="str">
        <f aca="false">IF(Catálogo!$C283="","",Catálogo!$C283&amp;"|"&amp;COUNTIF(Catálogo!$C$4:$C283,Catálogo!$C283))</f>
        <v/>
      </c>
    </row>
    <row r="284" customFormat="false" ht="15" hidden="false" customHeight="true" outlineLevel="0" collapsed="false">
      <c r="A284" s="1" t="str">
        <f aca="false">IF(Catálogo!$C284="","",Catálogo!$C284&amp;"|"&amp;COUNTIF(Catálogo!$C$4:$C284,Catálogo!$C284))</f>
        <v/>
      </c>
    </row>
    <row r="285" customFormat="false" ht="15" hidden="false" customHeight="true" outlineLevel="0" collapsed="false">
      <c r="A285" s="1" t="str">
        <f aca="false">IF(Catálogo!$C285="","",Catálogo!$C285&amp;"|"&amp;COUNTIF(Catálogo!$C$4:$C285,Catálogo!$C285))</f>
        <v/>
      </c>
    </row>
    <row r="286" customFormat="false" ht="15" hidden="false" customHeight="true" outlineLevel="0" collapsed="false">
      <c r="A286" s="1" t="str">
        <f aca="false">IF(Catálogo!$C286="","",Catálogo!$C286&amp;"|"&amp;COUNTIF(Catálogo!$C$4:$C286,Catálogo!$C286))</f>
        <v/>
      </c>
    </row>
    <row r="287" customFormat="false" ht="15" hidden="false" customHeight="true" outlineLevel="0" collapsed="false">
      <c r="A287" s="1" t="str">
        <f aca="false">IF(Catálogo!$C287="","",Catálogo!$C287&amp;"|"&amp;COUNTIF(Catálogo!$C$4:$C287,Catálogo!$C287))</f>
        <v/>
      </c>
    </row>
    <row r="288" customFormat="false" ht="15" hidden="false" customHeight="true" outlineLevel="0" collapsed="false">
      <c r="A288" s="1" t="str">
        <f aca="false">IF(Catálogo!$C288="","",Catálogo!$C288&amp;"|"&amp;COUNTIF(Catálogo!$C$4:$C288,Catálogo!$C288))</f>
        <v/>
      </c>
    </row>
    <row r="289" customFormat="false" ht="15" hidden="false" customHeight="true" outlineLevel="0" collapsed="false">
      <c r="A289" s="1" t="str">
        <f aca="false">IF(Catálogo!$C289="","",Catálogo!$C289&amp;"|"&amp;COUNTIF(Catálogo!$C$4:$C289,Catálogo!$C289))</f>
        <v/>
      </c>
    </row>
    <row r="290" customFormat="false" ht="15" hidden="false" customHeight="true" outlineLevel="0" collapsed="false">
      <c r="A290" s="1" t="str">
        <f aca="false">IF(Catálogo!$C290="","",Catálogo!$C290&amp;"|"&amp;COUNTIF(Catálogo!$C$4:$C290,Catálogo!$C290))</f>
        <v/>
      </c>
    </row>
    <row r="291" customFormat="false" ht="15" hidden="false" customHeight="true" outlineLevel="0" collapsed="false">
      <c r="A291" s="1" t="str">
        <f aca="false">IF(Catálogo!$C291="","",Catálogo!$C291&amp;"|"&amp;COUNTIF(Catálogo!$C$4:$C291,Catálogo!$C291))</f>
        <v/>
      </c>
    </row>
    <row r="292" customFormat="false" ht="15" hidden="false" customHeight="true" outlineLevel="0" collapsed="false">
      <c r="A292" s="1" t="str">
        <f aca="false">IF(Catálogo!$C292="","",Catálogo!$C292&amp;"|"&amp;COUNTIF(Catálogo!$C$4:$C292,Catálogo!$C292))</f>
        <v/>
      </c>
    </row>
    <row r="293" customFormat="false" ht="15" hidden="false" customHeight="true" outlineLevel="0" collapsed="false">
      <c r="A293" s="1" t="str">
        <f aca="false">IF(Catálogo!$C293="","",Catálogo!$C293&amp;"|"&amp;COUNTIF(Catálogo!$C$4:$C293,Catálogo!$C293))</f>
        <v/>
      </c>
    </row>
    <row r="294" customFormat="false" ht="15" hidden="false" customHeight="true" outlineLevel="0" collapsed="false">
      <c r="A294" s="1" t="str">
        <f aca="false">IF(Catálogo!$C294="","",Catálogo!$C294&amp;"|"&amp;COUNTIF(Catálogo!$C$4:$C294,Catálogo!$C294))</f>
        <v/>
      </c>
    </row>
    <row r="295" customFormat="false" ht="15" hidden="false" customHeight="true" outlineLevel="0" collapsed="false">
      <c r="A295" s="1" t="str">
        <f aca="false">IF(Catálogo!$C295="","",Catálogo!$C295&amp;"|"&amp;COUNTIF(Catálogo!$C$4:$C295,Catálogo!$C295))</f>
        <v/>
      </c>
    </row>
    <row r="296" customFormat="false" ht="15" hidden="false" customHeight="true" outlineLevel="0" collapsed="false">
      <c r="A296" s="1" t="str">
        <f aca="false">IF(Catálogo!$C296="","",Catálogo!$C296&amp;"|"&amp;COUNTIF(Catálogo!$C$4:$C296,Catálogo!$C296))</f>
        <v/>
      </c>
    </row>
    <row r="297" customFormat="false" ht="15" hidden="false" customHeight="true" outlineLevel="0" collapsed="false">
      <c r="A297" s="1" t="str">
        <f aca="false">IF(Catálogo!$C297="","",Catálogo!$C297&amp;"|"&amp;COUNTIF(Catálogo!$C$4:$C297,Catálogo!$C297))</f>
        <v/>
      </c>
    </row>
    <row r="298" customFormat="false" ht="15" hidden="false" customHeight="true" outlineLevel="0" collapsed="false">
      <c r="A298" s="1" t="str">
        <f aca="false">IF(Catálogo!$C298="","",Catálogo!$C298&amp;"|"&amp;COUNTIF(Catálogo!$C$4:$C298,Catálogo!$C298))</f>
        <v/>
      </c>
    </row>
    <row r="299" customFormat="false" ht="15" hidden="false" customHeight="true" outlineLevel="0" collapsed="false">
      <c r="A299" s="1" t="str">
        <f aca="false">IF(Catálogo!$C299="","",Catálogo!$C299&amp;"|"&amp;COUNTIF(Catálogo!$C$4:$C299,Catálogo!$C299))</f>
        <v/>
      </c>
    </row>
    <row r="300" customFormat="false" ht="15" hidden="false" customHeight="true" outlineLevel="0" collapsed="false">
      <c r="A300" s="1" t="str">
        <f aca="false">IF(Catálogo!$C300="","",Catálogo!$C300&amp;"|"&amp;COUNTIF(Catálogo!$C$4:$C300,Catálogo!$C300))</f>
        <v/>
      </c>
    </row>
    <row r="301" customFormat="false" ht="15" hidden="false" customHeight="true" outlineLevel="0" collapsed="false">
      <c r="A301" s="1" t="str">
        <f aca="false">IF(Catálogo!$C301="","",Catálogo!$C301&amp;"|"&amp;COUNTIF(Catálogo!$C$4:$C301,Catálogo!$C301))</f>
        <v/>
      </c>
    </row>
    <row r="302" customFormat="false" ht="15" hidden="false" customHeight="true" outlineLevel="0" collapsed="false">
      <c r="A302" s="1" t="str">
        <f aca="false">IF(Catálogo!$C302="","",Catálogo!$C302&amp;"|"&amp;COUNTIF(Catálogo!$C$4:$C302,Catálogo!$C302))</f>
        <v/>
      </c>
    </row>
    <row r="303" customFormat="false" ht="15" hidden="false" customHeight="true" outlineLevel="0" collapsed="false">
      <c r="A303" s="1" t="str">
        <f aca="false">IF(Catálogo!$C303="","",Catálogo!$C303&amp;"|"&amp;COUNTIF(Catálogo!$C$4:$C303,Catálogo!$C303))</f>
        <v/>
      </c>
    </row>
    <row r="304" customFormat="false" ht="15" hidden="false" customHeight="true" outlineLevel="0" collapsed="false">
      <c r="A304" s="1" t="str">
        <f aca="false">IF(Catálogo!$C304="","",Catálogo!$C304&amp;"|"&amp;COUNTIF(Catálogo!$C$4:$C304,Catálogo!$C304))</f>
        <v/>
      </c>
    </row>
    <row r="305" customFormat="false" ht="15" hidden="false" customHeight="true" outlineLevel="0" collapsed="false">
      <c r="A305" s="1" t="str">
        <f aca="false">IF(Catálogo!$C305="","",Catálogo!$C305&amp;"|"&amp;COUNTIF(Catálogo!$C$4:$C305,Catálogo!$C305))</f>
        <v/>
      </c>
    </row>
    <row r="306" customFormat="false" ht="15" hidden="false" customHeight="true" outlineLevel="0" collapsed="false">
      <c r="A306" s="1" t="str">
        <f aca="false">IF(Catálogo!$C306="","",Catálogo!$C306&amp;"|"&amp;COUNTIF(Catálogo!$C$4:$C306,Catálogo!$C306))</f>
        <v/>
      </c>
    </row>
    <row r="307" customFormat="false" ht="15" hidden="false" customHeight="true" outlineLevel="0" collapsed="false">
      <c r="A307" s="1" t="str">
        <f aca="false">IF(Catálogo!$C307="","",Catálogo!$C307&amp;"|"&amp;COUNTIF(Catálogo!$C$4:$C307,Catálogo!$C307))</f>
        <v/>
      </c>
    </row>
    <row r="308" customFormat="false" ht="15" hidden="false" customHeight="true" outlineLevel="0" collapsed="false">
      <c r="A308" s="1" t="str">
        <f aca="false">IF(Catálogo!$C308="","",Catálogo!$C308&amp;"|"&amp;COUNTIF(Catálogo!$C$4:$C308,Catálogo!$C308))</f>
        <v/>
      </c>
    </row>
    <row r="309" customFormat="false" ht="15" hidden="false" customHeight="true" outlineLevel="0" collapsed="false">
      <c r="A309" s="1" t="str">
        <f aca="false">IF(Catálogo!$C309="","",Catálogo!$C309&amp;"|"&amp;COUNTIF(Catálogo!$C$4:$C309,Catálogo!$C309))</f>
        <v/>
      </c>
    </row>
    <row r="310" customFormat="false" ht="15" hidden="false" customHeight="true" outlineLevel="0" collapsed="false">
      <c r="A310" s="1" t="str">
        <f aca="false">IF(Catálogo!$C310="","",Catálogo!$C310&amp;"|"&amp;COUNTIF(Catálogo!$C$4:$C310,Catálogo!$C310))</f>
        <v/>
      </c>
    </row>
    <row r="311" customFormat="false" ht="15" hidden="false" customHeight="true" outlineLevel="0" collapsed="false">
      <c r="A311" s="1" t="str">
        <f aca="false">IF(Catálogo!$C311="","",Catálogo!$C311&amp;"|"&amp;COUNTIF(Catálogo!$C$4:$C311,Catálogo!$C311))</f>
        <v/>
      </c>
    </row>
    <row r="312" customFormat="false" ht="15" hidden="false" customHeight="true" outlineLevel="0" collapsed="false">
      <c r="A312" s="1" t="str">
        <f aca="false">IF(Catálogo!$C312="","",Catálogo!$C312&amp;"|"&amp;COUNTIF(Catálogo!$C$4:$C312,Catálogo!$C312))</f>
        <v/>
      </c>
    </row>
    <row r="313" customFormat="false" ht="15" hidden="false" customHeight="true" outlineLevel="0" collapsed="false">
      <c r="A313" s="1" t="str">
        <f aca="false">IF(Catálogo!$C313="","",Catálogo!$C313&amp;"|"&amp;COUNTIF(Catálogo!$C$4:$C313,Catálogo!$C313))</f>
        <v/>
      </c>
    </row>
    <row r="314" customFormat="false" ht="15" hidden="false" customHeight="true" outlineLevel="0" collapsed="false">
      <c r="A314" s="1" t="str">
        <f aca="false">IF(Catálogo!$C314="","",Catálogo!$C314&amp;"|"&amp;COUNTIF(Catálogo!$C$4:$C314,Catálogo!$C314))</f>
        <v/>
      </c>
    </row>
    <row r="315" customFormat="false" ht="15" hidden="false" customHeight="true" outlineLevel="0" collapsed="false">
      <c r="A315" s="1" t="str">
        <f aca="false">IF(Catálogo!$C315="","",Catálogo!$C315&amp;"|"&amp;COUNTIF(Catálogo!$C$4:$C315,Catálogo!$C315))</f>
        <v/>
      </c>
    </row>
    <row r="316" customFormat="false" ht="15" hidden="false" customHeight="true" outlineLevel="0" collapsed="false">
      <c r="A316" s="1" t="str">
        <f aca="false">IF(Catálogo!$C316="","",Catálogo!$C316&amp;"|"&amp;COUNTIF(Catálogo!$C$4:$C316,Catálogo!$C316))</f>
        <v/>
      </c>
    </row>
    <row r="317" customFormat="false" ht="15" hidden="false" customHeight="true" outlineLevel="0" collapsed="false">
      <c r="A317" s="1" t="str">
        <f aca="false">IF(Catálogo!$C317="","",Catálogo!$C317&amp;"|"&amp;COUNTIF(Catálogo!$C$4:$C317,Catálogo!$C317))</f>
        <v/>
      </c>
    </row>
    <row r="318" customFormat="false" ht="15" hidden="false" customHeight="true" outlineLevel="0" collapsed="false">
      <c r="A318" s="1" t="str">
        <f aca="false">IF(Catálogo!$C318="","",Catálogo!$C318&amp;"|"&amp;COUNTIF(Catálogo!$C$4:$C318,Catálogo!$C318))</f>
        <v/>
      </c>
    </row>
    <row r="319" customFormat="false" ht="15" hidden="false" customHeight="true" outlineLevel="0" collapsed="false">
      <c r="A319" s="1" t="str">
        <f aca="false">IF(Catálogo!$C319="","",Catálogo!$C319&amp;"|"&amp;COUNTIF(Catálogo!$C$4:$C319,Catálogo!$C319))</f>
        <v/>
      </c>
    </row>
    <row r="320" customFormat="false" ht="15" hidden="false" customHeight="true" outlineLevel="0" collapsed="false">
      <c r="A320" s="1" t="str">
        <f aca="false">IF(Catálogo!$C320="","",Catálogo!$C320&amp;"|"&amp;COUNTIF(Catálogo!$C$4:$C320,Catálogo!$C320))</f>
        <v/>
      </c>
    </row>
    <row r="321" customFormat="false" ht="15" hidden="false" customHeight="true" outlineLevel="0" collapsed="false">
      <c r="A321" s="1" t="str">
        <f aca="false">IF(Catálogo!$C321="","",Catálogo!$C321&amp;"|"&amp;COUNTIF(Catálogo!$C$4:$C321,Catálogo!$C321))</f>
        <v/>
      </c>
    </row>
    <row r="322" customFormat="false" ht="15" hidden="false" customHeight="true" outlineLevel="0" collapsed="false">
      <c r="A322" s="1" t="str">
        <f aca="false">IF(Catálogo!$C322="","",Catálogo!$C322&amp;"|"&amp;COUNTIF(Catálogo!$C$4:$C322,Catálogo!$C322))</f>
        <v/>
      </c>
    </row>
    <row r="323" customFormat="false" ht="15" hidden="false" customHeight="true" outlineLevel="0" collapsed="false">
      <c r="A323" s="1" t="str">
        <f aca="false">IF(Catálogo!$C323="","",Catálogo!$C323&amp;"|"&amp;COUNTIF(Catálogo!$C$4:$C323,Catálogo!$C323))</f>
        <v/>
      </c>
    </row>
    <row r="324" customFormat="false" ht="15" hidden="false" customHeight="true" outlineLevel="0" collapsed="false">
      <c r="A324" s="1" t="str">
        <f aca="false">IF(Catálogo!$C324="","",Catálogo!$C324&amp;"|"&amp;COUNTIF(Catálogo!$C$4:$C324,Catálogo!$C324))</f>
        <v/>
      </c>
    </row>
    <row r="325" customFormat="false" ht="15" hidden="false" customHeight="true" outlineLevel="0" collapsed="false">
      <c r="A325" s="1" t="str">
        <f aca="false">IF(Catálogo!$C325="","",Catálogo!$C325&amp;"|"&amp;COUNTIF(Catálogo!$C$4:$C325,Catálogo!$C325))</f>
        <v/>
      </c>
    </row>
    <row r="326" customFormat="false" ht="15" hidden="false" customHeight="true" outlineLevel="0" collapsed="false">
      <c r="A326" s="1" t="str">
        <f aca="false">IF(Catálogo!$C326="","",Catálogo!$C326&amp;"|"&amp;COUNTIF(Catálogo!$C$4:$C326,Catálogo!$C326))</f>
        <v/>
      </c>
    </row>
    <row r="327" customFormat="false" ht="15" hidden="false" customHeight="true" outlineLevel="0" collapsed="false">
      <c r="A327" s="1" t="str">
        <f aca="false">IF(Catálogo!$C327="","",Catálogo!$C327&amp;"|"&amp;COUNTIF(Catálogo!$C$4:$C327,Catálogo!$C327))</f>
        <v/>
      </c>
    </row>
    <row r="328" customFormat="false" ht="15" hidden="false" customHeight="true" outlineLevel="0" collapsed="false">
      <c r="A328" s="1" t="str">
        <f aca="false">IF(Catálogo!$C328="","",Catálogo!$C328&amp;"|"&amp;COUNTIF(Catálogo!$C$4:$C328,Catálogo!$C328))</f>
        <v/>
      </c>
    </row>
    <row r="329" customFormat="false" ht="15" hidden="false" customHeight="true" outlineLevel="0" collapsed="false">
      <c r="A329" s="1" t="str">
        <f aca="false">IF(Catálogo!$C329="","",Catálogo!$C329&amp;"|"&amp;COUNTIF(Catálogo!$C$4:$C329,Catálogo!$C329))</f>
        <v/>
      </c>
    </row>
    <row r="330" customFormat="false" ht="15" hidden="false" customHeight="true" outlineLevel="0" collapsed="false">
      <c r="A330" s="1" t="str">
        <f aca="false">IF(Catálogo!$C330="","",Catálogo!$C330&amp;"|"&amp;COUNTIF(Catálogo!$C$4:$C330,Catálogo!$C330))</f>
        <v/>
      </c>
    </row>
    <row r="331" customFormat="false" ht="15" hidden="false" customHeight="true" outlineLevel="0" collapsed="false">
      <c r="A331" s="1" t="str">
        <f aca="false">IF(Catálogo!$C331="","",Catálogo!$C331&amp;"|"&amp;COUNTIF(Catálogo!$C$4:$C331,Catálogo!$C331))</f>
        <v/>
      </c>
    </row>
    <row r="332" customFormat="false" ht="15" hidden="false" customHeight="true" outlineLevel="0" collapsed="false">
      <c r="A332" s="1" t="str">
        <f aca="false">IF(Catálogo!$C332="","",Catálogo!$C332&amp;"|"&amp;COUNTIF(Catálogo!$C$4:$C332,Catálogo!$C332))</f>
        <v/>
      </c>
    </row>
    <row r="333" customFormat="false" ht="15" hidden="false" customHeight="true" outlineLevel="0" collapsed="false">
      <c r="A333" s="1" t="str">
        <f aca="false">IF(Catálogo!$C333="","",Catálogo!$C333&amp;"|"&amp;COUNTIF(Catálogo!$C$4:$C333,Catálogo!$C333))</f>
        <v/>
      </c>
    </row>
    <row r="334" customFormat="false" ht="15" hidden="false" customHeight="true" outlineLevel="0" collapsed="false">
      <c r="A334" s="1" t="str">
        <f aca="false">IF(Catálogo!$C334="","",Catálogo!$C334&amp;"|"&amp;COUNTIF(Catálogo!$C$4:$C334,Catálogo!$C334))</f>
        <v/>
      </c>
    </row>
    <row r="335" customFormat="false" ht="15" hidden="false" customHeight="true" outlineLevel="0" collapsed="false">
      <c r="A335" s="1" t="str">
        <f aca="false">IF(Catálogo!$C335="","",Catálogo!$C335&amp;"|"&amp;COUNTIF(Catálogo!$C$4:$C335,Catálogo!$C335))</f>
        <v/>
      </c>
    </row>
    <row r="336" customFormat="false" ht="15" hidden="false" customHeight="true" outlineLevel="0" collapsed="false">
      <c r="A336" s="1" t="str">
        <f aca="false">IF(Catálogo!$C336="","",Catálogo!$C336&amp;"|"&amp;COUNTIF(Catálogo!$C$4:$C336,Catálogo!$C336))</f>
        <v/>
      </c>
    </row>
    <row r="337" customFormat="false" ht="15" hidden="false" customHeight="true" outlineLevel="0" collapsed="false">
      <c r="A337" s="1" t="str">
        <f aca="false">IF(Catálogo!$C337="","",Catálogo!$C337&amp;"|"&amp;COUNTIF(Catálogo!$C$4:$C337,Catálogo!$C337))</f>
        <v/>
      </c>
    </row>
    <row r="338" customFormat="false" ht="15" hidden="false" customHeight="true" outlineLevel="0" collapsed="false">
      <c r="A338" s="1" t="str">
        <f aca="false">IF(Catálogo!$C338="","",Catálogo!$C338&amp;"|"&amp;COUNTIF(Catálogo!$C$4:$C338,Catálogo!$C338))</f>
        <v/>
      </c>
    </row>
    <row r="339" customFormat="false" ht="15" hidden="false" customHeight="true" outlineLevel="0" collapsed="false">
      <c r="A339" s="1" t="str">
        <f aca="false">IF(Catálogo!$C339="","",Catálogo!$C339&amp;"|"&amp;COUNTIF(Catálogo!$C$4:$C339,Catálogo!$C339))</f>
        <v/>
      </c>
    </row>
    <row r="340" customFormat="false" ht="15" hidden="false" customHeight="true" outlineLevel="0" collapsed="false">
      <c r="A340" s="1" t="str">
        <f aca="false">IF(Catálogo!$C340="","",Catálogo!$C340&amp;"|"&amp;COUNTIF(Catálogo!$C$4:$C340,Catálogo!$C340))</f>
        <v/>
      </c>
    </row>
    <row r="341" customFormat="false" ht="15" hidden="false" customHeight="true" outlineLevel="0" collapsed="false">
      <c r="A341" s="1" t="str">
        <f aca="false">IF(Catálogo!$C341="","",Catálogo!$C341&amp;"|"&amp;COUNTIF(Catálogo!$C$4:$C341,Catálogo!$C341))</f>
        <v/>
      </c>
    </row>
    <row r="342" customFormat="false" ht="15" hidden="false" customHeight="true" outlineLevel="0" collapsed="false">
      <c r="A342" s="1" t="str">
        <f aca="false">IF(Catálogo!$C342="","",Catálogo!$C342&amp;"|"&amp;COUNTIF(Catálogo!$C$4:$C342,Catálogo!$C342))</f>
        <v/>
      </c>
    </row>
    <row r="343" customFormat="false" ht="15" hidden="false" customHeight="true" outlineLevel="0" collapsed="false">
      <c r="A343" s="1" t="str">
        <f aca="false">IF(Catálogo!$C343="","",Catálogo!$C343&amp;"|"&amp;COUNTIF(Catálogo!$C$4:$C343,Catálogo!$C343))</f>
        <v/>
      </c>
    </row>
    <row r="344" customFormat="false" ht="15" hidden="false" customHeight="true" outlineLevel="0" collapsed="false">
      <c r="A344" s="1" t="str">
        <f aca="false">IF(Catálogo!$C344="","",Catálogo!$C344&amp;"|"&amp;COUNTIF(Catálogo!$C$4:$C344,Catálogo!$C344))</f>
        <v/>
      </c>
    </row>
    <row r="345" customFormat="false" ht="15" hidden="false" customHeight="true" outlineLevel="0" collapsed="false">
      <c r="A345" s="1" t="str">
        <f aca="false">IF(Catálogo!$C345="","",Catálogo!$C345&amp;"|"&amp;COUNTIF(Catálogo!$C$4:$C345,Catálogo!$C345))</f>
        <v/>
      </c>
    </row>
    <row r="346" customFormat="false" ht="15" hidden="false" customHeight="true" outlineLevel="0" collapsed="false">
      <c r="A346" s="1" t="str">
        <f aca="false">IF(Catálogo!$C346="","",Catálogo!$C346&amp;"|"&amp;COUNTIF(Catálogo!$C$4:$C346,Catálogo!$C346))</f>
        <v/>
      </c>
    </row>
    <row r="347" customFormat="false" ht="15" hidden="false" customHeight="true" outlineLevel="0" collapsed="false">
      <c r="A347" s="1" t="str">
        <f aca="false">IF(Catálogo!$C347="","",Catálogo!$C347&amp;"|"&amp;COUNTIF(Catálogo!$C$4:$C347,Catálogo!$C347))</f>
        <v/>
      </c>
    </row>
    <row r="348" customFormat="false" ht="15" hidden="false" customHeight="true" outlineLevel="0" collapsed="false">
      <c r="A348" s="1" t="str">
        <f aca="false">IF(Catálogo!$C348="","",Catálogo!$C348&amp;"|"&amp;COUNTIF(Catálogo!$C$4:$C348,Catálogo!$C348))</f>
        <v/>
      </c>
    </row>
    <row r="349" customFormat="false" ht="15" hidden="false" customHeight="true" outlineLevel="0" collapsed="false">
      <c r="A349" s="1" t="str">
        <f aca="false">IF(Catálogo!$C349="","",Catálogo!$C349&amp;"|"&amp;COUNTIF(Catálogo!$C$4:$C349,Catálogo!$C349))</f>
        <v/>
      </c>
    </row>
    <row r="350" customFormat="false" ht="15" hidden="false" customHeight="true" outlineLevel="0" collapsed="false">
      <c r="A350" s="1" t="str">
        <f aca="false">IF(Catálogo!$C350="","",Catálogo!$C350&amp;"|"&amp;COUNTIF(Catálogo!$C$4:$C350,Catálogo!$C350))</f>
        <v/>
      </c>
    </row>
    <row r="351" customFormat="false" ht="15" hidden="false" customHeight="true" outlineLevel="0" collapsed="false">
      <c r="A351" s="1" t="str">
        <f aca="false">IF(Catálogo!$C351="","",Catálogo!$C351&amp;"|"&amp;COUNTIF(Catálogo!$C$4:$C351,Catálogo!$C351))</f>
        <v/>
      </c>
    </row>
    <row r="352" customFormat="false" ht="15" hidden="false" customHeight="true" outlineLevel="0" collapsed="false">
      <c r="A352" s="1" t="str">
        <f aca="false">IF(Catálogo!$C352="","",Catálogo!$C352&amp;"|"&amp;COUNTIF(Catálogo!$C$4:$C352,Catálogo!$C352))</f>
        <v/>
      </c>
    </row>
    <row r="353" customFormat="false" ht="15" hidden="false" customHeight="true" outlineLevel="0" collapsed="false">
      <c r="A353" s="1" t="str">
        <f aca="false">IF(Catálogo!$C353="","",Catálogo!$C353&amp;"|"&amp;COUNTIF(Catálogo!$C$4:$C353,Catálogo!$C353))</f>
        <v/>
      </c>
    </row>
    <row r="354" customFormat="false" ht="15" hidden="false" customHeight="true" outlineLevel="0" collapsed="false">
      <c r="A354" s="1" t="str">
        <f aca="false">IF(Catálogo!$C354="","",Catálogo!$C354&amp;"|"&amp;COUNTIF(Catálogo!$C$4:$C354,Catálogo!$C354))</f>
        <v/>
      </c>
    </row>
    <row r="355" customFormat="false" ht="15" hidden="false" customHeight="true" outlineLevel="0" collapsed="false">
      <c r="A355" s="1" t="str">
        <f aca="false">IF(Catálogo!$C355="","",Catálogo!$C355&amp;"|"&amp;COUNTIF(Catálogo!$C$4:$C355,Catálogo!$C355))</f>
        <v/>
      </c>
    </row>
    <row r="356" customFormat="false" ht="15" hidden="false" customHeight="true" outlineLevel="0" collapsed="false">
      <c r="A356" s="1" t="str">
        <f aca="false">IF(Catálogo!$C356="","",Catálogo!$C356&amp;"|"&amp;COUNTIF(Catálogo!$C$4:$C356,Catálogo!$C356))</f>
        <v/>
      </c>
    </row>
    <row r="357" customFormat="false" ht="15" hidden="false" customHeight="true" outlineLevel="0" collapsed="false">
      <c r="A357" s="1" t="str">
        <f aca="false">IF(Catálogo!$C357="","",Catálogo!$C357&amp;"|"&amp;COUNTIF(Catálogo!$C$4:$C357,Catálogo!$C357))</f>
        <v/>
      </c>
    </row>
    <row r="358" customFormat="false" ht="15" hidden="false" customHeight="true" outlineLevel="0" collapsed="false">
      <c r="A358" s="1" t="str">
        <f aca="false">IF(Catálogo!$C358="","",Catálogo!$C358&amp;"|"&amp;COUNTIF(Catálogo!$C$4:$C358,Catálogo!$C358))</f>
        <v/>
      </c>
    </row>
    <row r="359" customFormat="false" ht="15" hidden="false" customHeight="true" outlineLevel="0" collapsed="false">
      <c r="A359" s="1" t="str">
        <f aca="false">IF(Catálogo!$C359="","",Catálogo!$C359&amp;"|"&amp;COUNTIF(Catálogo!$C$4:$C359,Catálogo!$C359))</f>
        <v/>
      </c>
    </row>
    <row r="360" customFormat="false" ht="15" hidden="false" customHeight="true" outlineLevel="0" collapsed="false">
      <c r="A360" s="1" t="str">
        <f aca="false">IF(Catálogo!$C360="","",Catálogo!$C360&amp;"|"&amp;COUNTIF(Catálogo!$C$4:$C360,Catálogo!$C360))</f>
        <v/>
      </c>
    </row>
    <row r="361" customFormat="false" ht="15" hidden="false" customHeight="true" outlineLevel="0" collapsed="false">
      <c r="A361" s="1" t="str">
        <f aca="false">IF(Catálogo!$C361="","",Catálogo!$C361&amp;"|"&amp;COUNTIF(Catálogo!$C$4:$C361,Catálogo!$C361))</f>
        <v/>
      </c>
    </row>
    <row r="362" customFormat="false" ht="15" hidden="false" customHeight="true" outlineLevel="0" collapsed="false">
      <c r="A362" s="1" t="str">
        <f aca="false">IF(Catálogo!$C362="","",Catálogo!$C362&amp;"|"&amp;COUNTIF(Catálogo!$C$4:$C362,Catálogo!$C362))</f>
        <v/>
      </c>
    </row>
    <row r="363" customFormat="false" ht="15" hidden="false" customHeight="true" outlineLevel="0" collapsed="false">
      <c r="A363" s="1" t="str">
        <f aca="false">IF(Catálogo!$C363="","",Catálogo!$C363&amp;"|"&amp;COUNTIF(Catálogo!$C$4:$C363,Catálogo!$C363))</f>
        <v/>
      </c>
    </row>
    <row r="364" customFormat="false" ht="15" hidden="false" customHeight="true" outlineLevel="0" collapsed="false">
      <c r="A364" s="1" t="str">
        <f aca="false">IF(Catálogo!$C364="","",Catálogo!$C364&amp;"|"&amp;COUNTIF(Catálogo!$C$4:$C364,Catálogo!$C364))</f>
        <v/>
      </c>
    </row>
    <row r="365" customFormat="false" ht="15" hidden="false" customHeight="true" outlineLevel="0" collapsed="false">
      <c r="A365" s="1" t="str">
        <f aca="false">IF(Catálogo!$C365="","",Catálogo!$C365&amp;"|"&amp;COUNTIF(Catálogo!$C$4:$C365,Catálogo!$C365))</f>
        <v/>
      </c>
    </row>
    <row r="366" customFormat="false" ht="15" hidden="false" customHeight="true" outlineLevel="0" collapsed="false">
      <c r="A366" s="1" t="str">
        <f aca="false">IF(Catálogo!$C366="","",Catálogo!$C366&amp;"|"&amp;COUNTIF(Catálogo!$C$4:$C366,Catálogo!$C366))</f>
        <v/>
      </c>
    </row>
    <row r="367" customFormat="false" ht="15" hidden="false" customHeight="true" outlineLevel="0" collapsed="false">
      <c r="A367" s="1" t="str">
        <f aca="false">IF(Catálogo!$C367="","",Catálogo!$C367&amp;"|"&amp;COUNTIF(Catálogo!$C$4:$C367,Catálogo!$C367))</f>
        <v/>
      </c>
    </row>
    <row r="368" customFormat="false" ht="15" hidden="false" customHeight="true" outlineLevel="0" collapsed="false">
      <c r="A368" s="1" t="str">
        <f aca="false">IF(Catálogo!$C368="","",Catálogo!$C368&amp;"|"&amp;COUNTIF(Catálogo!$C$4:$C368,Catálogo!$C368))</f>
        <v/>
      </c>
    </row>
    <row r="369" customFormat="false" ht="15" hidden="false" customHeight="true" outlineLevel="0" collapsed="false">
      <c r="A369" s="1" t="str">
        <f aca="false">IF(Catálogo!$C369="","",Catálogo!$C369&amp;"|"&amp;COUNTIF(Catálogo!$C$4:$C369,Catálogo!$C369))</f>
        <v/>
      </c>
    </row>
    <row r="370" customFormat="false" ht="15" hidden="false" customHeight="true" outlineLevel="0" collapsed="false">
      <c r="A370" s="1" t="str">
        <f aca="false">IF(Catálogo!$C370="","",Catálogo!$C370&amp;"|"&amp;COUNTIF(Catálogo!$C$4:$C370,Catálogo!$C370))</f>
        <v/>
      </c>
    </row>
    <row r="371" customFormat="false" ht="15" hidden="false" customHeight="true" outlineLevel="0" collapsed="false">
      <c r="A371" s="1" t="str">
        <f aca="false">IF(Catálogo!$C371="","",Catálogo!$C371&amp;"|"&amp;COUNTIF(Catálogo!$C$4:$C371,Catálogo!$C371))</f>
        <v/>
      </c>
    </row>
    <row r="372" customFormat="false" ht="15" hidden="false" customHeight="true" outlineLevel="0" collapsed="false">
      <c r="A372" s="1" t="str">
        <f aca="false">IF(Catálogo!$C372="","",Catálogo!$C372&amp;"|"&amp;COUNTIF(Catálogo!$C$4:$C372,Catálogo!$C372))</f>
        <v/>
      </c>
    </row>
    <row r="373" customFormat="false" ht="15" hidden="false" customHeight="true" outlineLevel="0" collapsed="false">
      <c r="A373" s="1" t="str">
        <f aca="false">IF(Catálogo!$C373="","",Catálogo!$C373&amp;"|"&amp;COUNTIF(Catálogo!$C$4:$C373,Catálogo!$C373))</f>
        <v/>
      </c>
    </row>
    <row r="374" customFormat="false" ht="15" hidden="false" customHeight="true" outlineLevel="0" collapsed="false">
      <c r="A374" s="1" t="str">
        <f aca="false">IF(Catálogo!$C374="","",Catálogo!$C374&amp;"|"&amp;COUNTIF(Catálogo!$C$4:$C374,Catálogo!$C374))</f>
        <v/>
      </c>
    </row>
    <row r="375" customFormat="false" ht="15" hidden="false" customHeight="true" outlineLevel="0" collapsed="false">
      <c r="A375" s="1" t="str">
        <f aca="false">IF(Catálogo!$C375="","",Catálogo!$C375&amp;"|"&amp;COUNTIF(Catálogo!$C$4:$C375,Catálogo!$C375))</f>
        <v/>
      </c>
    </row>
    <row r="376" customFormat="false" ht="15" hidden="false" customHeight="true" outlineLevel="0" collapsed="false">
      <c r="A376" s="1" t="str">
        <f aca="false">IF(Catálogo!$C376="","",Catálogo!$C376&amp;"|"&amp;COUNTIF(Catálogo!$C$4:$C376,Catálogo!$C376))</f>
        <v/>
      </c>
    </row>
    <row r="377" customFormat="false" ht="15" hidden="false" customHeight="true" outlineLevel="0" collapsed="false">
      <c r="A377" s="1" t="str">
        <f aca="false">IF(Catálogo!$C377="","",Catálogo!$C377&amp;"|"&amp;COUNTIF(Catálogo!$C$4:$C377,Catálogo!$C377))</f>
        <v/>
      </c>
    </row>
    <row r="378" customFormat="false" ht="15" hidden="false" customHeight="true" outlineLevel="0" collapsed="false">
      <c r="A378" s="1" t="str">
        <f aca="false">IF(Catálogo!$C378="","",Catálogo!$C378&amp;"|"&amp;COUNTIF(Catálogo!$C$4:$C378,Catálogo!$C378))</f>
        <v/>
      </c>
    </row>
    <row r="379" customFormat="false" ht="15" hidden="false" customHeight="true" outlineLevel="0" collapsed="false">
      <c r="A379" s="1" t="str">
        <f aca="false">IF(Catálogo!$C379="","",Catálogo!$C379&amp;"|"&amp;COUNTIF(Catálogo!$C$4:$C379,Catálogo!$C379))</f>
        <v/>
      </c>
    </row>
    <row r="380" customFormat="false" ht="15" hidden="false" customHeight="true" outlineLevel="0" collapsed="false">
      <c r="A380" s="1" t="str">
        <f aca="false">IF(Catálogo!$C380="","",Catálogo!$C380&amp;"|"&amp;COUNTIF(Catálogo!$C$4:$C380,Catálogo!$C380))</f>
        <v/>
      </c>
    </row>
    <row r="381" customFormat="false" ht="15" hidden="false" customHeight="true" outlineLevel="0" collapsed="false">
      <c r="A381" s="1" t="str">
        <f aca="false">IF(Catálogo!$C381="","",Catálogo!$C381&amp;"|"&amp;COUNTIF(Catálogo!$C$4:$C381,Catálogo!$C381))</f>
        <v/>
      </c>
    </row>
    <row r="382" customFormat="false" ht="15" hidden="false" customHeight="true" outlineLevel="0" collapsed="false">
      <c r="A382" s="1" t="str">
        <f aca="false">IF(Catálogo!$C382="","",Catálogo!$C382&amp;"|"&amp;COUNTIF(Catálogo!$C$4:$C382,Catálogo!$C382))</f>
        <v/>
      </c>
    </row>
    <row r="383" customFormat="false" ht="15" hidden="false" customHeight="true" outlineLevel="0" collapsed="false">
      <c r="A383" s="1" t="str">
        <f aca="false">IF(Catálogo!$C383="","",Catálogo!$C383&amp;"|"&amp;COUNTIF(Catálogo!$C$4:$C383,Catálogo!$C383))</f>
        <v/>
      </c>
    </row>
    <row r="384" customFormat="false" ht="15" hidden="false" customHeight="true" outlineLevel="0" collapsed="false">
      <c r="A384" s="1" t="str">
        <f aca="false">IF(Catálogo!$C384="","",Catálogo!$C384&amp;"|"&amp;COUNTIF(Catálogo!$C$4:$C384,Catálogo!$C384))</f>
        <v/>
      </c>
    </row>
    <row r="385" customFormat="false" ht="15" hidden="false" customHeight="true" outlineLevel="0" collapsed="false">
      <c r="A385" s="1" t="str">
        <f aca="false">IF(Catálogo!$C385="","",Catálogo!$C385&amp;"|"&amp;COUNTIF(Catálogo!$C$4:$C385,Catálogo!$C385))</f>
        <v/>
      </c>
    </row>
    <row r="386" customFormat="false" ht="15" hidden="false" customHeight="true" outlineLevel="0" collapsed="false">
      <c r="A386" s="1" t="str">
        <f aca="false">IF(Catálogo!$C386="","",Catálogo!$C386&amp;"|"&amp;COUNTIF(Catálogo!$C$4:$C386,Catálogo!$C386))</f>
        <v/>
      </c>
    </row>
    <row r="387" customFormat="false" ht="15" hidden="false" customHeight="true" outlineLevel="0" collapsed="false">
      <c r="A387" s="1" t="str">
        <f aca="false">IF(Catálogo!$C387="","",Catálogo!$C387&amp;"|"&amp;COUNTIF(Catálogo!$C$4:$C387,Catálogo!$C387))</f>
        <v/>
      </c>
    </row>
    <row r="388" customFormat="false" ht="15" hidden="false" customHeight="true" outlineLevel="0" collapsed="false">
      <c r="A388" s="1" t="str">
        <f aca="false">IF(Catálogo!$C388="","",Catálogo!$C388&amp;"|"&amp;COUNTIF(Catálogo!$C$4:$C388,Catálogo!$C388))</f>
        <v/>
      </c>
    </row>
    <row r="389" customFormat="false" ht="15" hidden="false" customHeight="true" outlineLevel="0" collapsed="false">
      <c r="A389" s="1" t="str">
        <f aca="false">IF(Catálogo!$C389="","",Catálogo!$C389&amp;"|"&amp;COUNTIF(Catálogo!$C$4:$C389,Catálogo!$C389))</f>
        <v/>
      </c>
    </row>
    <row r="390" customFormat="false" ht="15" hidden="false" customHeight="true" outlineLevel="0" collapsed="false">
      <c r="A390" s="1" t="str">
        <f aca="false">IF(Catálogo!$C390="","",Catálogo!$C390&amp;"|"&amp;COUNTIF(Catálogo!$C$4:$C390,Catálogo!$C390))</f>
        <v/>
      </c>
    </row>
    <row r="391" customFormat="false" ht="15" hidden="false" customHeight="true" outlineLevel="0" collapsed="false">
      <c r="A391" s="1" t="str">
        <f aca="false">IF(Catálogo!$C391="","",Catálogo!$C391&amp;"|"&amp;COUNTIF(Catálogo!$C$4:$C391,Catálogo!$C391))</f>
        <v/>
      </c>
    </row>
    <row r="392" customFormat="false" ht="15" hidden="false" customHeight="true" outlineLevel="0" collapsed="false">
      <c r="A392" s="1" t="str">
        <f aca="false">IF(Catálogo!$C392="","",Catálogo!$C392&amp;"|"&amp;COUNTIF(Catálogo!$C$4:$C392,Catálogo!$C392))</f>
        <v/>
      </c>
    </row>
    <row r="393" customFormat="false" ht="15" hidden="false" customHeight="true" outlineLevel="0" collapsed="false">
      <c r="A393" s="1" t="str">
        <f aca="false">IF(Catálogo!$C393="","",Catálogo!$C393&amp;"|"&amp;COUNTIF(Catálogo!$C$4:$C393,Catálogo!$C393))</f>
        <v/>
      </c>
    </row>
    <row r="394" customFormat="false" ht="15" hidden="false" customHeight="true" outlineLevel="0" collapsed="false">
      <c r="A394" s="1" t="str">
        <f aca="false">IF(Catálogo!$C394="","",Catálogo!$C394&amp;"|"&amp;COUNTIF(Catálogo!$C$4:$C394,Catálogo!$C394))</f>
        <v/>
      </c>
    </row>
    <row r="395" customFormat="false" ht="15" hidden="false" customHeight="true" outlineLevel="0" collapsed="false">
      <c r="A395" s="1" t="str">
        <f aca="false">IF(Catálogo!$C395="","",Catálogo!$C395&amp;"|"&amp;COUNTIF(Catálogo!$C$4:$C395,Catálogo!$C395))</f>
        <v/>
      </c>
    </row>
    <row r="396" customFormat="false" ht="15" hidden="false" customHeight="true" outlineLevel="0" collapsed="false">
      <c r="A396" s="1" t="str">
        <f aca="false">IF(Catálogo!$C396="","",Catálogo!$C396&amp;"|"&amp;COUNTIF(Catálogo!$C$4:$C396,Catálogo!$C396))</f>
        <v/>
      </c>
    </row>
    <row r="397" customFormat="false" ht="15" hidden="false" customHeight="true" outlineLevel="0" collapsed="false">
      <c r="A397" s="1" t="str">
        <f aca="false">IF(Catálogo!$C397="","",Catálogo!$C397&amp;"|"&amp;COUNTIF(Catálogo!$C$4:$C397,Catálogo!$C397))</f>
        <v/>
      </c>
    </row>
    <row r="398" customFormat="false" ht="15" hidden="false" customHeight="true" outlineLevel="0" collapsed="false">
      <c r="A398" s="1" t="str">
        <f aca="false">IF(Catálogo!$C398="","",Catálogo!$C398&amp;"|"&amp;COUNTIF(Catálogo!$C$4:$C398,Catálogo!$C398))</f>
        <v/>
      </c>
    </row>
    <row r="399" customFormat="false" ht="15" hidden="false" customHeight="true" outlineLevel="0" collapsed="false">
      <c r="A399" s="1" t="str">
        <f aca="false">IF(Catálogo!$C399="","",Catálogo!$C399&amp;"|"&amp;COUNTIF(Catálogo!$C$4:$C399,Catálogo!$C399))</f>
        <v/>
      </c>
    </row>
    <row r="400" customFormat="false" ht="15" hidden="false" customHeight="true" outlineLevel="0" collapsed="false">
      <c r="A400" s="1" t="str">
        <f aca="false">IF(Catálogo!$C400="","",Catálogo!$C400&amp;"|"&amp;COUNTIF(Catálogo!$C$4:$C400,Catálogo!$C400))</f>
        <v/>
      </c>
    </row>
    <row r="401" customFormat="false" ht="15" hidden="false" customHeight="true" outlineLevel="0" collapsed="false">
      <c r="A401" s="1" t="str">
        <f aca="false">IF(Catálogo!$C401="","",Catálogo!$C401&amp;"|"&amp;COUNTIF(Catálogo!$C$4:$C401,Catálogo!$C401))</f>
        <v/>
      </c>
    </row>
    <row r="402" customFormat="false" ht="15" hidden="false" customHeight="true" outlineLevel="0" collapsed="false">
      <c r="A402" s="1" t="str">
        <f aca="false">IF(Catálogo!$C402="","",Catálogo!$C402&amp;"|"&amp;COUNTIF(Catálogo!$C$4:$C402,Catálogo!$C402))</f>
        <v/>
      </c>
    </row>
    <row r="403" customFormat="false" ht="15" hidden="false" customHeight="true" outlineLevel="0" collapsed="false">
      <c r="A403" s="1" t="str">
        <f aca="false">IF(Catálogo!$C403="","",Catálogo!$C403&amp;"|"&amp;COUNTIF(Catálogo!$C$4:$C403,Catálogo!$C403))</f>
        <v/>
      </c>
    </row>
    <row r="404" customFormat="false" ht="15" hidden="false" customHeight="true" outlineLevel="0" collapsed="false">
      <c r="A404" s="1" t="str">
        <f aca="false">IF(Catálogo!$C404="","",Catálogo!$C404&amp;"|"&amp;COUNTIF(Catálogo!$C$4:$C404,Catálogo!$C404))</f>
        <v/>
      </c>
    </row>
    <row r="405" customFormat="false" ht="15" hidden="false" customHeight="true" outlineLevel="0" collapsed="false">
      <c r="A405" s="1" t="str">
        <f aca="false">IF(Catálogo!$C405="","",Catálogo!$C405&amp;"|"&amp;COUNTIF(Catálogo!$C$4:$C405,Catálogo!$C405))</f>
        <v/>
      </c>
    </row>
    <row r="406" customFormat="false" ht="15" hidden="false" customHeight="true" outlineLevel="0" collapsed="false">
      <c r="A406" s="1" t="str">
        <f aca="false">IF(Catálogo!$C406="","",Catálogo!$C406&amp;"|"&amp;COUNTIF(Catálogo!$C$4:$C406,Catálogo!$C406))</f>
        <v/>
      </c>
    </row>
    <row r="407" customFormat="false" ht="15" hidden="false" customHeight="true" outlineLevel="0" collapsed="false">
      <c r="A407" s="1" t="str">
        <f aca="false">IF(Catálogo!$C407="","",Catálogo!$C407&amp;"|"&amp;COUNTIF(Catálogo!$C$4:$C407,Catálogo!$C407))</f>
        <v/>
      </c>
    </row>
    <row r="408" customFormat="false" ht="15" hidden="false" customHeight="true" outlineLevel="0" collapsed="false">
      <c r="A408" s="1" t="str">
        <f aca="false">IF(Catálogo!$C408="","",Catálogo!$C408&amp;"|"&amp;COUNTIF(Catálogo!$C$4:$C408,Catálogo!$C408))</f>
        <v/>
      </c>
    </row>
    <row r="409" customFormat="false" ht="15" hidden="false" customHeight="true" outlineLevel="0" collapsed="false">
      <c r="A409" s="1" t="str">
        <f aca="false">IF(Catálogo!$C409="","",Catálogo!$C409&amp;"|"&amp;COUNTIF(Catálogo!$C$4:$C409,Catálogo!$C409))</f>
        <v/>
      </c>
    </row>
    <row r="410" customFormat="false" ht="15" hidden="false" customHeight="true" outlineLevel="0" collapsed="false">
      <c r="A410" s="1" t="str">
        <f aca="false">IF(Catálogo!$C410="","",Catálogo!$C410&amp;"|"&amp;COUNTIF(Catálogo!$C$4:$C410,Catálogo!$C410))</f>
        <v/>
      </c>
    </row>
    <row r="411" customFormat="false" ht="15" hidden="false" customHeight="true" outlineLevel="0" collapsed="false">
      <c r="A411" s="1" t="str">
        <f aca="false">IF(Catálogo!$C411="","",Catálogo!$C411&amp;"|"&amp;COUNTIF(Catálogo!$C$4:$C411,Catálogo!$C411))</f>
        <v/>
      </c>
    </row>
    <row r="412" customFormat="false" ht="15" hidden="false" customHeight="true" outlineLevel="0" collapsed="false">
      <c r="A412" s="1" t="str">
        <f aca="false">IF(Catálogo!$C412="","",Catálogo!$C412&amp;"|"&amp;COUNTIF(Catálogo!$C$4:$C412,Catálogo!$C412))</f>
        <v/>
      </c>
    </row>
    <row r="413" customFormat="false" ht="15" hidden="false" customHeight="true" outlineLevel="0" collapsed="false">
      <c r="A413" s="1" t="str">
        <f aca="false">IF(Catálogo!$C413="","",Catálogo!$C413&amp;"|"&amp;COUNTIF(Catálogo!$C$4:$C413,Catálogo!$C413))</f>
        <v/>
      </c>
    </row>
    <row r="414" customFormat="false" ht="15" hidden="false" customHeight="true" outlineLevel="0" collapsed="false">
      <c r="A414" s="1" t="str">
        <f aca="false">IF(Catálogo!$C414="","",Catálogo!$C414&amp;"|"&amp;COUNTIF(Catálogo!$C$4:$C414,Catálogo!$C414))</f>
        <v/>
      </c>
    </row>
    <row r="415" customFormat="false" ht="15" hidden="false" customHeight="true" outlineLevel="0" collapsed="false">
      <c r="A415" s="1" t="str">
        <f aca="false">IF(Catálogo!$C415="","",Catálogo!$C415&amp;"|"&amp;COUNTIF(Catálogo!$C$4:$C415,Catálogo!$C415))</f>
        <v/>
      </c>
    </row>
    <row r="416" customFormat="false" ht="15" hidden="false" customHeight="true" outlineLevel="0" collapsed="false">
      <c r="A416" s="1" t="str">
        <f aca="false">IF(Catálogo!$C416="","",Catálogo!$C416&amp;"|"&amp;COUNTIF(Catálogo!$C$4:$C416,Catálogo!$C416))</f>
        <v/>
      </c>
    </row>
    <row r="417" customFormat="false" ht="15" hidden="false" customHeight="true" outlineLevel="0" collapsed="false">
      <c r="A417" s="1" t="str">
        <f aca="false">IF(Catálogo!$C417="","",Catálogo!$C417&amp;"|"&amp;COUNTIF(Catálogo!$C$4:$C417,Catálogo!$C417))</f>
        <v/>
      </c>
    </row>
    <row r="418" customFormat="false" ht="15" hidden="false" customHeight="true" outlineLevel="0" collapsed="false">
      <c r="A418" s="1" t="str">
        <f aca="false">IF(Catálogo!$C418="","",Catálogo!$C418&amp;"|"&amp;COUNTIF(Catálogo!$C$4:$C418,Catálogo!$C418))</f>
        <v/>
      </c>
    </row>
    <row r="419" customFormat="false" ht="15" hidden="false" customHeight="true" outlineLevel="0" collapsed="false">
      <c r="A419" s="1" t="str">
        <f aca="false">IF(Catálogo!$C419="","",Catálogo!$C419&amp;"|"&amp;COUNTIF(Catálogo!$C$4:$C419,Catálogo!$C419))</f>
        <v/>
      </c>
    </row>
    <row r="420" customFormat="false" ht="15" hidden="false" customHeight="true" outlineLevel="0" collapsed="false">
      <c r="A420" s="1" t="str">
        <f aca="false">IF(Catálogo!$C420="","",Catálogo!$C420&amp;"|"&amp;COUNTIF(Catálogo!$C$4:$C420,Catálogo!$C420))</f>
        <v/>
      </c>
    </row>
    <row r="421" customFormat="false" ht="15" hidden="false" customHeight="true" outlineLevel="0" collapsed="false">
      <c r="A421" s="1" t="str">
        <f aca="false">IF(Catálogo!$C421="","",Catálogo!$C421&amp;"|"&amp;COUNTIF(Catálogo!$C$4:$C421,Catálogo!$C421))</f>
        <v/>
      </c>
    </row>
    <row r="422" customFormat="false" ht="15" hidden="false" customHeight="true" outlineLevel="0" collapsed="false">
      <c r="A422" s="1" t="str">
        <f aca="false">IF(Catálogo!$C422="","",Catálogo!$C422&amp;"|"&amp;COUNTIF(Catálogo!$C$4:$C422,Catálogo!$C422))</f>
        <v/>
      </c>
    </row>
    <row r="423" customFormat="false" ht="15" hidden="false" customHeight="true" outlineLevel="0" collapsed="false">
      <c r="A423" s="1" t="str">
        <f aca="false">IF(Catálogo!$C423="","",Catálogo!$C423&amp;"|"&amp;COUNTIF(Catálogo!$C$4:$C423,Catálogo!$C423))</f>
        <v/>
      </c>
    </row>
    <row r="424" customFormat="false" ht="15" hidden="false" customHeight="true" outlineLevel="0" collapsed="false">
      <c r="A424" s="1" t="str">
        <f aca="false">IF(Catálogo!$C424="","",Catálogo!$C424&amp;"|"&amp;COUNTIF(Catálogo!$C$4:$C424,Catálogo!$C424))</f>
        <v/>
      </c>
    </row>
    <row r="425" customFormat="false" ht="15" hidden="false" customHeight="true" outlineLevel="0" collapsed="false">
      <c r="A425" s="1" t="str">
        <f aca="false">IF(Catálogo!$C425="","",Catálogo!$C425&amp;"|"&amp;COUNTIF(Catálogo!$C$4:$C425,Catálogo!$C425))</f>
        <v/>
      </c>
    </row>
    <row r="426" customFormat="false" ht="15" hidden="false" customHeight="true" outlineLevel="0" collapsed="false">
      <c r="A426" s="1" t="str">
        <f aca="false">IF(Catálogo!$C426="","",Catálogo!$C426&amp;"|"&amp;COUNTIF(Catálogo!$C$4:$C426,Catálogo!$C426))</f>
        <v/>
      </c>
    </row>
    <row r="427" customFormat="false" ht="15" hidden="false" customHeight="true" outlineLevel="0" collapsed="false">
      <c r="A427" s="1" t="str">
        <f aca="false">IF(Catálogo!$C427="","",Catálogo!$C427&amp;"|"&amp;COUNTIF(Catálogo!$C$4:$C427,Catálogo!$C427))</f>
        <v/>
      </c>
    </row>
    <row r="428" customFormat="false" ht="15" hidden="false" customHeight="true" outlineLevel="0" collapsed="false">
      <c r="A428" s="1" t="str">
        <f aca="false">IF(Catálogo!$C428="","",Catálogo!$C428&amp;"|"&amp;COUNTIF(Catálogo!$C$4:$C428,Catálogo!$C428))</f>
        <v/>
      </c>
    </row>
    <row r="429" customFormat="false" ht="15" hidden="false" customHeight="true" outlineLevel="0" collapsed="false">
      <c r="A429" s="1" t="str">
        <f aca="false">IF(Catálogo!$C429="","",Catálogo!$C429&amp;"|"&amp;COUNTIF(Catálogo!$C$4:$C429,Catálogo!$C429))</f>
        <v/>
      </c>
    </row>
    <row r="430" customFormat="false" ht="15" hidden="false" customHeight="true" outlineLevel="0" collapsed="false">
      <c r="A430" s="1" t="str">
        <f aca="false">IF(Catálogo!$C430="","",Catálogo!$C430&amp;"|"&amp;COUNTIF(Catálogo!$C$4:$C430,Catálogo!$C430))</f>
        <v/>
      </c>
    </row>
    <row r="431" customFormat="false" ht="15" hidden="false" customHeight="true" outlineLevel="0" collapsed="false">
      <c r="A431" s="1" t="str">
        <f aca="false">IF(Catálogo!$C431="","",Catálogo!$C431&amp;"|"&amp;COUNTIF(Catálogo!$C$4:$C431,Catálogo!$C431))</f>
        <v/>
      </c>
    </row>
    <row r="432" customFormat="false" ht="15" hidden="false" customHeight="true" outlineLevel="0" collapsed="false">
      <c r="A432" s="1" t="str">
        <f aca="false">IF(Catálogo!$C432="","",Catálogo!$C432&amp;"|"&amp;COUNTIF(Catálogo!$C$4:$C432,Catálogo!$C432))</f>
        <v/>
      </c>
    </row>
    <row r="433" customFormat="false" ht="15" hidden="false" customHeight="true" outlineLevel="0" collapsed="false">
      <c r="A433" s="1" t="str">
        <f aca="false">IF(Catálogo!$C433="","",Catálogo!$C433&amp;"|"&amp;COUNTIF(Catálogo!$C$4:$C433,Catálogo!$C433))</f>
        <v/>
      </c>
    </row>
    <row r="434" customFormat="false" ht="15" hidden="false" customHeight="true" outlineLevel="0" collapsed="false">
      <c r="A434" s="1" t="str">
        <f aca="false">IF(Catálogo!$C434="","",Catálogo!$C434&amp;"|"&amp;COUNTIF(Catálogo!$C$4:$C434,Catálogo!$C434))</f>
        <v/>
      </c>
    </row>
    <row r="435" customFormat="false" ht="15" hidden="false" customHeight="true" outlineLevel="0" collapsed="false">
      <c r="A435" s="1" t="str">
        <f aca="false">IF(Catálogo!$C435="","",Catálogo!$C435&amp;"|"&amp;COUNTIF(Catálogo!$C$4:$C435,Catálogo!$C435))</f>
        <v/>
      </c>
    </row>
    <row r="436" customFormat="false" ht="15" hidden="false" customHeight="true" outlineLevel="0" collapsed="false">
      <c r="A436" s="1" t="str">
        <f aca="false">IF(Catálogo!$C436="","",Catálogo!$C436&amp;"|"&amp;COUNTIF(Catálogo!$C$4:$C436,Catálogo!$C436))</f>
        <v/>
      </c>
    </row>
    <row r="437" customFormat="false" ht="15" hidden="false" customHeight="true" outlineLevel="0" collapsed="false">
      <c r="A437" s="1" t="str">
        <f aca="false">IF(Catálogo!$C437="","",Catálogo!$C437&amp;"|"&amp;COUNTIF(Catálogo!$C$4:$C437,Catálogo!$C437))</f>
        <v/>
      </c>
    </row>
    <row r="438" customFormat="false" ht="15" hidden="false" customHeight="true" outlineLevel="0" collapsed="false">
      <c r="A438" s="1" t="str">
        <f aca="false">IF(Catálogo!$C438="","",Catálogo!$C438&amp;"|"&amp;COUNTIF(Catálogo!$C$4:$C438,Catálogo!$C438))</f>
        <v/>
      </c>
    </row>
    <row r="439" customFormat="false" ht="15" hidden="false" customHeight="true" outlineLevel="0" collapsed="false">
      <c r="A439" s="1" t="str">
        <f aca="false">IF(Catálogo!$C439="","",Catálogo!$C439&amp;"|"&amp;COUNTIF(Catálogo!$C$4:$C439,Catálogo!$C439))</f>
        <v/>
      </c>
    </row>
    <row r="440" customFormat="false" ht="15" hidden="false" customHeight="true" outlineLevel="0" collapsed="false">
      <c r="A440" s="1" t="str">
        <f aca="false">IF(Catálogo!$C440="","",Catálogo!$C440&amp;"|"&amp;COUNTIF(Catálogo!$C$4:$C440,Catálogo!$C440))</f>
        <v/>
      </c>
    </row>
    <row r="441" customFormat="false" ht="15" hidden="false" customHeight="true" outlineLevel="0" collapsed="false">
      <c r="A441" s="1" t="str">
        <f aca="false">IF(Catálogo!$C441="","",Catálogo!$C441&amp;"|"&amp;COUNTIF(Catálogo!$C$4:$C441,Catálogo!$C441))</f>
        <v/>
      </c>
    </row>
    <row r="442" customFormat="false" ht="15" hidden="false" customHeight="true" outlineLevel="0" collapsed="false">
      <c r="A442" s="1" t="str">
        <f aca="false">IF(Catálogo!$C442="","",Catálogo!$C442&amp;"|"&amp;COUNTIF(Catálogo!$C$4:$C442,Catálogo!$C442))</f>
        <v/>
      </c>
    </row>
    <row r="443" customFormat="false" ht="15" hidden="false" customHeight="true" outlineLevel="0" collapsed="false">
      <c r="A443" s="1" t="str">
        <f aca="false">IF(Catálogo!$C443="","",Catálogo!$C443&amp;"|"&amp;COUNTIF(Catálogo!$C$4:$C443,Catálogo!$C443))</f>
        <v/>
      </c>
    </row>
    <row r="444" customFormat="false" ht="15" hidden="false" customHeight="true" outlineLevel="0" collapsed="false">
      <c r="A444" s="1" t="str">
        <f aca="false">IF(Catálogo!$C444="","",Catálogo!$C444&amp;"|"&amp;COUNTIF(Catálogo!$C$4:$C444,Catálogo!$C444))</f>
        <v/>
      </c>
    </row>
    <row r="445" customFormat="false" ht="15" hidden="false" customHeight="true" outlineLevel="0" collapsed="false">
      <c r="A445" s="1" t="str">
        <f aca="false">IF(Catálogo!$C445="","",Catálogo!$C445&amp;"|"&amp;COUNTIF(Catálogo!$C$4:$C445,Catálogo!$C445))</f>
        <v/>
      </c>
    </row>
    <row r="446" customFormat="false" ht="15" hidden="false" customHeight="true" outlineLevel="0" collapsed="false">
      <c r="A446" s="1" t="str">
        <f aca="false">IF(Catálogo!$C446="","",Catálogo!$C446&amp;"|"&amp;COUNTIF(Catálogo!$C$4:$C446,Catálogo!$C446))</f>
        <v/>
      </c>
    </row>
    <row r="447" customFormat="false" ht="15" hidden="false" customHeight="true" outlineLevel="0" collapsed="false">
      <c r="A447" s="1" t="str">
        <f aca="false">IF(Catálogo!$C447="","",Catálogo!$C447&amp;"|"&amp;COUNTIF(Catálogo!$C$4:$C447,Catálogo!$C447))</f>
        <v/>
      </c>
    </row>
    <row r="448" customFormat="false" ht="15" hidden="false" customHeight="true" outlineLevel="0" collapsed="false">
      <c r="A448" s="1" t="str">
        <f aca="false">IF(Catálogo!$C448="","",Catálogo!$C448&amp;"|"&amp;COUNTIF(Catálogo!$C$4:$C448,Catálogo!$C448))</f>
        <v/>
      </c>
    </row>
    <row r="449" customFormat="false" ht="15" hidden="false" customHeight="true" outlineLevel="0" collapsed="false">
      <c r="A449" s="1" t="str">
        <f aca="false">IF(Catálogo!$C449="","",Catálogo!$C449&amp;"|"&amp;COUNTIF(Catálogo!$C$4:$C449,Catálogo!$C449))</f>
        <v/>
      </c>
    </row>
    <row r="450" customFormat="false" ht="15" hidden="false" customHeight="true" outlineLevel="0" collapsed="false">
      <c r="A450" s="1" t="str">
        <f aca="false">IF(Catálogo!$C450="","",Catálogo!$C450&amp;"|"&amp;COUNTIF(Catálogo!$C$4:$C450,Catálogo!$C450))</f>
        <v/>
      </c>
    </row>
    <row r="451" customFormat="false" ht="15" hidden="false" customHeight="true" outlineLevel="0" collapsed="false">
      <c r="A451" s="1" t="str">
        <f aca="false">IF(Catálogo!$C451="","",Catálogo!$C451&amp;"|"&amp;COUNTIF(Catálogo!$C$4:$C451,Catálogo!$C451))</f>
        <v/>
      </c>
    </row>
    <row r="452" customFormat="false" ht="15" hidden="false" customHeight="true" outlineLevel="0" collapsed="false">
      <c r="A452" s="1" t="str">
        <f aca="false">IF(Catálogo!$C452="","",Catálogo!$C452&amp;"|"&amp;COUNTIF(Catálogo!$C$4:$C452,Catálogo!$C452))</f>
        <v/>
      </c>
    </row>
    <row r="453" customFormat="false" ht="15" hidden="false" customHeight="true" outlineLevel="0" collapsed="false">
      <c r="A453" s="1" t="str">
        <f aca="false">IF(Catálogo!$C453="","",Catálogo!$C453&amp;"|"&amp;COUNTIF(Catálogo!$C$4:$C453,Catálogo!$C453))</f>
        <v/>
      </c>
    </row>
    <row r="454" customFormat="false" ht="15" hidden="false" customHeight="true" outlineLevel="0" collapsed="false">
      <c r="A454" s="1" t="str">
        <f aca="false">IF(Catálogo!$C454="","",Catálogo!$C454&amp;"|"&amp;COUNTIF(Catálogo!$C$4:$C454,Catálogo!$C454))</f>
        <v/>
      </c>
    </row>
    <row r="455" customFormat="false" ht="15" hidden="false" customHeight="true" outlineLevel="0" collapsed="false">
      <c r="A455" s="1" t="str">
        <f aca="false">IF(Catálogo!$C455="","",Catálogo!$C455&amp;"|"&amp;COUNTIF(Catálogo!$C$4:$C455,Catálogo!$C455))</f>
        <v/>
      </c>
    </row>
    <row r="456" customFormat="false" ht="15" hidden="false" customHeight="true" outlineLevel="0" collapsed="false">
      <c r="A456" s="1" t="str">
        <f aca="false">IF(Catálogo!$C456="","",Catálogo!$C456&amp;"|"&amp;COUNTIF(Catálogo!$C$4:$C456,Catálogo!$C456))</f>
        <v/>
      </c>
    </row>
    <row r="457" customFormat="false" ht="15" hidden="false" customHeight="true" outlineLevel="0" collapsed="false">
      <c r="A457" s="1" t="str">
        <f aca="false">IF(Catálogo!$C457="","",Catálogo!$C457&amp;"|"&amp;COUNTIF(Catálogo!$C$4:$C457,Catálogo!$C457))</f>
        <v/>
      </c>
    </row>
    <row r="458" customFormat="false" ht="15" hidden="false" customHeight="true" outlineLevel="0" collapsed="false">
      <c r="A458" s="1" t="str">
        <f aca="false">IF(Catálogo!$C458="","",Catálogo!$C458&amp;"|"&amp;COUNTIF(Catálogo!$C$4:$C458,Catálogo!$C458))</f>
        <v/>
      </c>
    </row>
    <row r="459" customFormat="false" ht="15" hidden="false" customHeight="true" outlineLevel="0" collapsed="false">
      <c r="A459" s="1" t="str">
        <f aca="false">IF(Catálogo!$C459="","",Catálogo!$C459&amp;"|"&amp;COUNTIF(Catálogo!$C$4:$C459,Catálogo!$C459))</f>
        <v/>
      </c>
    </row>
    <row r="460" customFormat="false" ht="15" hidden="false" customHeight="true" outlineLevel="0" collapsed="false">
      <c r="A460" s="1" t="str">
        <f aca="false">IF(Catálogo!$C460="","",Catálogo!$C460&amp;"|"&amp;COUNTIF(Catálogo!$C$4:$C460,Catálogo!$C460))</f>
        <v/>
      </c>
    </row>
    <row r="461" customFormat="false" ht="15" hidden="false" customHeight="true" outlineLevel="0" collapsed="false">
      <c r="A461" s="1" t="str">
        <f aca="false">IF(Catálogo!$C461="","",Catálogo!$C461&amp;"|"&amp;COUNTIF(Catálogo!$C$4:$C461,Catálogo!$C461))</f>
        <v/>
      </c>
    </row>
    <row r="462" customFormat="false" ht="15" hidden="false" customHeight="true" outlineLevel="0" collapsed="false">
      <c r="A462" s="1" t="str">
        <f aca="false">IF(Catálogo!$C462="","",Catálogo!$C462&amp;"|"&amp;COUNTIF(Catálogo!$C$4:$C462,Catálogo!$C462))</f>
        <v/>
      </c>
    </row>
    <row r="463" customFormat="false" ht="15" hidden="false" customHeight="true" outlineLevel="0" collapsed="false">
      <c r="A463" s="1" t="str">
        <f aca="false">IF(Catálogo!$C463="","",Catálogo!$C463&amp;"|"&amp;COUNTIF(Catálogo!$C$4:$C463,Catálogo!$C463))</f>
        <v/>
      </c>
    </row>
    <row r="464" customFormat="false" ht="15" hidden="false" customHeight="true" outlineLevel="0" collapsed="false">
      <c r="A464" s="1" t="str">
        <f aca="false">IF(Catálogo!$C464="","",Catálogo!$C464&amp;"|"&amp;COUNTIF(Catálogo!$C$4:$C464,Catálogo!$C464))</f>
        <v/>
      </c>
    </row>
    <row r="465" customFormat="false" ht="15" hidden="false" customHeight="true" outlineLevel="0" collapsed="false">
      <c r="A465" s="1" t="str">
        <f aca="false">IF(Catálogo!$C465="","",Catálogo!$C465&amp;"|"&amp;COUNTIF(Catálogo!$C$4:$C465,Catálogo!$C465))</f>
        <v/>
      </c>
    </row>
    <row r="466" customFormat="false" ht="15" hidden="false" customHeight="true" outlineLevel="0" collapsed="false">
      <c r="A466" s="1" t="str">
        <f aca="false">IF(Catálogo!$C466="","",Catálogo!$C466&amp;"|"&amp;COUNTIF(Catálogo!$C$4:$C466,Catálogo!$C466))</f>
        <v/>
      </c>
    </row>
    <row r="467" customFormat="false" ht="15" hidden="false" customHeight="true" outlineLevel="0" collapsed="false">
      <c r="A467" s="1" t="str">
        <f aca="false">IF(Catálogo!$C467="","",Catálogo!$C467&amp;"|"&amp;COUNTIF(Catálogo!$C$4:$C467,Catálogo!$C467))</f>
        <v/>
      </c>
    </row>
    <row r="468" customFormat="false" ht="15" hidden="false" customHeight="true" outlineLevel="0" collapsed="false">
      <c r="A468" s="1" t="str">
        <f aca="false">IF(Catálogo!$C468="","",Catálogo!$C468&amp;"|"&amp;COUNTIF(Catálogo!$C$4:$C468,Catálogo!$C468))</f>
        <v/>
      </c>
    </row>
    <row r="469" customFormat="false" ht="15" hidden="false" customHeight="true" outlineLevel="0" collapsed="false">
      <c r="A469" s="1" t="str">
        <f aca="false">IF(Catálogo!$C469="","",Catálogo!$C469&amp;"|"&amp;COUNTIF(Catálogo!$C$4:$C469,Catálogo!$C469))</f>
        <v/>
      </c>
    </row>
    <row r="470" customFormat="false" ht="15" hidden="false" customHeight="true" outlineLevel="0" collapsed="false">
      <c r="A470" s="1" t="str">
        <f aca="false">IF(Catálogo!$C470="","",Catálogo!$C470&amp;"|"&amp;COUNTIF(Catálogo!$C$4:$C470,Catálogo!$C470))</f>
        <v/>
      </c>
    </row>
    <row r="471" customFormat="false" ht="15" hidden="false" customHeight="true" outlineLevel="0" collapsed="false">
      <c r="A471" s="1" t="str">
        <f aca="false">IF(Catálogo!$C471="","",Catálogo!$C471&amp;"|"&amp;COUNTIF(Catálogo!$C$4:$C471,Catálogo!$C471))</f>
        <v/>
      </c>
    </row>
    <row r="472" customFormat="false" ht="15" hidden="false" customHeight="true" outlineLevel="0" collapsed="false">
      <c r="A472" s="1" t="str">
        <f aca="false">IF(Catálogo!$C472="","",Catálogo!$C472&amp;"|"&amp;COUNTIF(Catálogo!$C$4:$C472,Catálogo!$C472))</f>
        <v/>
      </c>
    </row>
    <row r="473" customFormat="false" ht="15" hidden="false" customHeight="true" outlineLevel="0" collapsed="false">
      <c r="A473" s="1" t="str">
        <f aca="false">IF(Catálogo!$C473="","",Catálogo!$C473&amp;"|"&amp;COUNTIF(Catálogo!$C$4:$C473,Catálogo!$C473))</f>
        <v/>
      </c>
    </row>
    <row r="474" customFormat="false" ht="15" hidden="false" customHeight="true" outlineLevel="0" collapsed="false">
      <c r="A474" s="1" t="str">
        <f aca="false">IF(Catálogo!$C474="","",Catálogo!$C474&amp;"|"&amp;COUNTIF(Catálogo!$C$4:$C474,Catálogo!$C474))</f>
        <v/>
      </c>
    </row>
    <row r="475" customFormat="false" ht="15" hidden="false" customHeight="true" outlineLevel="0" collapsed="false">
      <c r="A475" s="1" t="str">
        <f aca="false">IF(Catálogo!$C475="","",Catálogo!$C475&amp;"|"&amp;COUNTIF(Catálogo!$C$4:$C475,Catálogo!$C475))</f>
        <v/>
      </c>
    </row>
    <row r="476" customFormat="false" ht="15" hidden="false" customHeight="true" outlineLevel="0" collapsed="false">
      <c r="A476" s="1" t="str">
        <f aca="false">IF(Catálogo!$C476="","",Catálogo!$C476&amp;"|"&amp;COUNTIF(Catálogo!$C$4:$C476,Catálogo!$C476))</f>
        <v/>
      </c>
    </row>
    <row r="477" customFormat="false" ht="15" hidden="false" customHeight="true" outlineLevel="0" collapsed="false">
      <c r="A477" s="1" t="str">
        <f aca="false">IF(Catálogo!$C477="","",Catálogo!$C477&amp;"|"&amp;COUNTIF(Catálogo!$C$4:$C477,Catálogo!$C477))</f>
        <v/>
      </c>
    </row>
    <row r="478" customFormat="false" ht="15" hidden="false" customHeight="true" outlineLevel="0" collapsed="false">
      <c r="A478" s="1" t="str">
        <f aca="false">IF(Catálogo!$C478="","",Catálogo!$C478&amp;"|"&amp;COUNTIF(Catálogo!$C$4:$C478,Catálogo!$C478))</f>
        <v/>
      </c>
    </row>
    <row r="479" customFormat="false" ht="15" hidden="false" customHeight="true" outlineLevel="0" collapsed="false">
      <c r="A479" s="1" t="str">
        <f aca="false">IF(Catálogo!$C479="","",Catálogo!$C479&amp;"|"&amp;COUNTIF(Catálogo!$C$4:$C479,Catálogo!$C479))</f>
        <v/>
      </c>
    </row>
    <row r="480" customFormat="false" ht="15" hidden="false" customHeight="true" outlineLevel="0" collapsed="false">
      <c r="A480" s="1" t="str">
        <f aca="false">IF(Catálogo!$C480="","",Catálogo!$C480&amp;"|"&amp;COUNTIF(Catálogo!$C$4:$C480,Catálogo!$C480))</f>
        <v/>
      </c>
    </row>
    <row r="481" customFormat="false" ht="15" hidden="false" customHeight="true" outlineLevel="0" collapsed="false">
      <c r="A481" s="1" t="str">
        <f aca="false">IF(Catálogo!$C481="","",Catálogo!$C481&amp;"|"&amp;COUNTIF(Catálogo!$C$4:$C481,Catálogo!$C481))</f>
        <v/>
      </c>
    </row>
    <row r="482" customFormat="false" ht="15" hidden="false" customHeight="true" outlineLevel="0" collapsed="false">
      <c r="A482" s="1" t="str">
        <f aca="false">IF(Catálogo!$C482="","",Catálogo!$C482&amp;"|"&amp;COUNTIF(Catálogo!$C$4:$C482,Catálogo!$C482))</f>
        <v/>
      </c>
    </row>
    <row r="483" customFormat="false" ht="15" hidden="false" customHeight="true" outlineLevel="0" collapsed="false">
      <c r="A483" s="1" t="str">
        <f aca="false">IF(Catálogo!$C483="","",Catálogo!$C483&amp;"|"&amp;COUNTIF(Catálogo!$C$4:$C483,Catálogo!$C483))</f>
        <v/>
      </c>
    </row>
    <row r="484" customFormat="false" ht="15" hidden="false" customHeight="true" outlineLevel="0" collapsed="false">
      <c r="A484" s="1" t="str">
        <f aca="false">IF(Catálogo!$C484="","",Catálogo!$C484&amp;"|"&amp;COUNTIF(Catálogo!$C$4:$C484,Catálogo!$C484))</f>
        <v/>
      </c>
    </row>
    <row r="485" customFormat="false" ht="15" hidden="false" customHeight="true" outlineLevel="0" collapsed="false">
      <c r="A485" s="1" t="str">
        <f aca="false">IF(Catálogo!$C485="","",Catálogo!$C485&amp;"|"&amp;COUNTIF(Catálogo!$C$4:$C485,Catálogo!$C485))</f>
        <v/>
      </c>
    </row>
    <row r="486" customFormat="false" ht="15" hidden="false" customHeight="true" outlineLevel="0" collapsed="false">
      <c r="A486" s="1" t="str">
        <f aca="false">IF(Catálogo!$C486="","",Catálogo!$C486&amp;"|"&amp;COUNTIF(Catálogo!$C$4:$C486,Catálogo!$C486))</f>
        <v/>
      </c>
    </row>
    <row r="487" customFormat="false" ht="15" hidden="false" customHeight="true" outlineLevel="0" collapsed="false">
      <c r="A487" s="1" t="str">
        <f aca="false">IF(Catálogo!$C487="","",Catálogo!$C487&amp;"|"&amp;COUNTIF(Catálogo!$C$4:$C487,Catálogo!$C487))</f>
        <v/>
      </c>
    </row>
    <row r="488" customFormat="false" ht="15" hidden="false" customHeight="true" outlineLevel="0" collapsed="false">
      <c r="A488" s="1" t="str">
        <f aca="false">IF(Catálogo!$C488="","",Catálogo!$C488&amp;"|"&amp;COUNTIF(Catálogo!$C$4:$C488,Catálogo!$C488))</f>
        <v/>
      </c>
    </row>
    <row r="489" customFormat="false" ht="15" hidden="false" customHeight="true" outlineLevel="0" collapsed="false">
      <c r="A489" s="1" t="str">
        <f aca="false">IF(Catálogo!$C489="","",Catálogo!$C489&amp;"|"&amp;COUNTIF(Catálogo!$C$4:$C489,Catálogo!$C489))</f>
        <v/>
      </c>
    </row>
    <row r="490" customFormat="false" ht="15" hidden="false" customHeight="true" outlineLevel="0" collapsed="false">
      <c r="A490" s="1" t="str">
        <f aca="false">IF(Catálogo!$C490="","",Catálogo!$C490&amp;"|"&amp;COUNTIF(Catálogo!$C$4:$C490,Catálogo!$C490))</f>
        <v/>
      </c>
    </row>
    <row r="491" customFormat="false" ht="15" hidden="false" customHeight="true" outlineLevel="0" collapsed="false">
      <c r="A491" s="1" t="str">
        <f aca="false">IF(Catálogo!$C491="","",Catálogo!$C491&amp;"|"&amp;COUNTIF(Catálogo!$C$4:$C491,Catálogo!$C491))</f>
        <v/>
      </c>
    </row>
    <row r="492" customFormat="false" ht="15" hidden="false" customHeight="true" outlineLevel="0" collapsed="false">
      <c r="A492" s="1" t="str">
        <f aca="false">IF(Catálogo!$C492="","",Catálogo!$C492&amp;"|"&amp;COUNTIF(Catálogo!$C$4:$C492,Catálogo!$C492))</f>
        <v/>
      </c>
    </row>
    <row r="493" customFormat="false" ht="15" hidden="false" customHeight="true" outlineLevel="0" collapsed="false">
      <c r="A493" s="1" t="str">
        <f aca="false">IF(Catálogo!$C493="","",Catálogo!$C493&amp;"|"&amp;COUNTIF(Catálogo!$C$4:$C493,Catálogo!$C493))</f>
        <v/>
      </c>
    </row>
    <row r="494" customFormat="false" ht="15" hidden="false" customHeight="true" outlineLevel="0" collapsed="false">
      <c r="A494" s="1" t="str">
        <f aca="false">IF(Catálogo!$C494="","",Catálogo!$C494&amp;"|"&amp;COUNTIF(Catálogo!$C$4:$C494,Catálogo!$C494))</f>
        <v/>
      </c>
    </row>
    <row r="495" customFormat="false" ht="15" hidden="false" customHeight="true" outlineLevel="0" collapsed="false">
      <c r="A495" s="1" t="str">
        <f aca="false">IF(Catálogo!$C495="","",Catálogo!$C495&amp;"|"&amp;COUNTIF(Catálogo!$C$4:$C495,Catálogo!$C495))</f>
        <v/>
      </c>
    </row>
    <row r="496" customFormat="false" ht="15" hidden="false" customHeight="true" outlineLevel="0" collapsed="false">
      <c r="A496" s="1" t="str">
        <f aca="false">IF(Catálogo!$C496="","",Catálogo!$C496&amp;"|"&amp;COUNTIF(Catálogo!$C$4:$C496,Catálogo!$C496))</f>
        <v/>
      </c>
    </row>
    <row r="497" customFormat="false" ht="15" hidden="false" customHeight="true" outlineLevel="0" collapsed="false">
      <c r="A497" s="1" t="str">
        <f aca="false">IF(Catálogo!$C497="","",Catálogo!$C497&amp;"|"&amp;COUNTIF(Catálogo!$C$4:$C497,Catálogo!$C497))</f>
        <v/>
      </c>
    </row>
    <row r="498" customFormat="false" ht="15" hidden="false" customHeight="true" outlineLevel="0" collapsed="false">
      <c r="A498" s="1" t="str">
        <f aca="false">IF(Catálogo!$C498="","",Catálogo!$C498&amp;"|"&amp;COUNTIF(Catálogo!$C$4:$C498,Catálogo!$C498))</f>
        <v/>
      </c>
    </row>
    <row r="499" customFormat="false" ht="15" hidden="false" customHeight="true" outlineLevel="0" collapsed="false">
      <c r="A499" s="1" t="str">
        <f aca="false">IF(Catálogo!$C499="","",Catálogo!$C499&amp;"|"&amp;COUNTIF(Catálogo!$C$4:$C499,Catálogo!$C499))</f>
        <v/>
      </c>
    </row>
    <row r="500" customFormat="false" ht="15" hidden="false" customHeight="true" outlineLevel="0" collapsed="false">
      <c r="A500" s="1" t="str">
        <f aca="false">IF(Catálogo!$C500="","",Catálogo!$C500&amp;"|"&amp;COUNTIF(Catálogo!$C$4:$C500,Catálogo!$C500))</f>
        <v/>
      </c>
    </row>
    <row r="501" customFormat="false" ht="15" hidden="false" customHeight="true" outlineLevel="0" collapsed="false">
      <c r="A501" s="1" t="str">
        <f aca="false">IF(Catálogo!$C501="","",Catálogo!$C501&amp;"|"&amp;COUNTIF(Catálogo!$C$4:$C501,Catálogo!$C501))</f>
        <v/>
      </c>
    </row>
    <row r="502" customFormat="false" ht="15" hidden="false" customHeight="true" outlineLevel="0" collapsed="false">
      <c r="A502" s="1" t="str">
        <f aca="false">IF(Catálogo!$C502="","",Catálogo!$C502&amp;"|"&amp;COUNTIF(Catálogo!$C$4:$C502,Catálogo!$C502))</f>
        <v/>
      </c>
    </row>
    <row r="503" customFormat="false" ht="15" hidden="false" customHeight="true" outlineLevel="0" collapsed="false">
      <c r="A503" s="1" t="str">
        <f aca="false">IF(Catálogo!$C503="","",Catálogo!$C503&amp;"|"&amp;COUNTIF(Catálogo!$C$4:$C503,Catálogo!$C503))</f>
        <v/>
      </c>
    </row>
    <row r="504" customFormat="false" ht="15" hidden="false" customHeight="true" outlineLevel="0" collapsed="false">
      <c r="A504" s="1" t="str">
        <f aca="false">IF(Catálogo!$C504="","",Catálogo!$C504&amp;"|"&amp;COUNTIF(Catálogo!$C$4:$C504,Catálogo!$C504))</f>
        <v/>
      </c>
    </row>
    <row r="505" customFormat="false" ht="15" hidden="false" customHeight="true" outlineLevel="0" collapsed="false">
      <c r="A505" s="1" t="str">
        <f aca="false">IF(Catálogo!$C505="","",Catálogo!$C505&amp;"|"&amp;COUNTIF(Catálogo!$C$4:$C505,Catálogo!$C505))</f>
        <v/>
      </c>
    </row>
    <row r="506" customFormat="false" ht="15" hidden="false" customHeight="true" outlineLevel="0" collapsed="false">
      <c r="A506" s="1" t="str">
        <f aca="false">IF(Catálogo!$C506="","",Catálogo!$C506&amp;"|"&amp;COUNTIF(Catálogo!$C$4:$C506,Catálogo!$C506))</f>
        <v/>
      </c>
    </row>
    <row r="507" customFormat="false" ht="15" hidden="false" customHeight="true" outlineLevel="0" collapsed="false">
      <c r="A507" s="1" t="str">
        <f aca="false">IF(Catálogo!$C507="","",Catálogo!$C507&amp;"|"&amp;COUNTIF(Catálogo!$C$4:$C507,Catálogo!$C507))</f>
        <v/>
      </c>
    </row>
    <row r="508" customFormat="false" ht="15" hidden="false" customHeight="true" outlineLevel="0" collapsed="false">
      <c r="A508" s="1" t="str">
        <f aca="false">IF(Catálogo!$C508="","",Catálogo!$C508&amp;"|"&amp;COUNTIF(Catálogo!$C$4:$C508,Catálogo!$C508))</f>
        <v/>
      </c>
    </row>
    <row r="509" customFormat="false" ht="15" hidden="false" customHeight="true" outlineLevel="0" collapsed="false">
      <c r="A509" s="1" t="str">
        <f aca="false">IF(Catálogo!$C509="","",Catálogo!$C509&amp;"|"&amp;COUNTIF(Catálogo!$C$4:$C509,Catálogo!$C509))</f>
        <v/>
      </c>
    </row>
    <row r="510" customFormat="false" ht="15" hidden="false" customHeight="true" outlineLevel="0" collapsed="false">
      <c r="A510" s="1" t="str">
        <f aca="false">IF(Catálogo!$C510="","",Catálogo!$C510&amp;"|"&amp;COUNTIF(Catálogo!$C$4:$C510,Catálogo!$C510))</f>
        <v/>
      </c>
    </row>
    <row r="511" customFormat="false" ht="15" hidden="false" customHeight="true" outlineLevel="0" collapsed="false">
      <c r="A511" s="1" t="str">
        <f aca="false">IF(Catálogo!$C511="","",Catálogo!$C511&amp;"|"&amp;COUNTIF(Catálogo!$C$4:$C511,Catálogo!$C511))</f>
        <v/>
      </c>
    </row>
    <row r="512" customFormat="false" ht="15" hidden="false" customHeight="true" outlineLevel="0" collapsed="false">
      <c r="A512" s="1" t="str">
        <f aca="false">IF(Catálogo!$C512="","",Catálogo!$C512&amp;"|"&amp;COUNTIF(Catálogo!$C$4:$C512,Catálogo!$C512))</f>
        <v/>
      </c>
    </row>
    <row r="513" customFormat="false" ht="15" hidden="false" customHeight="true" outlineLevel="0" collapsed="false">
      <c r="A513" s="1" t="str">
        <f aca="false">IF(Catálogo!$C513="","",Catálogo!$C513&amp;"|"&amp;COUNTIF(Catálogo!$C$4:$C513,Catálogo!$C513))</f>
        <v/>
      </c>
    </row>
    <row r="514" customFormat="false" ht="15" hidden="false" customHeight="true" outlineLevel="0" collapsed="false">
      <c r="A514" s="1" t="str">
        <f aca="false">IF(Catálogo!$C514="","",Catálogo!$C514&amp;"|"&amp;COUNTIF(Catálogo!$C$4:$C514,Catálogo!$C514))</f>
        <v/>
      </c>
    </row>
    <row r="515" customFormat="false" ht="15" hidden="false" customHeight="true" outlineLevel="0" collapsed="false">
      <c r="A515" s="1" t="str">
        <f aca="false">IF(Catálogo!$C515="","",Catálogo!$C515&amp;"|"&amp;COUNTIF(Catálogo!$C$4:$C515,Catálogo!$C515))</f>
        <v/>
      </c>
    </row>
    <row r="516" customFormat="false" ht="15" hidden="false" customHeight="true" outlineLevel="0" collapsed="false">
      <c r="A516" s="1" t="str">
        <f aca="false">IF(Catálogo!$C516="","",Catálogo!$C516&amp;"|"&amp;COUNTIF(Catálogo!$C$4:$C516,Catálogo!$C516))</f>
        <v/>
      </c>
    </row>
    <row r="517" customFormat="false" ht="15" hidden="false" customHeight="true" outlineLevel="0" collapsed="false">
      <c r="A517" s="1" t="str">
        <f aca="false">IF(Catálogo!$C517="","",Catálogo!$C517&amp;"|"&amp;COUNTIF(Catálogo!$C$4:$C517,Catálogo!$C517))</f>
        <v/>
      </c>
    </row>
    <row r="518" customFormat="false" ht="15" hidden="false" customHeight="true" outlineLevel="0" collapsed="false">
      <c r="A518" s="1" t="str">
        <f aca="false">IF(Catálogo!$C518="","",Catálogo!$C518&amp;"|"&amp;COUNTIF(Catálogo!$C$4:$C518,Catálogo!$C518))</f>
        <v/>
      </c>
    </row>
    <row r="519" customFormat="false" ht="15" hidden="false" customHeight="true" outlineLevel="0" collapsed="false">
      <c r="A519" s="1" t="str">
        <f aca="false">IF(Catálogo!$C519="","",Catálogo!$C519&amp;"|"&amp;COUNTIF(Catálogo!$C$4:$C519,Catálogo!$C519))</f>
        <v/>
      </c>
    </row>
    <row r="520" customFormat="false" ht="15" hidden="false" customHeight="true" outlineLevel="0" collapsed="false">
      <c r="A520" s="1" t="str">
        <f aca="false">IF(Catálogo!$C520="","",Catálogo!$C520&amp;"|"&amp;COUNTIF(Catálogo!$C$4:$C520,Catálogo!$C520))</f>
        <v/>
      </c>
    </row>
    <row r="521" customFormat="false" ht="15" hidden="false" customHeight="true" outlineLevel="0" collapsed="false">
      <c r="A521" s="1" t="str">
        <f aca="false">IF(Catálogo!$C521="","",Catálogo!$C521&amp;"|"&amp;COUNTIF(Catálogo!$C$4:$C521,Catálogo!$C521))</f>
        <v/>
      </c>
    </row>
    <row r="522" customFormat="false" ht="15" hidden="false" customHeight="true" outlineLevel="0" collapsed="false">
      <c r="A522" s="1" t="str">
        <f aca="false">IF(Catálogo!$C522="","",Catálogo!$C522&amp;"|"&amp;COUNTIF(Catálogo!$C$4:$C522,Catálogo!$C522))</f>
        <v/>
      </c>
    </row>
    <row r="523" customFormat="false" ht="15" hidden="false" customHeight="true" outlineLevel="0" collapsed="false">
      <c r="A523" s="1" t="str">
        <f aca="false">IF(Catálogo!$C523="","",Catálogo!$C523&amp;"|"&amp;COUNTIF(Catálogo!$C$4:$C523,Catálogo!$C523))</f>
        <v/>
      </c>
    </row>
    <row r="524" customFormat="false" ht="15" hidden="false" customHeight="true" outlineLevel="0" collapsed="false">
      <c r="A524" s="1" t="str">
        <f aca="false">IF(Catálogo!$C524="","",Catálogo!$C524&amp;"|"&amp;COUNTIF(Catálogo!$C$4:$C524,Catálogo!$C524))</f>
        <v/>
      </c>
    </row>
    <row r="525" customFormat="false" ht="15" hidden="false" customHeight="true" outlineLevel="0" collapsed="false">
      <c r="A525" s="1" t="str">
        <f aca="false">IF(Catálogo!$C525="","",Catálogo!$C525&amp;"|"&amp;COUNTIF(Catálogo!$C$4:$C525,Catálogo!$C525))</f>
        <v/>
      </c>
    </row>
    <row r="526" customFormat="false" ht="15" hidden="false" customHeight="true" outlineLevel="0" collapsed="false">
      <c r="A526" s="1" t="str">
        <f aca="false">IF(Catálogo!$C526="","",Catálogo!$C526&amp;"|"&amp;COUNTIF(Catálogo!$C$4:$C526,Catálogo!$C526))</f>
        <v/>
      </c>
    </row>
    <row r="527" customFormat="false" ht="15" hidden="false" customHeight="true" outlineLevel="0" collapsed="false">
      <c r="A527" s="1" t="str">
        <f aca="false">IF(Catálogo!$C527="","",Catálogo!$C527&amp;"|"&amp;COUNTIF(Catálogo!$C$4:$C527,Catálogo!$C527))</f>
        <v/>
      </c>
    </row>
    <row r="528" customFormat="false" ht="15" hidden="false" customHeight="true" outlineLevel="0" collapsed="false">
      <c r="A528" s="1" t="str">
        <f aca="false">IF(Catálogo!$C528="","",Catálogo!$C528&amp;"|"&amp;COUNTIF(Catálogo!$C$4:$C528,Catálogo!$C528))</f>
        <v/>
      </c>
    </row>
    <row r="529" customFormat="false" ht="15" hidden="false" customHeight="true" outlineLevel="0" collapsed="false">
      <c r="A529" s="1" t="str">
        <f aca="false">IF(Catálogo!$C529="","",Catálogo!$C529&amp;"|"&amp;COUNTIF(Catálogo!$C$4:$C529,Catálogo!$C529))</f>
        <v/>
      </c>
    </row>
    <row r="530" customFormat="false" ht="15" hidden="false" customHeight="true" outlineLevel="0" collapsed="false">
      <c r="A530" s="1" t="str">
        <f aca="false">IF(Catálogo!$C530="","",Catálogo!$C530&amp;"|"&amp;COUNTIF(Catálogo!$C$4:$C530,Catálogo!$C530))</f>
        <v/>
      </c>
    </row>
    <row r="531" customFormat="false" ht="15" hidden="false" customHeight="true" outlineLevel="0" collapsed="false">
      <c r="A531" s="1" t="str">
        <f aca="false">IF(Catálogo!$C531="","",Catálogo!$C531&amp;"|"&amp;COUNTIF(Catálogo!$C$4:$C531,Catálogo!$C531))</f>
        <v/>
      </c>
    </row>
    <row r="532" customFormat="false" ht="15" hidden="false" customHeight="true" outlineLevel="0" collapsed="false">
      <c r="A532" s="1" t="str">
        <f aca="false">IF(Catálogo!$C532="","",Catálogo!$C532&amp;"|"&amp;COUNTIF(Catálogo!$C$4:$C532,Catálogo!$C532))</f>
        <v/>
      </c>
    </row>
    <row r="533" customFormat="false" ht="15" hidden="false" customHeight="true" outlineLevel="0" collapsed="false">
      <c r="A533" s="1" t="str">
        <f aca="false">IF(Catálogo!$C533="","",Catálogo!$C533&amp;"|"&amp;COUNTIF(Catálogo!$C$4:$C533,Catálogo!$C533))</f>
        <v/>
      </c>
    </row>
    <row r="534" customFormat="false" ht="15" hidden="false" customHeight="true" outlineLevel="0" collapsed="false">
      <c r="A534" s="1" t="str">
        <f aca="false">IF(Catálogo!$C534="","",Catálogo!$C534&amp;"|"&amp;COUNTIF(Catálogo!$C$4:$C534,Catálogo!$C534))</f>
        <v/>
      </c>
    </row>
    <row r="535" customFormat="false" ht="15" hidden="false" customHeight="true" outlineLevel="0" collapsed="false">
      <c r="A535" s="1" t="str">
        <f aca="false">IF(Catálogo!$C535="","",Catálogo!$C535&amp;"|"&amp;COUNTIF(Catálogo!$C$4:$C535,Catálogo!$C535))</f>
        <v/>
      </c>
    </row>
    <row r="536" customFormat="false" ht="15" hidden="false" customHeight="true" outlineLevel="0" collapsed="false">
      <c r="A536" s="1" t="str">
        <f aca="false">IF(Catálogo!$C536="","",Catálogo!$C536&amp;"|"&amp;COUNTIF(Catálogo!$C$4:$C536,Catálogo!$C536))</f>
        <v/>
      </c>
    </row>
    <row r="537" customFormat="false" ht="15" hidden="false" customHeight="true" outlineLevel="0" collapsed="false">
      <c r="A537" s="1" t="str">
        <f aca="false">IF(Catálogo!$C537="","",Catálogo!$C537&amp;"|"&amp;COUNTIF(Catálogo!$C$4:$C537,Catálogo!$C537))</f>
        <v/>
      </c>
    </row>
    <row r="538" customFormat="false" ht="15" hidden="false" customHeight="true" outlineLevel="0" collapsed="false">
      <c r="A538" s="1" t="str">
        <f aca="false">IF(Catálogo!$C538="","",Catálogo!$C538&amp;"|"&amp;COUNTIF(Catálogo!$C$4:$C538,Catálogo!$C538))</f>
        <v/>
      </c>
    </row>
    <row r="539" customFormat="false" ht="15" hidden="false" customHeight="true" outlineLevel="0" collapsed="false">
      <c r="A539" s="1" t="str">
        <f aca="false">IF(Catálogo!$C539="","",Catálogo!$C539&amp;"|"&amp;COUNTIF(Catálogo!$C$4:$C539,Catálogo!$C539))</f>
        <v/>
      </c>
    </row>
    <row r="540" customFormat="false" ht="15" hidden="false" customHeight="true" outlineLevel="0" collapsed="false">
      <c r="A540" s="1" t="str">
        <f aca="false">IF(Catálogo!$C540="","",Catálogo!$C540&amp;"|"&amp;COUNTIF(Catálogo!$C$4:$C540,Catálogo!$C540))</f>
        <v/>
      </c>
    </row>
    <row r="541" customFormat="false" ht="15" hidden="false" customHeight="true" outlineLevel="0" collapsed="false">
      <c r="A541" s="1" t="str">
        <f aca="false">IF(Catálogo!$C541="","",Catálogo!$C541&amp;"|"&amp;COUNTIF(Catálogo!$C$4:$C541,Catálogo!$C541))</f>
        <v/>
      </c>
    </row>
    <row r="542" customFormat="false" ht="15" hidden="false" customHeight="true" outlineLevel="0" collapsed="false">
      <c r="A542" s="1" t="str">
        <f aca="false">IF(Catálogo!$C542="","",Catálogo!$C542&amp;"|"&amp;COUNTIF(Catálogo!$C$4:$C542,Catálogo!$C542))</f>
        <v/>
      </c>
    </row>
    <row r="543" customFormat="false" ht="15" hidden="false" customHeight="true" outlineLevel="0" collapsed="false">
      <c r="A543" s="1" t="str">
        <f aca="false">IF(Catálogo!$C543="","",Catálogo!$C543&amp;"|"&amp;COUNTIF(Catálogo!$C$4:$C543,Catálogo!$C543))</f>
        <v/>
      </c>
    </row>
    <row r="544" customFormat="false" ht="15" hidden="false" customHeight="true" outlineLevel="0" collapsed="false">
      <c r="A544" s="1" t="str">
        <f aca="false">IF(Catálogo!$C544="","",Catálogo!$C544&amp;"|"&amp;COUNTIF(Catálogo!$C$4:$C544,Catálogo!$C544))</f>
        <v/>
      </c>
    </row>
    <row r="545" customFormat="false" ht="15" hidden="false" customHeight="true" outlineLevel="0" collapsed="false">
      <c r="A545" s="1" t="str">
        <f aca="false">IF(Catálogo!$C545="","",Catálogo!$C545&amp;"|"&amp;COUNTIF(Catálogo!$C$4:$C545,Catálogo!$C545))</f>
        <v/>
      </c>
    </row>
    <row r="546" customFormat="false" ht="15" hidden="false" customHeight="true" outlineLevel="0" collapsed="false">
      <c r="A546" s="1" t="str">
        <f aca="false">IF(Catálogo!$C546="","",Catálogo!$C546&amp;"|"&amp;COUNTIF(Catálogo!$C$4:$C546,Catálogo!$C546))</f>
        <v/>
      </c>
    </row>
    <row r="547" customFormat="false" ht="15" hidden="false" customHeight="true" outlineLevel="0" collapsed="false">
      <c r="A547" s="1" t="str">
        <f aca="false">IF(Catálogo!$C547="","",Catálogo!$C547&amp;"|"&amp;COUNTIF(Catálogo!$C$4:$C547,Catálogo!$C547))</f>
        <v/>
      </c>
    </row>
    <row r="548" customFormat="false" ht="15" hidden="false" customHeight="true" outlineLevel="0" collapsed="false">
      <c r="A548" s="1" t="str">
        <f aca="false">IF(Catálogo!$C548="","",Catálogo!$C548&amp;"|"&amp;COUNTIF(Catálogo!$C$4:$C548,Catálogo!$C548))</f>
        <v/>
      </c>
    </row>
    <row r="549" customFormat="false" ht="15" hidden="false" customHeight="true" outlineLevel="0" collapsed="false">
      <c r="A549" s="1" t="str">
        <f aca="false">IF(Catálogo!$C549="","",Catálogo!$C549&amp;"|"&amp;COUNTIF(Catálogo!$C$4:$C549,Catálogo!$C549))</f>
        <v/>
      </c>
    </row>
    <row r="550" customFormat="false" ht="15" hidden="false" customHeight="true" outlineLevel="0" collapsed="false">
      <c r="A550" s="1" t="str">
        <f aca="false">IF(Catálogo!$C550="","",Catálogo!$C550&amp;"|"&amp;COUNTIF(Catálogo!$C$4:$C550,Catálogo!$C550))</f>
        <v/>
      </c>
    </row>
    <row r="551" customFormat="false" ht="15" hidden="false" customHeight="true" outlineLevel="0" collapsed="false">
      <c r="A551" s="1" t="str">
        <f aca="false">IF(Catálogo!$C551="","",Catálogo!$C551&amp;"|"&amp;COUNTIF(Catálogo!$C$4:$C551,Catálogo!$C551))</f>
        <v/>
      </c>
    </row>
    <row r="552" customFormat="false" ht="15" hidden="false" customHeight="true" outlineLevel="0" collapsed="false">
      <c r="A552" s="1" t="str">
        <f aca="false">IF(Catálogo!$C552="","",Catálogo!$C552&amp;"|"&amp;COUNTIF(Catálogo!$C$4:$C552,Catálogo!$C552))</f>
        <v/>
      </c>
    </row>
    <row r="553" customFormat="false" ht="15" hidden="false" customHeight="true" outlineLevel="0" collapsed="false">
      <c r="A553" s="1" t="str">
        <f aca="false">IF(Catálogo!$C553="","",Catálogo!$C553&amp;"|"&amp;COUNTIF(Catálogo!$C$4:$C553,Catálogo!$C553))</f>
        <v/>
      </c>
    </row>
    <row r="554" customFormat="false" ht="15" hidden="false" customHeight="true" outlineLevel="0" collapsed="false">
      <c r="A554" s="1" t="str">
        <f aca="false">IF(Catálogo!$C554="","",Catálogo!$C554&amp;"|"&amp;COUNTIF(Catálogo!$C$4:$C554,Catálogo!$C554))</f>
        <v/>
      </c>
    </row>
    <row r="555" customFormat="false" ht="15" hidden="false" customHeight="true" outlineLevel="0" collapsed="false">
      <c r="A555" s="1" t="str">
        <f aca="false">IF(Catálogo!$C555="","",Catálogo!$C555&amp;"|"&amp;COUNTIF(Catálogo!$C$4:$C555,Catálogo!$C555))</f>
        <v/>
      </c>
    </row>
    <row r="556" customFormat="false" ht="15" hidden="false" customHeight="true" outlineLevel="0" collapsed="false">
      <c r="A556" s="1" t="str">
        <f aca="false">IF(Catálogo!$C556="","",Catálogo!$C556&amp;"|"&amp;COUNTIF(Catálogo!$C$4:$C556,Catálogo!$C556))</f>
        <v/>
      </c>
    </row>
    <row r="557" customFormat="false" ht="15" hidden="false" customHeight="true" outlineLevel="0" collapsed="false">
      <c r="A557" s="1" t="str">
        <f aca="false">IF(Catálogo!$C557="","",Catálogo!$C557&amp;"|"&amp;COUNTIF(Catálogo!$C$4:$C557,Catálogo!$C557))</f>
        <v/>
      </c>
    </row>
    <row r="558" customFormat="false" ht="15" hidden="false" customHeight="true" outlineLevel="0" collapsed="false">
      <c r="A558" s="1" t="str">
        <f aca="false">IF(Catálogo!$C558="","",Catálogo!$C558&amp;"|"&amp;COUNTIF(Catálogo!$C$4:$C558,Catálogo!$C558))</f>
        <v/>
      </c>
    </row>
    <row r="559" customFormat="false" ht="15" hidden="false" customHeight="true" outlineLevel="0" collapsed="false">
      <c r="A559" s="1" t="str">
        <f aca="false">IF(Catálogo!$C559="","",Catálogo!$C559&amp;"|"&amp;COUNTIF(Catálogo!$C$4:$C559,Catálogo!$C559))</f>
        <v/>
      </c>
    </row>
    <row r="560" customFormat="false" ht="15" hidden="false" customHeight="true" outlineLevel="0" collapsed="false">
      <c r="A560" s="1" t="str">
        <f aca="false">IF(Catálogo!$C560="","",Catálogo!$C560&amp;"|"&amp;COUNTIF(Catálogo!$C$4:$C560,Catálogo!$C560))</f>
        <v/>
      </c>
    </row>
    <row r="561" customFormat="false" ht="15" hidden="false" customHeight="true" outlineLevel="0" collapsed="false">
      <c r="A561" s="1" t="str">
        <f aca="false">IF(Catálogo!$C561="","",Catálogo!$C561&amp;"|"&amp;COUNTIF(Catálogo!$C$4:$C561,Catálogo!$C561))</f>
        <v/>
      </c>
    </row>
    <row r="562" customFormat="false" ht="15" hidden="false" customHeight="true" outlineLevel="0" collapsed="false">
      <c r="A562" s="1" t="str">
        <f aca="false">IF(Catálogo!$C562="","",Catálogo!$C562&amp;"|"&amp;COUNTIF(Catálogo!$C$4:$C562,Catálogo!$C562))</f>
        <v/>
      </c>
    </row>
    <row r="563" customFormat="false" ht="15" hidden="false" customHeight="true" outlineLevel="0" collapsed="false">
      <c r="A563" s="1" t="str">
        <f aca="false">IF(Catálogo!$C563="","",Catálogo!$C563&amp;"|"&amp;COUNTIF(Catálogo!$C$4:$C563,Catálogo!$C563))</f>
        <v/>
      </c>
    </row>
    <row r="564" customFormat="false" ht="15" hidden="false" customHeight="true" outlineLevel="0" collapsed="false">
      <c r="A564" s="1" t="str">
        <f aca="false">IF(Catálogo!$C564="","",Catálogo!$C564&amp;"|"&amp;COUNTIF(Catálogo!$C$4:$C564,Catálogo!$C564))</f>
        <v/>
      </c>
    </row>
    <row r="565" customFormat="false" ht="15" hidden="false" customHeight="true" outlineLevel="0" collapsed="false">
      <c r="A565" s="1" t="str">
        <f aca="false">IF(Catálogo!$C565="","",Catálogo!$C565&amp;"|"&amp;COUNTIF(Catálogo!$C$4:$C565,Catálogo!$C565))</f>
        <v/>
      </c>
    </row>
    <row r="566" customFormat="false" ht="15" hidden="false" customHeight="true" outlineLevel="0" collapsed="false">
      <c r="A566" s="1" t="str">
        <f aca="false">IF(Catálogo!$C566="","",Catálogo!$C566&amp;"|"&amp;COUNTIF(Catálogo!$C$4:$C566,Catálogo!$C566))</f>
        <v/>
      </c>
    </row>
    <row r="567" customFormat="false" ht="15" hidden="false" customHeight="true" outlineLevel="0" collapsed="false">
      <c r="A567" s="1" t="str">
        <f aca="false">IF(Catálogo!$C567="","",Catálogo!$C567&amp;"|"&amp;COUNTIF(Catálogo!$C$4:$C567,Catálogo!$C567))</f>
        <v/>
      </c>
    </row>
    <row r="568" customFormat="false" ht="15" hidden="false" customHeight="true" outlineLevel="0" collapsed="false">
      <c r="A568" s="1" t="str">
        <f aca="false">IF(Catálogo!$C568="","",Catálogo!$C568&amp;"|"&amp;COUNTIF(Catálogo!$C$4:$C568,Catálogo!$C568))</f>
        <v/>
      </c>
    </row>
    <row r="569" customFormat="false" ht="15" hidden="false" customHeight="true" outlineLevel="0" collapsed="false">
      <c r="A569" s="1" t="str">
        <f aca="false">IF(Catálogo!$C569="","",Catálogo!$C569&amp;"|"&amp;COUNTIF(Catálogo!$C$4:$C569,Catálogo!$C569))</f>
        <v/>
      </c>
    </row>
    <row r="570" customFormat="false" ht="15" hidden="false" customHeight="true" outlineLevel="0" collapsed="false">
      <c r="A570" s="1" t="str">
        <f aca="false">IF(Catálogo!$C570="","",Catálogo!$C570&amp;"|"&amp;COUNTIF(Catálogo!$C$4:$C570,Catálogo!$C570))</f>
        <v/>
      </c>
    </row>
    <row r="571" customFormat="false" ht="15" hidden="false" customHeight="true" outlineLevel="0" collapsed="false">
      <c r="A571" s="1" t="str">
        <f aca="false">IF(Catálogo!$C571="","",Catálogo!$C571&amp;"|"&amp;COUNTIF(Catálogo!$C$4:$C571,Catálogo!$C571))</f>
        <v/>
      </c>
    </row>
    <row r="572" customFormat="false" ht="15" hidden="false" customHeight="true" outlineLevel="0" collapsed="false">
      <c r="A572" s="1" t="str">
        <f aca="false">IF(Catálogo!$C572="","",Catálogo!$C572&amp;"|"&amp;COUNTIF(Catálogo!$C$4:$C572,Catálogo!$C572))</f>
        <v/>
      </c>
    </row>
    <row r="573" customFormat="false" ht="15" hidden="false" customHeight="true" outlineLevel="0" collapsed="false">
      <c r="A573" s="1" t="str">
        <f aca="false">IF(Catálogo!$C573="","",Catálogo!$C573&amp;"|"&amp;COUNTIF(Catálogo!$C$4:$C573,Catálogo!$C573))</f>
        <v/>
      </c>
    </row>
    <row r="574" customFormat="false" ht="15" hidden="false" customHeight="true" outlineLevel="0" collapsed="false">
      <c r="A574" s="1" t="str">
        <f aca="false">IF(Catálogo!$C574="","",Catálogo!$C574&amp;"|"&amp;COUNTIF(Catálogo!$C$4:$C574,Catálogo!$C574))</f>
        <v/>
      </c>
    </row>
    <row r="575" customFormat="false" ht="15" hidden="false" customHeight="true" outlineLevel="0" collapsed="false">
      <c r="A575" s="1" t="str">
        <f aca="false">IF(Catálogo!$C575="","",Catálogo!$C575&amp;"|"&amp;COUNTIF(Catálogo!$C$4:$C575,Catálogo!$C575))</f>
        <v/>
      </c>
    </row>
    <row r="576" customFormat="false" ht="15" hidden="false" customHeight="true" outlineLevel="0" collapsed="false">
      <c r="A576" s="1" t="str">
        <f aca="false">IF(Catálogo!$C576="","",Catálogo!$C576&amp;"|"&amp;COUNTIF(Catálogo!$C$4:$C576,Catálogo!$C576))</f>
        <v/>
      </c>
    </row>
    <row r="577" customFormat="false" ht="15" hidden="false" customHeight="true" outlineLevel="0" collapsed="false">
      <c r="A577" s="1" t="str">
        <f aca="false">IF(Catálogo!$C577="","",Catálogo!$C577&amp;"|"&amp;COUNTIF(Catálogo!$C$4:$C577,Catálogo!$C577))</f>
        <v/>
      </c>
    </row>
    <row r="578" customFormat="false" ht="15" hidden="false" customHeight="true" outlineLevel="0" collapsed="false">
      <c r="A578" s="1" t="str">
        <f aca="false">IF(Catálogo!$C578="","",Catálogo!$C578&amp;"|"&amp;COUNTIF(Catálogo!$C$4:$C578,Catálogo!$C578))</f>
        <v/>
      </c>
    </row>
    <row r="579" customFormat="false" ht="15" hidden="false" customHeight="true" outlineLevel="0" collapsed="false">
      <c r="A579" s="1" t="str">
        <f aca="false">IF(Catálogo!$C579="","",Catálogo!$C579&amp;"|"&amp;COUNTIF(Catálogo!$C$4:$C579,Catálogo!$C579))</f>
        <v/>
      </c>
    </row>
    <row r="580" customFormat="false" ht="15" hidden="false" customHeight="true" outlineLevel="0" collapsed="false">
      <c r="A580" s="1" t="str">
        <f aca="false">IF(Catálogo!$C580="","",Catálogo!$C580&amp;"|"&amp;COUNTIF(Catálogo!$C$4:$C580,Catálogo!$C580))</f>
        <v/>
      </c>
    </row>
    <row r="581" customFormat="false" ht="15" hidden="false" customHeight="true" outlineLevel="0" collapsed="false">
      <c r="A581" s="1" t="str">
        <f aca="false">IF(Catálogo!$C581="","",Catálogo!$C581&amp;"|"&amp;COUNTIF(Catálogo!$C$4:$C581,Catálogo!$C581))</f>
        <v/>
      </c>
    </row>
    <row r="582" customFormat="false" ht="15" hidden="false" customHeight="true" outlineLevel="0" collapsed="false">
      <c r="A582" s="1" t="str">
        <f aca="false">IF(Catálogo!$C582="","",Catálogo!$C582&amp;"|"&amp;COUNTIF(Catálogo!$C$4:$C582,Catálogo!$C582))</f>
        <v/>
      </c>
    </row>
    <row r="583" customFormat="false" ht="15" hidden="false" customHeight="true" outlineLevel="0" collapsed="false">
      <c r="A583" s="1" t="str">
        <f aca="false">IF(Catálogo!$C583="","",Catálogo!$C583&amp;"|"&amp;COUNTIF(Catálogo!$C$4:$C583,Catálogo!$C583))</f>
        <v/>
      </c>
    </row>
    <row r="584" customFormat="false" ht="15" hidden="false" customHeight="true" outlineLevel="0" collapsed="false">
      <c r="A584" s="1" t="str">
        <f aca="false">IF(Catálogo!$C584="","",Catálogo!$C584&amp;"|"&amp;COUNTIF(Catálogo!$C$4:$C584,Catálogo!$C584))</f>
        <v/>
      </c>
    </row>
    <row r="585" customFormat="false" ht="15" hidden="false" customHeight="true" outlineLevel="0" collapsed="false">
      <c r="A585" s="1" t="str">
        <f aca="false">IF(Catálogo!$C585="","",Catálogo!$C585&amp;"|"&amp;COUNTIF(Catálogo!$C$4:$C585,Catálogo!$C585))</f>
        <v/>
      </c>
    </row>
    <row r="586" customFormat="false" ht="15" hidden="false" customHeight="true" outlineLevel="0" collapsed="false">
      <c r="A586" s="1" t="str">
        <f aca="false">IF(Catálogo!$C586="","",Catálogo!$C586&amp;"|"&amp;COUNTIF(Catálogo!$C$4:$C586,Catálogo!$C586))</f>
        <v/>
      </c>
    </row>
    <row r="587" customFormat="false" ht="15" hidden="false" customHeight="true" outlineLevel="0" collapsed="false">
      <c r="A587" s="1" t="str">
        <f aca="false">IF(Catálogo!$C587="","",Catálogo!$C587&amp;"|"&amp;COUNTIF(Catálogo!$C$4:$C587,Catálogo!$C587))</f>
        <v/>
      </c>
    </row>
    <row r="588" customFormat="false" ht="15" hidden="false" customHeight="true" outlineLevel="0" collapsed="false">
      <c r="A588" s="1" t="str">
        <f aca="false">IF(Catálogo!$C588="","",Catálogo!$C588&amp;"|"&amp;COUNTIF(Catálogo!$C$4:$C588,Catálogo!$C588))</f>
        <v/>
      </c>
    </row>
    <row r="589" customFormat="false" ht="15" hidden="false" customHeight="true" outlineLevel="0" collapsed="false">
      <c r="A589" s="1" t="str">
        <f aca="false">IF(Catálogo!$C589="","",Catálogo!$C589&amp;"|"&amp;COUNTIF(Catálogo!$C$4:$C589,Catálogo!$C589))</f>
        <v/>
      </c>
    </row>
    <row r="590" customFormat="false" ht="15" hidden="false" customHeight="true" outlineLevel="0" collapsed="false">
      <c r="A590" s="1" t="str">
        <f aca="false">IF(Catálogo!$C590="","",Catálogo!$C590&amp;"|"&amp;COUNTIF(Catálogo!$C$4:$C590,Catálogo!$C590))</f>
        <v/>
      </c>
    </row>
    <row r="591" customFormat="false" ht="15" hidden="false" customHeight="true" outlineLevel="0" collapsed="false">
      <c r="A591" s="1" t="str">
        <f aca="false">IF(Catálogo!$C591="","",Catálogo!$C591&amp;"|"&amp;COUNTIF(Catálogo!$C$4:$C591,Catálogo!$C591))</f>
        <v/>
      </c>
    </row>
    <row r="592" customFormat="false" ht="15" hidden="false" customHeight="true" outlineLevel="0" collapsed="false">
      <c r="A592" s="1" t="str">
        <f aca="false">IF(Catálogo!$C592="","",Catálogo!$C592&amp;"|"&amp;COUNTIF(Catálogo!$C$4:$C592,Catálogo!$C592))</f>
        <v/>
      </c>
    </row>
    <row r="593" customFormat="false" ht="15" hidden="false" customHeight="true" outlineLevel="0" collapsed="false">
      <c r="A593" s="1" t="str">
        <f aca="false">IF(Catálogo!$C593="","",Catálogo!$C593&amp;"|"&amp;COUNTIF(Catálogo!$C$4:$C593,Catálogo!$C593))</f>
        <v/>
      </c>
    </row>
    <row r="594" customFormat="false" ht="15" hidden="false" customHeight="true" outlineLevel="0" collapsed="false">
      <c r="A594" s="1" t="str">
        <f aca="false">IF(Catálogo!$C594="","",Catálogo!$C594&amp;"|"&amp;COUNTIF(Catálogo!$C$4:$C594,Catálogo!$C594))</f>
        <v/>
      </c>
    </row>
    <row r="595" customFormat="false" ht="15" hidden="false" customHeight="true" outlineLevel="0" collapsed="false">
      <c r="A595" s="1" t="str">
        <f aca="false">IF(Catálogo!$C595="","",Catálogo!$C595&amp;"|"&amp;COUNTIF(Catálogo!$C$4:$C595,Catálogo!$C595))</f>
        <v/>
      </c>
    </row>
    <row r="596" customFormat="false" ht="15" hidden="false" customHeight="true" outlineLevel="0" collapsed="false">
      <c r="A596" s="1" t="str">
        <f aca="false">IF(Catálogo!$C596="","",Catálogo!$C596&amp;"|"&amp;COUNTIF(Catálogo!$C$4:$C596,Catálogo!$C596))</f>
        <v/>
      </c>
    </row>
    <row r="597" customFormat="false" ht="15" hidden="false" customHeight="true" outlineLevel="0" collapsed="false">
      <c r="A597" s="1" t="str">
        <f aca="false">IF(Catálogo!$C597="","",Catálogo!$C597&amp;"|"&amp;COUNTIF(Catálogo!$C$4:$C597,Catálogo!$C597))</f>
        <v/>
      </c>
    </row>
    <row r="598" customFormat="false" ht="15" hidden="false" customHeight="true" outlineLevel="0" collapsed="false">
      <c r="A598" s="1" t="str">
        <f aca="false">IF(Catálogo!$C598="","",Catálogo!$C598&amp;"|"&amp;COUNTIF(Catálogo!$C$4:$C598,Catálogo!$C598))</f>
        <v/>
      </c>
    </row>
    <row r="599" customFormat="false" ht="15" hidden="false" customHeight="true" outlineLevel="0" collapsed="false">
      <c r="A599" s="1" t="str">
        <f aca="false">IF(Catálogo!$C599="","",Catálogo!$C599&amp;"|"&amp;COUNTIF(Catálogo!$C$4:$C599,Catálogo!$C599))</f>
        <v/>
      </c>
    </row>
    <row r="600" customFormat="false" ht="15" hidden="false" customHeight="true" outlineLevel="0" collapsed="false">
      <c r="A600" s="1" t="str">
        <f aca="false">IF(Catálogo!$C600="","",Catálogo!$C600&amp;"|"&amp;COUNTIF(Catálogo!$C$4:$C600,Catálogo!$C600))</f>
        <v/>
      </c>
    </row>
    <row r="601" customFormat="false" ht="15" hidden="false" customHeight="true" outlineLevel="0" collapsed="false">
      <c r="A601" s="1" t="str">
        <f aca="false">IF(Catálogo!$C601="","",Catálogo!$C601&amp;"|"&amp;COUNTIF(Catálogo!$C$4:$C601,Catálogo!$C601))</f>
        <v/>
      </c>
    </row>
    <row r="602" customFormat="false" ht="15" hidden="false" customHeight="true" outlineLevel="0" collapsed="false">
      <c r="A602" s="1" t="str">
        <f aca="false">IF(Catálogo!$C602="","",Catálogo!$C602&amp;"|"&amp;COUNTIF(Catálogo!$C$4:$C602,Catálogo!$C602))</f>
        <v/>
      </c>
    </row>
    <row r="603" customFormat="false" ht="15" hidden="false" customHeight="true" outlineLevel="0" collapsed="false">
      <c r="A603" s="1" t="str">
        <f aca="false">IF(Catálogo!$C603="","",Catálogo!$C603&amp;"|"&amp;COUNTIF(Catálogo!$C$4:$C603,Catálogo!$C603))</f>
        <v/>
      </c>
    </row>
    <row r="604" customFormat="false" ht="15" hidden="false" customHeight="true" outlineLevel="0" collapsed="false">
      <c r="A604" s="1" t="str">
        <f aca="false">IF(Catálogo!$C604="","",Catálogo!$C604&amp;"|"&amp;COUNTIF(Catálogo!$C$4:$C604,Catálogo!$C604))</f>
        <v/>
      </c>
    </row>
    <row r="605" customFormat="false" ht="15" hidden="false" customHeight="true" outlineLevel="0" collapsed="false">
      <c r="A605" s="1" t="str">
        <f aca="false">IF(Catálogo!$C605="","",Catálogo!$C605&amp;"|"&amp;COUNTIF(Catálogo!$C$4:$C605,Catálogo!$C605))</f>
        <v/>
      </c>
    </row>
    <row r="606" customFormat="false" ht="15" hidden="false" customHeight="true" outlineLevel="0" collapsed="false">
      <c r="A606" s="1" t="str">
        <f aca="false">IF(Catálogo!$C606="","",Catálogo!$C606&amp;"|"&amp;COUNTIF(Catálogo!$C$4:$C606,Catálogo!$C606))</f>
        <v/>
      </c>
    </row>
    <row r="607" customFormat="false" ht="15" hidden="false" customHeight="true" outlineLevel="0" collapsed="false">
      <c r="A607" s="1" t="str">
        <f aca="false">IF(Catálogo!$C607="","",Catálogo!$C607&amp;"|"&amp;COUNTIF(Catálogo!$C$4:$C607,Catálogo!$C607))</f>
        <v/>
      </c>
    </row>
    <row r="608" customFormat="false" ht="15" hidden="false" customHeight="true" outlineLevel="0" collapsed="false">
      <c r="A608" s="1" t="str">
        <f aca="false">IF(Catálogo!$C608="","",Catálogo!$C608&amp;"|"&amp;COUNTIF(Catálogo!$C$4:$C608,Catálogo!$C608))</f>
        <v/>
      </c>
    </row>
    <row r="609" customFormat="false" ht="15" hidden="false" customHeight="true" outlineLevel="0" collapsed="false">
      <c r="A609" s="1" t="str">
        <f aca="false">IF(Catálogo!$C609="","",Catálogo!$C609&amp;"|"&amp;COUNTIF(Catálogo!$C$4:$C609,Catálogo!$C609))</f>
        <v/>
      </c>
    </row>
    <row r="610" customFormat="false" ht="15" hidden="false" customHeight="true" outlineLevel="0" collapsed="false">
      <c r="A610" s="1" t="str">
        <f aca="false">IF(Catálogo!$C610="","",Catálogo!$C610&amp;"|"&amp;COUNTIF(Catálogo!$C$4:$C610,Catálogo!$C610))</f>
        <v/>
      </c>
    </row>
    <row r="611" customFormat="false" ht="15" hidden="false" customHeight="true" outlineLevel="0" collapsed="false">
      <c r="A611" s="1" t="str">
        <f aca="false">IF(Catálogo!$C611="","",Catálogo!$C611&amp;"|"&amp;COUNTIF(Catálogo!$C$4:$C611,Catálogo!$C611))</f>
        <v/>
      </c>
    </row>
    <row r="612" customFormat="false" ht="15" hidden="false" customHeight="true" outlineLevel="0" collapsed="false">
      <c r="A612" s="1" t="str">
        <f aca="false">IF(Catálogo!$C612="","",Catálogo!$C612&amp;"|"&amp;COUNTIF(Catálogo!$C$4:$C612,Catálogo!$C612))</f>
        <v/>
      </c>
    </row>
    <row r="613" customFormat="false" ht="15" hidden="false" customHeight="true" outlineLevel="0" collapsed="false">
      <c r="A613" s="1" t="str">
        <f aca="false">IF(Catálogo!$C613="","",Catálogo!$C613&amp;"|"&amp;COUNTIF(Catálogo!$C$4:$C613,Catálogo!$C613))</f>
        <v/>
      </c>
    </row>
    <row r="614" customFormat="false" ht="15" hidden="false" customHeight="true" outlineLevel="0" collapsed="false">
      <c r="A614" s="1" t="str">
        <f aca="false">IF(Catálogo!$C614="","",Catálogo!$C614&amp;"|"&amp;COUNTIF(Catálogo!$C$4:$C614,Catálogo!$C614))</f>
        <v/>
      </c>
    </row>
    <row r="615" customFormat="false" ht="15" hidden="false" customHeight="true" outlineLevel="0" collapsed="false">
      <c r="A615" s="1" t="str">
        <f aca="false">IF(Catálogo!$C615="","",Catálogo!$C615&amp;"|"&amp;COUNTIF(Catálogo!$C$4:$C615,Catálogo!$C615))</f>
        <v/>
      </c>
    </row>
    <row r="616" customFormat="false" ht="15" hidden="false" customHeight="true" outlineLevel="0" collapsed="false">
      <c r="A616" s="1" t="str">
        <f aca="false">IF(Catálogo!$C616="","",Catálogo!$C616&amp;"|"&amp;COUNTIF(Catálogo!$C$4:$C616,Catálogo!$C616))</f>
        <v/>
      </c>
    </row>
    <row r="617" customFormat="false" ht="15" hidden="false" customHeight="true" outlineLevel="0" collapsed="false">
      <c r="A617" s="1" t="str">
        <f aca="false">IF(Catálogo!$C617="","",Catálogo!$C617&amp;"|"&amp;COUNTIF(Catálogo!$C$4:$C617,Catálogo!$C617))</f>
        <v/>
      </c>
    </row>
    <row r="618" customFormat="false" ht="15" hidden="false" customHeight="true" outlineLevel="0" collapsed="false">
      <c r="A618" s="1" t="str">
        <f aca="false">IF(Catálogo!$C618="","",Catálogo!$C618&amp;"|"&amp;COUNTIF(Catálogo!$C$4:$C618,Catálogo!$C618))</f>
        <v/>
      </c>
    </row>
    <row r="619" customFormat="false" ht="15" hidden="false" customHeight="true" outlineLevel="0" collapsed="false">
      <c r="A619" s="1" t="str">
        <f aca="false">IF(Catálogo!$C619="","",Catálogo!$C619&amp;"|"&amp;COUNTIF(Catálogo!$C$4:$C619,Catálogo!$C619))</f>
        <v/>
      </c>
    </row>
    <row r="620" customFormat="false" ht="15" hidden="false" customHeight="true" outlineLevel="0" collapsed="false">
      <c r="A620" s="1" t="str">
        <f aca="false">IF(Catálogo!$C620="","",Catálogo!$C620&amp;"|"&amp;COUNTIF(Catálogo!$C$4:$C620,Catálogo!$C620))</f>
        <v/>
      </c>
    </row>
    <row r="621" customFormat="false" ht="15" hidden="false" customHeight="true" outlineLevel="0" collapsed="false">
      <c r="A621" s="1" t="str">
        <f aca="false">IF(Catálogo!$C621="","",Catálogo!$C621&amp;"|"&amp;COUNTIF(Catálogo!$C$4:$C621,Catálogo!$C621))</f>
        <v/>
      </c>
    </row>
    <row r="622" customFormat="false" ht="15" hidden="false" customHeight="true" outlineLevel="0" collapsed="false">
      <c r="A622" s="1" t="str">
        <f aca="false">IF(Catálogo!$C622="","",Catálogo!$C622&amp;"|"&amp;COUNTIF(Catálogo!$C$4:$C622,Catálogo!$C622))</f>
        <v/>
      </c>
    </row>
    <row r="623" customFormat="false" ht="15" hidden="false" customHeight="true" outlineLevel="0" collapsed="false">
      <c r="A623" s="1" t="str">
        <f aca="false">IF(Catálogo!$C623="","",Catálogo!$C623&amp;"|"&amp;COUNTIF(Catálogo!$C$4:$C623,Catálogo!$C623))</f>
        <v/>
      </c>
    </row>
    <row r="624" customFormat="false" ht="15" hidden="false" customHeight="true" outlineLevel="0" collapsed="false">
      <c r="A624" s="1" t="str">
        <f aca="false">IF(Catálogo!$C624="","",Catálogo!$C624&amp;"|"&amp;COUNTIF(Catálogo!$C$4:$C624,Catálogo!$C624))</f>
        <v/>
      </c>
    </row>
    <row r="625" customFormat="false" ht="15" hidden="false" customHeight="true" outlineLevel="0" collapsed="false">
      <c r="A625" s="1" t="str">
        <f aca="false">IF(Catálogo!$C625="","",Catálogo!$C625&amp;"|"&amp;COUNTIF(Catálogo!$C$4:$C625,Catálogo!$C625))</f>
        <v/>
      </c>
    </row>
    <row r="626" customFormat="false" ht="15" hidden="false" customHeight="true" outlineLevel="0" collapsed="false">
      <c r="A626" s="1" t="str">
        <f aca="false">IF(Catálogo!$C626="","",Catálogo!$C626&amp;"|"&amp;COUNTIF(Catálogo!$C$4:$C626,Catálogo!$C626))</f>
        <v/>
      </c>
    </row>
    <row r="627" customFormat="false" ht="15" hidden="false" customHeight="true" outlineLevel="0" collapsed="false">
      <c r="A627" s="1" t="str">
        <f aca="false">IF(Catálogo!$C627="","",Catálogo!$C627&amp;"|"&amp;COUNTIF(Catálogo!$C$4:$C627,Catálogo!$C627))</f>
        <v/>
      </c>
    </row>
    <row r="628" customFormat="false" ht="15" hidden="false" customHeight="true" outlineLevel="0" collapsed="false">
      <c r="A628" s="1" t="str">
        <f aca="false">IF(Catálogo!$C628="","",Catálogo!$C628&amp;"|"&amp;COUNTIF(Catálogo!$C$4:$C628,Catálogo!$C628))</f>
        <v/>
      </c>
    </row>
    <row r="629" customFormat="false" ht="15" hidden="false" customHeight="true" outlineLevel="0" collapsed="false">
      <c r="A629" s="1" t="str">
        <f aca="false">IF(Catálogo!$C629="","",Catálogo!$C629&amp;"|"&amp;COUNTIF(Catálogo!$C$4:$C629,Catálogo!$C629))</f>
        <v/>
      </c>
    </row>
    <row r="630" customFormat="false" ht="15" hidden="false" customHeight="true" outlineLevel="0" collapsed="false">
      <c r="A630" s="1" t="str">
        <f aca="false">IF(Catálogo!$C630="","",Catálogo!$C630&amp;"|"&amp;COUNTIF(Catálogo!$C$4:$C630,Catálogo!$C630))</f>
        <v/>
      </c>
    </row>
    <row r="631" customFormat="false" ht="15" hidden="false" customHeight="true" outlineLevel="0" collapsed="false">
      <c r="A631" s="1" t="str">
        <f aca="false">IF(Catálogo!$C631="","",Catálogo!$C631&amp;"|"&amp;COUNTIF(Catálogo!$C$4:$C631,Catálogo!$C631))</f>
        <v/>
      </c>
    </row>
    <row r="632" customFormat="false" ht="15" hidden="false" customHeight="true" outlineLevel="0" collapsed="false">
      <c r="A632" s="1" t="str">
        <f aca="false">IF(Catálogo!$C632="","",Catálogo!$C632&amp;"|"&amp;COUNTIF(Catálogo!$C$4:$C632,Catálogo!$C632))</f>
        <v/>
      </c>
    </row>
    <row r="633" customFormat="false" ht="15" hidden="false" customHeight="true" outlineLevel="0" collapsed="false">
      <c r="A633" s="1" t="str">
        <f aca="false">IF(Catálogo!$C633="","",Catálogo!$C633&amp;"|"&amp;COUNTIF(Catálogo!$C$4:$C633,Catálogo!$C633))</f>
        <v/>
      </c>
    </row>
    <row r="634" customFormat="false" ht="15" hidden="false" customHeight="true" outlineLevel="0" collapsed="false">
      <c r="A634" s="1" t="str">
        <f aca="false">IF(Catálogo!$C634="","",Catálogo!$C634&amp;"|"&amp;COUNTIF(Catálogo!$C$4:$C634,Catálogo!$C634))</f>
        <v/>
      </c>
    </row>
    <row r="635" customFormat="false" ht="15" hidden="false" customHeight="true" outlineLevel="0" collapsed="false">
      <c r="A635" s="1" t="str">
        <f aca="false">IF(Catálogo!$C635="","",Catálogo!$C635&amp;"|"&amp;COUNTIF(Catálogo!$C$4:$C635,Catálogo!$C635))</f>
        <v/>
      </c>
    </row>
    <row r="636" customFormat="false" ht="15" hidden="false" customHeight="true" outlineLevel="0" collapsed="false">
      <c r="A636" s="1" t="str">
        <f aca="false">IF(Catálogo!$C636="","",Catálogo!$C636&amp;"|"&amp;COUNTIF(Catálogo!$C$4:$C636,Catálogo!$C636))</f>
        <v/>
      </c>
    </row>
    <row r="637" customFormat="false" ht="15" hidden="false" customHeight="true" outlineLevel="0" collapsed="false">
      <c r="A637" s="1" t="str">
        <f aca="false">IF(Catálogo!$C637="","",Catálogo!$C637&amp;"|"&amp;COUNTIF(Catálogo!$C$4:$C637,Catálogo!$C637))</f>
        <v/>
      </c>
    </row>
    <row r="638" customFormat="false" ht="15" hidden="false" customHeight="true" outlineLevel="0" collapsed="false">
      <c r="A638" s="1" t="str">
        <f aca="false">IF(Catálogo!$C638="","",Catálogo!$C638&amp;"|"&amp;COUNTIF(Catálogo!$C$4:$C638,Catálogo!$C638))</f>
        <v/>
      </c>
    </row>
    <row r="639" customFormat="false" ht="15" hidden="false" customHeight="true" outlineLevel="0" collapsed="false">
      <c r="A639" s="1" t="str">
        <f aca="false">IF(Catálogo!$C639="","",Catálogo!$C639&amp;"|"&amp;COUNTIF(Catálogo!$C$4:$C639,Catálogo!$C639))</f>
        <v/>
      </c>
    </row>
    <row r="640" customFormat="false" ht="15" hidden="false" customHeight="true" outlineLevel="0" collapsed="false">
      <c r="A640" s="1" t="str">
        <f aca="false">IF(Catálogo!$C640="","",Catálogo!$C640&amp;"|"&amp;COUNTIF(Catálogo!$C$4:$C640,Catálogo!$C640))</f>
        <v/>
      </c>
    </row>
    <row r="641" customFormat="false" ht="15" hidden="false" customHeight="true" outlineLevel="0" collapsed="false">
      <c r="A641" s="1" t="str">
        <f aca="false">IF(Catálogo!$C641="","",Catálogo!$C641&amp;"|"&amp;COUNTIF(Catálogo!$C$4:$C641,Catálogo!$C641))</f>
        <v/>
      </c>
    </row>
    <row r="642" customFormat="false" ht="15" hidden="false" customHeight="true" outlineLevel="0" collapsed="false">
      <c r="A642" s="1" t="str">
        <f aca="false">IF(Catálogo!$C642="","",Catálogo!$C642&amp;"|"&amp;COUNTIF(Catálogo!$C$4:$C642,Catálogo!$C642))</f>
        <v/>
      </c>
    </row>
    <row r="643" customFormat="false" ht="15" hidden="false" customHeight="true" outlineLevel="0" collapsed="false">
      <c r="A643" s="1" t="str">
        <f aca="false">IF(Catálogo!$C643="","",Catálogo!$C643&amp;"|"&amp;COUNTIF(Catálogo!$C$4:$C643,Catálogo!$C643))</f>
        <v/>
      </c>
    </row>
    <row r="644" customFormat="false" ht="15" hidden="false" customHeight="true" outlineLevel="0" collapsed="false">
      <c r="A644" s="1" t="str">
        <f aca="false">IF(Catálogo!$C644="","",Catálogo!$C644&amp;"|"&amp;COUNTIF(Catálogo!$C$4:$C644,Catálogo!$C644))</f>
        <v/>
      </c>
    </row>
    <row r="645" customFormat="false" ht="15" hidden="false" customHeight="true" outlineLevel="0" collapsed="false">
      <c r="A645" s="1" t="str">
        <f aca="false">IF(Catálogo!$C645="","",Catálogo!$C645&amp;"|"&amp;COUNTIF(Catálogo!$C$4:$C645,Catálogo!$C645))</f>
        <v/>
      </c>
    </row>
    <row r="646" customFormat="false" ht="15" hidden="false" customHeight="true" outlineLevel="0" collapsed="false">
      <c r="A646" s="1" t="str">
        <f aca="false">IF(Catálogo!$C646="","",Catálogo!$C646&amp;"|"&amp;COUNTIF(Catálogo!$C$4:$C646,Catálogo!$C646))</f>
        <v/>
      </c>
    </row>
    <row r="647" customFormat="false" ht="15" hidden="false" customHeight="true" outlineLevel="0" collapsed="false">
      <c r="A647" s="1" t="str">
        <f aca="false">IF(Catálogo!$C647="","",Catálogo!$C647&amp;"|"&amp;COUNTIF(Catálogo!$C$4:$C647,Catálogo!$C647))</f>
        <v/>
      </c>
    </row>
    <row r="648" customFormat="false" ht="15" hidden="false" customHeight="true" outlineLevel="0" collapsed="false">
      <c r="A648" s="1" t="str">
        <f aca="false">IF(Catálogo!$C648="","",Catálogo!$C648&amp;"|"&amp;COUNTIF(Catálogo!$C$4:$C648,Catálogo!$C648))</f>
        <v/>
      </c>
    </row>
    <row r="649" customFormat="false" ht="15" hidden="false" customHeight="true" outlineLevel="0" collapsed="false">
      <c r="A649" s="1" t="str">
        <f aca="false">IF(Catálogo!$C649="","",Catálogo!$C649&amp;"|"&amp;COUNTIF(Catálogo!$C$4:$C649,Catálogo!$C649))</f>
        <v/>
      </c>
    </row>
    <row r="650" customFormat="false" ht="15" hidden="false" customHeight="true" outlineLevel="0" collapsed="false">
      <c r="A650" s="1" t="str">
        <f aca="false">IF(Catálogo!$C650="","",Catálogo!$C650&amp;"|"&amp;COUNTIF(Catálogo!$C$4:$C650,Catálogo!$C650))</f>
        <v/>
      </c>
    </row>
    <row r="651" customFormat="false" ht="15" hidden="false" customHeight="true" outlineLevel="0" collapsed="false">
      <c r="A651" s="1" t="str">
        <f aca="false">IF(Catálogo!$C651="","",Catálogo!$C651&amp;"|"&amp;COUNTIF(Catálogo!$C$4:$C651,Catálogo!$C651))</f>
        <v/>
      </c>
    </row>
    <row r="652" customFormat="false" ht="15" hidden="false" customHeight="true" outlineLevel="0" collapsed="false">
      <c r="A652" s="1" t="str">
        <f aca="false">IF(Catálogo!$C652="","",Catálogo!$C652&amp;"|"&amp;COUNTIF(Catálogo!$C$4:$C652,Catálogo!$C652))</f>
        <v/>
      </c>
    </row>
    <row r="653" customFormat="false" ht="15" hidden="false" customHeight="true" outlineLevel="0" collapsed="false">
      <c r="A653" s="1" t="str">
        <f aca="false">IF(Catálogo!$C653="","",Catálogo!$C653&amp;"|"&amp;COUNTIF(Catálogo!$C$4:$C653,Catálogo!$C653))</f>
        <v/>
      </c>
    </row>
    <row r="654" customFormat="false" ht="15" hidden="false" customHeight="true" outlineLevel="0" collapsed="false">
      <c r="A654" s="1" t="str">
        <f aca="false">IF(Catálogo!$C654="","",Catálogo!$C654&amp;"|"&amp;COUNTIF(Catálogo!$C$4:$C654,Catálogo!$C654))</f>
        <v/>
      </c>
    </row>
    <row r="655" customFormat="false" ht="15" hidden="false" customHeight="true" outlineLevel="0" collapsed="false">
      <c r="A655" s="1" t="str">
        <f aca="false">IF(Catálogo!$C655="","",Catálogo!$C655&amp;"|"&amp;COUNTIF(Catálogo!$C$4:$C655,Catálogo!$C655))</f>
        <v/>
      </c>
    </row>
    <row r="656" customFormat="false" ht="15" hidden="false" customHeight="true" outlineLevel="0" collapsed="false">
      <c r="A656" s="1" t="str">
        <f aca="false">IF(Catálogo!$C656="","",Catálogo!$C656&amp;"|"&amp;COUNTIF(Catálogo!$C$4:$C656,Catálogo!$C656))</f>
        <v/>
      </c>
    </row>
    <row r="657" customFormat="false" ht="15" hidden="false" customHeight="true" outlineLevel="0" collapsed="false">
      <c r="A657" s="1" t="str">
        <f aca="false">IF(Catálogo!$C657="","",Catálogo!$C657&amp;"|"&amp;COUNTIF(Catálogo!$C$4:$C657,Catálogo!$C657))</f>
        <v/>
      </c>
    </row>
    <row r="658" customFormat="false" ht="15" hidden="false" customHeight="true" outlineLevel="0" collapsed="false">
      <c r="A658" s="1" t="str">
        <f aca="false">IF(Catálogo!$C658="","",Catálogo!$C658&amp;"|"&amp;COUNTIF(Catálogo!$C$4:$C658,Catálogo!$C658))</f>
        <v/>
      </c>
    </row>
    <row r="659" customFormat="false" ht="15" hidden="false" customHeight="true" outlineLevel="0" collapsed="false">
      <c r="A659" s="1" t="str">
        <f aca="false">IF(Catálogo!$C659="","",Catálogo!$C659&amp;"|"&amp;COUNTIF(Catálogo!$C$4:$C659,Catálogo!$C659))</f>
        <v/>
      </c>
    </row>
    <row r="660" customFormat="false" ht="15" hidden="false" customHeight="true" outlineLevel="0" collapsed="false">
      <c r="A660" s="1" t="str">
        <f aca="false">IF(Catálogo!$C660="","",Catálogo!$C660&amp;"|"&amp;COUNTIF(Catálogo!$C$4:$C660,Catálogo!$C660))</f>
        <v/>
      </c>
    </row>
    <row r="661" customFormat="false" ht="15" hidden="false" customHeight="true" outlineLevel="0" collapsed="false">
      <c r="A661" s="1" t="str">
        <f aca="false">IF(Catálogo!$C661="","",Catálogo!$C661&amp;"|"&amp;COUNTIF(Catálogo!$C$4:$C661,Catálogo!$C661))</f>
        <v/>
      </c>
    </row>
    <row r="662" customFormat="false" ht="15" hidden="false" customHeight="true" outlineLevel="0" collapsed="false">
      <c r="A662" s="1" t="str">
        <f aca="false">IF(Catálogo!$C662="","",Catálogo!$C662&amp;"|"&amp;COUNTIF(Catálogo!$C$4:$C662,Catálogo!$C662))</f>
        <v/>
      </c>
    </row>
    <row r="663" customFormat="false" ht="15" hidden="false" customHeight="true" outlineLevel="0" collapsed="false">
      <c r="A663" s="1" t="str">
        <f aca="false">IF(Catálogo!$C663="","",Catálogo!$C663&amp;"|"&amp;COUNTIF(Catálogo!$C$4:$C663,Catálogo!$C663))</f>
        <v/>
      </c>
    </row>
    <row r="664" customFormat="false" ht="15" hidden="false" customHeight="true" outlineLevel="0" collapsed="false">
      <c r="A664" s="1" t="str">
        <f aca="false">IF(Catálogo!$C664="","",Catálogo!$C664&amp;"|"&amp;COUNTIF(Catálogo!$C$4:$C664,Catálogo!$C664))</f>
        <v/>
      </c>
    </row>
    <row r="665" customFormat="false" ht="15" hidden="false" customHeight="true" outlineLevel="0" collapsed="false">
      <c r="A665" s="1" t="str">
        <f aca="false">IF(Catálogo!$C665="","",Catálogo!$C665&amp;"|"&amp;COUNTIF(Catálogo!$C$4:$C665,Catálogo!$C665))</f>
        <v/>
      </c>
    </row>
    <row r="666" customFormat="false" ht="15" hidden="false" customHeight="true" outlineLevel="0" collapsed="false">
      <c r="A666" s="1" t="str">
        <f aca="false">IF(Catálogo!$C666="","",Catálogo!$C666&amp;"|"&amp;COUNTIF(Catálogo!$C$4:$C666,Catálogo!$C666))</f>
        <v/>
      </c>
    </row>
    <row r="667" customFormat="false" ht="15" hidden="false" customHeight="true" outlineLevel="0" collapsed="false">
      <c r="A667" s="1" t="str">
        <f aca="false">IF(Catálogo!$C667="","",Catálogo!$C667&amp;"|"&amp;COUNTIF(Catálogo!$C$4:$C667,Catálogo!$C667))</f>
        <v/>
      </c>
    </row>
    <row r="668" customFormat="false" ht="15" hidden="false" customHeight="true" outlineLevel="0" collapsed="false">
      <c r="A668" s="1" t="str">
        <f aca="false">IF(Catálogo!$C668="","",Catálogo!$C668&amp;"|"&amp;COUNTIF(Catálogo!$C$4:$C668,Catálogo!$C668))</f>
        <v/>
      </c>
    </row>
    <row r="669" customFormat="false" ht="15" hidden="false" customHeight="true" outlineLevel="0" collapsed="false">
      <c r="A669" s="1" t="str">
        <f aca="false">IF(Catálogo!$C669="","",Catálogo!$C669&amp;"|"&amp;COUNTIF(Catálogo!$C$4:$C669,Catálogo!$C669))</f>
        <v/>
      </c>
    </row>
    <row r="670" customFormat="false" ht="15" hidden="false" customHeight="true" outlineLevel="0" collapsed="false">
      <c r="A670" s="1" t="str">
        <f aca="false">IF(Catálogo!$C670="","",Catálogo!$C670&amp;"|"&amp;COUNTIF(Catálogo!$C$4:$C670,Catálogo!$C670))</f>
        <v/>
      </c>
    </row>
    <row r="671" customFormat="false" ht="15" hidden="false" customHeight="true" outlineLevel="0" collapsed="false">
      <c r="A671" s="1" t="str">
        <f aca="false">IF(Catálogo!$C671="","",Catálogo!$C671&amp;"|"&amp;COUNTIF(Catálogo!$C$4:$C671,Catálogo!$C671))</f>
        <v/>
      </c>
    </row>
    <row r="672" customFormat="false" ht="15" hidden="false" customHeight="true" outlineLevel="0" collapsed="false">
      <c r="A672" s="1" t="str">
        <f aca="false">IF(Catálogo!$C672="","",Catálogo!$C672&amp;"|"&amp;COUNTIF(Catálogo!$C$4:$C672,Catálogo!$C672))</f>
        <v/>
      </c>
    </row>
    <row r="673" customFormat="false" ht="15" hidden="false" customHeight="true" outlineLevel="0" collapsed="false">
      <c r="A673" s="1" t="str">
        <f aca="false">IF(Catálogo!$C673="","",Catálogo!$C673&amp;"|"&amp;COUNTIF(Catálogo!$C$4:$C673,Catálogo!$C673))</f>
        <v/>
      </c>
    </row>
    <row r="674" customFormat="false" ht="15" hidden="false" customHeight="true" outlineLevel="0" collapsed="false">
      <c r="A674" s="1" t="str">
        <f aca="false">IF(Catálogo!$C674="","",Catálogo!$C674&amp;"|"&amp;COUNTIF(Catálogo!$C$4:$C674,Catálogo!$C674))</f>
        <v/>
      </c>
    </row>
    <row r="675" customFormat="false" ht="15" hidden="false" customHeight="true" outlineLevel="0" collapsed="false">
      <c r="A675" s="1" t="str">
        <f aca="false">IF(Catálogo!$C675="","",Catálogo!$C675&amp;"|"&amp;COUNTIF(Catálogo!$C$4:$C675,Catálogo!$C675))</f>
        <v/>
      </c>
    </row>
    <row r="676" customFormat="false" ht="15" hidden="false" customHeight="true" outlineLevel="0" collapsed="false">
      <c r="A676" s="1" t="str">
        <f aca="false">IF(Catálogo!$C676="","",Catálogo!$C676&amp;"|"&amp;COUNTIF(Catálogo!$C$4:$C676,Catálogo!$C676))</f>
        <v/>
      </c>
    </row>
    <row r="677" customFormat="false" ht="15" hidden="false" customHeight="true" outlineLevel="0" collapsed="false">
      <c r="A677" s="1" t="str">
        <f aca="false">IF(Catálogo!$C677="","",Catálogo!$C677&amp;"|"&amp;COUNTIF(Catálogo!$C$4:$C677,Catálogo!$C677))</f>
        <v/>
      </c>
    </row>
    <row r="678" customFormat="false" ht="15" hidden="false" customHeight="true" outlineLevel="0" collapsed="false">
      <c r="A678" s="1" t="str">
        <f aca="false">IF(Catálogo!$C678="","",Catálogo!$C678&amp;"|"&amp;COUNTIF(Catálogo!$C$4:$C678,Catálogo!$C678))</f>
        <v/>
      </c>
    </row>
    <row r="679" customFormat="false" ht="15" hidden="false" customHeight="true" outlineLevel="0" collapsed="false">
      <c r="A679" s="1" t="str">
        <f aca="false">IF(Catálogo!$C679="","",Catálogo!$C679&amp;"|"&amp;COUNTIF(Catálogo!$C$4:$C679,Catálogo!$C679))</f>
        <v/>
      </c>
    </row>
    <row r="680" customFormat="false" ht="15" hidden="false" customHeight="true" outlineLevel="0" collapsed="false">
      <c r="A680" s="1" t="str">
        <f aca="false">IF(Catálogo!$C680="","",Catálogo!$C680&amp;"|"&amp;COUNTIF(Catálogo!$C$4:$C680,Catálogo!$C680))</f>
        <v/>
      </c>
    </row>
    <row r="681" customFormat="false" ht="15" hidden="false" customHeight="true" outlineLevel="0" collapsed="false">
      <c r="A681" s="1" t="str">
        <f aca="false">IF(Catálogo!$C681="","",Catálogo!$C681&amp;"|"&amp;COUNTIF(Catálogo!$C$4:$C681,Catálogo!$C681))</f>
        <v/>
      </c>
    </row>
    <row r="682" customFormat="false" ht="15" hidden="false" customHeight="true" outlineLevel="0" collapsed="false">
      <c r="A682" s="1" t="str">
        <f aca="false">IF(Catálogo!$C682="","",Catálogo!$C682&amp;"|"&amp;COUNTIF(Catálogo!$C$4:$C682,Catálogo!$C682))</f>
        <v/>
      </c>
    </row>
    <row r="683" customFormat="false" ht="15" hidden="false" customHeight="true" outlineLevel="0" collapsed="false">
      <c r="A683" s="1" t="str">
        <f aca="false">IF(Catálogo!$C683="","",Catálogo!$C683&amp;"|"&amp;COUNTIF(Catálogo!$C$4:$C683,Catálogo!$C683))</f>
        <v/>
      </c>
    </row>
    <row r="684" customFormat="false" ht="15" hidden="false" customHeight="true" outlineLevel="0" collapsed="false">
      <c r="A684" s="1" t="str">
        <f aca="false">IF(Catálogo!$C684="","",Catálogo!$C684&amp;"|"&amp;COUNTIF(Catálogo!$C$4:$C684,Catálogo!$C684))</f>
        <v/>
      </c>
    </row>
    <row r="685" customFormat="false" ht="15" hidden="false" customHeight="true" outlineLevel="0" collapsed="false">
      <c r="A685" s="1" t="str">
        <f aca="false">IF(Catálogo!$C685="","",Catálogo!$C685&amp;"|"&amp;COUNTIF(Catálogo!$C$4:$C685,Catálogo!$C685))</f>
        <v/>
      </c>
    </row>
    <row r="686" customFormat="false" ht="15" hidden="false" customHeight="true" outlineLevel="0" collapsed="false">
      <c r="A686" s="1" t="str">
        <f aca="false">IF(Catálogo!$C686="","",Catálogo!$C686&amp;"|"&amp;COUNTIF(Catálogo!$C$4:$C686,Catálogo!$C686))</f>
        <v/>
      </c>
    </row>
    <row r="687" customFormat="false" ht="15" hidden="false" customHeight="true" outlineLevel="0" collapsed="false">
      <c r="A687" s="1" t="str">
        <f aca="false">IF(Catálogo!$C687="","",Catálogo!$C687&amp;"|"&amp;COUNTIF(Catálogo!$C$4:$C687,Catálogo!$C687))</f>
        <v/>
      </c>
    </row>
    <row r="688" customFormat="false" ht="15" hidden="false" customHeight="true" outlineLevel="0" collapsed="false">
      <c r="A688" s="1" t="str">
        <f aca="false">IF(Catálogo!$C688="","",Catálogo!$C688&amp;"|"&amp;COUNTIF(Catálogo!$C$4:$C688,Catálogo!$C688))</f>
        <v/>
      </c>
    </row>
    <row r="689" customFormat="false" ht="15" hidden="false" customHeight="true" outlineLevel="0" collapsed="false">
      <c r="A689" s="1" t="str">
        <f aca="false">IF(Catálogo!$C689="","",Catálogo!$C689&amp;"|"&amp;COUNTIF(Catálogo!$C$4:$C689,Catálogo!$C689))</f>
        <v/>
      </c>
    </row>
    <row r="690" customFormat="false" ht="15" hidden="false" customHeight="true" outlineLevel="0" collapsed="false">
      <c r="A690" s="1" t="str">
        <f aca="false">IF(Catálogo!$C690="","",Catálogo!$C690&amp;"|"&amp;COUNTIF(Catálogo!$C$4:$C690,Catálogo!$C690))</f>
        <v/>
      </c>
    </row>
    <row r="691" customFormat="false" ht="15" hidden="false" customHeight="true" outlineLevel="0" collapsed="false">
      <c r="A691" s="1" t="str">
        <f aca="false">IF(Catálogo!$C691="","",Catálogo!$C691&amp;"|"&amp;COUNTIF(Catálogo!$C$4:$C691,Catálogo!$C691))</f>
        <v/>
      </c>
    </row>
    <row r="692" customFormat="false" ht="15" hidden="false" customHeight="true" outlineLevel="0" collapsed="false">
      <c r="A692" s="1" t="str">
        <f aca="false">IF(Catálogo!$C692="","",Catálogo!$C692&amp;"|"&amp;COUNTIF(Catálogo!$C$4:$C692,Catálogo!$C692))</f>
        <v/>
      </c>
    </row>
    <row r="693" customFormat="false" ht="15" hidden="false" customHeight="true" outlineLevel="0" collapsed="false">
      <c r="A693" s="1" t="str">
        <f aca="false">IF(Catálogo!$C693="","",Catálogo!$C693&amp;"|"&amp;COUNTIF(Catálogo!$C$4:$C693,Catálogo!$C693))</f>
        <v/>
      </c>
    </row>
    <row r="694" customFormat="false" ht="15" hidden="false" customHeight="true" outlineLevel="0" collapsed="false">
      <c r="A694" s="1" t="str">
        <f aca="false">IF(Catálogo!$C694="","",Catálogo!$C694&amp;"|"&amp;COUNTIF(Catálogo!$C$4:$C694,Catálogo!$C694))</f>
        <v/>
      </c>
    </row>
    <row r="695" customFormat="false" ht="15" hidden="false" customHeight="true" outlineLevel="0" collapsed="false">
      <c r="A695" s="1" t="str">
        <f aca="false">IF(Catálogo!$C695="","",Catálogo!$C695&amp;"|"&amp;COUNTIF(Catálogo!$C$4:$C695,Catálogo!$C695))</f>
        <v/>
      </c>
    </row>
    <row r="696" customFormat="false" ht="15" hidden="false" customHeight="true" outlineLevel="0" collapsed="false">
      <c r="A696" s="1" t="str">
        <f aca="false">IF(Catálogo!$C696="","",Catálogo!$C696&amp;"|"&amp;COUNTIF(Catálogo!$C$4:$C696,Catálogo!$C696))</f>
        <v/>
      </c>
    </row>
    <row r="697" customFormat="false" ht="15" hidden="false" customHeight="true" outlineLevel="0" collapsed="false">
      <c r="A697" s="1" t="str">
        <f aca="false">IF(Catálogo!$C697="","",Catálogo!$C697&amp;"|"&amp;COUNTIF(Catálogo!$C$4:$C697,Catálogo!$C697))</f>
        <v/>
      </c>
    </row>
    <row r="698" customFormat="false" ht="15" hidden="false" customHeight="true" outlineLevel="0" collapsed="false">
      <c r="A698" s="1" t="str">
        <f aca="false">IF(Catálogo!$C698="","",Catálogo!$C698&amp;"|"&amp;COUNTIF(Catálogo!$C$4:$C698,Catálogo!$C698))</f>
        <v/>
      </c>
    </row>
    <row r="699" customFormat="false" ht="15" hidden="false" customHeight="true" outlineLevel="0" collapsed="false">
      <c r="A699" s="1" t="str">
        <f aca="false">IF(Catálogo!$C699="","",Catálogo!$C699&amp;"|"&amp;COUNTIF(Catálogo!$C$4:$C699,Catálogo!$C699))</f>
        <v/>
      </c>
    </row>
    <row r="700" customFormat="false" ht="15" hidden="false" customHeight="true" outlineLevel="0" collapsed="false">
      <c r="A700" s="1" t="str">
        <f aca="false">IF(Catálogo!$C700="","",Catálogo!$C700&amp;"|"&amp;COUNTIF(Catálogo!$C$4:$C700,Catálogo!$C700))</f>
        <v/>
      </c>
    </row>
    <row r="701" customFormat="false" ht="15" hidden="false" customHeight="true" outlineLevel="0" collapsed="false">
      <c r="A701" s="1" t="str">
        <f aca="false">IF(Catálogo!$C701="","",Catálogo!$C701&amp;"|"&amp;COUNTIF(Catálogo!$C$4:$C701,Catálogo!$C701))</f>
        <v/>
      </c>
    </row>
    <row r="702" customFormat="false" ht="15" hidden="false" customHeight="true" outlineLevel="0" collapsed="false">
      <c r="A702" s="1" t="str">
        <f aca="false">IF(Catálogo!$C702="","",Catálogo!$C702&amp;"|"&amp;COUNTIF(Catálogo!$C$4:$C702,Catálogo!$C702))</f>
        <v/>
      </c>
    </row>
    <row r="703" customFormat="false" ht="15" hidden="false" customHeight="true" outlineLevel="0" collapsed="false">
      <c r="A703" s="1" t="str">
        <f aca="false">IF(Catálogo!$C703="","",Catálogo!$C703&amp;"|"&amp;COUNTIF(Catálogo!$C$4:$C703,Catálogo!$C703))</f>
        <v/>
      </c>
    </row>
    <row r="704" customFormat="false" ht="15" hidden="false" customHeight="true" outlineLevel="0" collapsed="false">
      <c r="A704" s="1" t="str">
        <f aca="false">IF(Catálogo!$C704="","",Catálogo!$C704&amp;"|"&amp;COUNTIF(Catálogo!$C$4:$C704,Catálogo!$C704))</f>
        <v/>
      </c>
    </row>
    <row r="705" customFormat="false" ht="15" hidden="false" customHeight="true" outlineLevel="0" collapsed="false">
      <c r="A705" s="1" t="str">
        <f aca="false">IF(Catálogo!$C705="","",Catálogo!$C705&amp;"|"&amp;COUNTIF(Catálogo!$C$4:$C705,Catálogo!$C705))</f>
        <v/>
      </c>
    </row>
    <row r="706" customFormat="false" ht="15" hidden="false" customHeight="true" outlineLevel="0" collapsed="false">
      <c r="A706" s="1" t="str">
        <f aca="false">IF(Catálogo!$C706="","",Catálogo!$C706&amp;"|"&amp;COUNTIF(Catálogo!$C$4:$C706,Catálogo!$C706))</f>
        <v/>
      </c>
    </row>
    <row r="707" customFormat="false" ht="15" hidden="false" customHeight="true" outlineLevel="0" collapsed="false">
      <c r="A707" s="1" t="str">
        <f aca="false">IF(Catálogo!$C707="","",Catálogo!$C707&amp;"|"&amp;COUNTIF(Catálogo!$C$4:$C707,Catálogo!$C707))</f>
        <v/>
      </c>
    </row>
    <row r="708" customFormat="false" ht="15" hidden="false" customHeight="true" outlineLevel="0" collapsed="false">
      <c r="A708" s="1" t="str">
        <f aca="false">IF(Catálogo!$C708="","",Catálogo!$C708&amp;"|"&amp;COUNTIF(Catálogo!$C$4:$C708,Catálogo!$C708))</f>
        <v/>
      </c>
    </row>
    <row r="709" customFormat="false" ht="15" hidden="false" customHeight="true" outlineLevel="0" collapsed="false">
      <c r="A709" s="1" t="str">
        <f aca="false">IF(Catálogo!$C709="","",Catálogo!$C709&amp;"|"&amp;COUNTIF(Catálogo!$C$4:$C709,Catálogo!$C709))</f>
        <v/>
      </c>
    </row>
    <row r="710" customFormat="false" ht="15" hidden="false" customHeight="true" outlineLevel="0" collapsed="false">
      <c r="A710" s="1" t="str">
        <f aca="false">IF(Catálogo!$C710="","",Catálogo!$C710&amp;"|"&amp;COUNTIF(Catálogo!$C$4:$C710,Catálogo!$C710))</f>
        <v/>
      </c>
    </row>
    <row r="711" customFormat="false" ht="15" hidden="false" customHeight="true" outlineLevel="0" collapsed="false">
      <c r="A711" s="1" t="str">
        <f aca="false">IF(Catálogo!$C711="","",Catálogo!$C711&amp;"|"&amp;COUNTIF(Catálogo!$C$4:$C711,Catálogo!$C711))</f>
        <v/>
      </c>
    </row>
    <row r="712" customFormat="false" ht="15" hidden="false" customHeight="true" outlineLevel="0" collapsed="false">
      <c r="A712" s="1" t="str">
        <f aca="false">IF(Catálogo!$C712="","",Catálogo!$C712&amp;"|"&amp;COUNTIF(Catálogo!$C$4:$C712,Catálogo!$C712))</f>
        <v/>
      </c>
    </row>
    <row r="713" customFormat="false" ht="15" hidden="false" customHeight="true" outlineLevel="0" collapsed="false">
      <c r="A713" s="1" t="str">
        <f aca="false">IF(Catálogo!$C713="","",Catálogo!$C713&amp;"|"&amp;COUNTIF(Catálogo!$C$4:$C713,Catálogo!$C713))</f>
        <v/>
      </c>
    </row>
    <row r="714" customFormat="false" ht="15" hidden="false" customHeight="true" outlineLevel="0" collapsed="false">
      <c r="A714" s="1" t="str">
        <f aca="false">IF(Catálogo!$C714="","",Catálogo!$C714&amp;"|"&amp;COUNTIF(Catálogo!$C$4:$C714,Catálogo!$C714))</f>
        <v/>
      </c>
    </row>
    <row r="715" customFormat="false" ht="15" hidden="false" customHeight="true" outlineLevel="0" collapsed="false">
      <c r="A715" s="1" t="str">
        <f aca="false">IF(Catálogo!$C715="","",Catálogo!$C715&amp;"|"&amp;COUNTIF(Catálogo!$C$4:$C715,Catálogo!$C715))</f>
        <v/>
      </c>
    </row>
    <row r="716" customFormat="false" ht="15" hidden="false" customHeight="true" outlineLevel="0" collapsed="false">
      <c r="A716" s="1" t="str">
        <f aca="false">IF(Catálogo!$C716="","",Catálogo!$C716&amp;"|"&amp;COUNTIF(Catálogo!$C$4:$C716,Catálogo!$C716))</f>
        <v/>
      </c>
    </row>
    <row r="717" customFormat="false" ht="15" hidden="false" customHeight="true" outlineLevel="0" collapsed="false">
      <c r="A717" s="1" t="str">
        <f aca="false">IF(Catálogo!$C717="","",Catálogo!$C717&amp;"|"&amp;COUNTIF(Catálogo!$C$4:$C717,Catálogo!$C717))</f>
        <v/>
      </c>
    </row>
    <row r="718" customFormat="false" ht="15" hidden="false" customHeight="true" outlineLevel="0" collapsed="false">
      <c r="A718" s="1" t="str">
        <f aca="false">IF(Catálogo!$C718="","",Catálogo!$C718&amp;"|"&amp;COUNTIF(Catálogo!$C$4:$C718,Catálogo!$C718))</f>
        <v/>
      </c>
    </row>
    <row r="719" customFormat="false" ht="15" hidden="false" customHeight="true" outlineLevel="0" collapsed="false">
      <c r="A719" s="1" t="str">
        <f aca="false">IF(Catálogo!$C719="","",Catálogo!$C719&amp;"|"&amp;COUNTIF(Catálogo!$C$4:$C719,Catálogo!$C719))</f>
        <v/>
      </c>
    </row>
    <row r="720" customFormat="false" ht="15" hidden="false" customHeight="true" outlineLevel="0" collapsed="false">
      <c r="A720" s="1" t="str">
        <f aca="false">IF(Catálogo!$C720="","",Catálogo!$C720&amp;"|"&amp;COUNTIF(Catálogo!$C$4:$C720,Catálogo!$C720))</f>
        <v/>
      </c>
    </row>
    <row r="721" customFormat="false" ht="15" hidden="false" customHeight="true" outlineLevel="0" collapsed="false">
      <c r="A721" s="1" t="str">
        <f aca="false">IF(Catálogo!$C721="","",Catálogo!$C721&amp;"|"&amp;COUNTIF(Catálogo!$C$4:$C721,Catálogo!$C721))</f>
        <v/>
      </c>
    </row>
    <row r="722" customFormat="false" ht="15" hidden="false" customHeight="true" outlineLevel="0" collapsed="false">
      <c r="A722" s="1" t="str">
        <f aca="false">IF(Catálogo!$C722="","",Catálogo!$C722&amp;"|"&amp;COUNTIF(Catálogo!$C$4:$C722,Catálogo!$C722))</f>
        <v/>
      </c>
    </row>
    <row r="723" customFormat="false" ht="15" hidden="false" customHeight="true" outlineLevel="0" collapsed="false">
      <c r="A723" s="1" t="str">
        <f aca="false">IF(Catálogo!$C723="","",Catálogo!$C723&amp;"|"&amp;COUNTIF(Catálogo!$C$4:$C723,Catálogo!$C723))</f>
        <v/>
      </c>
    </row>
    <row r="724" customFormat="false" ht="15" hidden="false" customHeight="true" outlineLevel="0" collapsed="false">
      <c r="A724" s="1" t="str">
        <f aca="false">IF(Catálogo!$C724="","",Catálogo!$C724&amp;"|"&amp;COUNTIF(Catálogo!$C$4:$C724,Catálogo!$C724))</f>
        <v/>
      </c>
    </row>
    <row r="725" customFormat="false" ht="15" hidden="false" customHeight="true" outlineLevel="0" collapsed="false">
      <c r="A725" s="1" t="str">
        <f aca="false">IF(Catálogo!$C725="","",Catálogo!$C725&amp;"|"&amp;COUNTIF(Catálogo!$C$4:$C725,Catálogo!$C725))</f>
        <v/>
      </c>
    </row>
    <row r="726" customFormat="false" ht="15" hidden="false" customHeight="true" outlineLevel="0" collapsed="false">
      <c r="A726" s="1" t="str">
        <f aca="false">IF(Catálogo!$C726="","",Catálogo!$C726&amp;"|"&amp;COUNTIF(Catálogo!$C$4:$C726,Catálogo!$C726))</f>
        <v/>
      </c>
    </row>
    <row r="727" customFormat="false" ht="15" hidden="false" customHeight="true" outlineLevel="0" collapsed="false">
      <c r="A727" s="1" t="str">
        <f aca="false">IF(Catálogo!$C727="","",Catálogo!$C727&amp;"|"&amp;COUNTIF(Catálogo!$C$4:$C727,Catálogo!$C727))</f>
        <v/>
      </c>
    </row>
    <row r="728" customFormat="false" ht="15" hidden="false" customHeight="true" outlineLevel="0" collapsed="false">
      <c r="A728" s="1" t="str">
        <f aca="false">IF(Catálogo!$C728="","",Catálogo!$C728&amp;"|"&amp;COUNTIF(Catálogo!$C$4:$C728,Catálogo!$C728))</f>
        <v/>
      </c>
    </row>
    <row r="729" customFormat="false" ht="15" hidden="false" customHeight="true" outlineLevel="0" collapsed="false">
      <c r="A729" s="1" t="str">
        <f aca="false">IF(Catálogo!$C729="","",Catálogo!$C729&amp;"|"&amp;COUNTIF(Catálogo!$C$4:$C729,Catálogo!$C729))</f>
        <v/>
      </c>
    </row>
    <row r="730" customFormat="false" ht="15" hidden="false" customHeight="true" outlineLevel="0" collapsed="false">
      <c r="A730" s="1" t="str">
        <f aca="false">IF(Catálogo!$C730="","",Catálogo!$C730&amp;"|"&amp;COUNTIF(Catálogo!$C$4:$C730,Catálogo!$C730))</f>
        <v/>
      </c>
    </row>
    <row r="731" customFormat="false" ht="15" hidden="false" customHeight="true" outlineLevel="0" collapsed="false">
      <c r="A731" s="1" t="str">
        <f aca="false">IF(Catálogo!$C731="","",Catálogo!$C731&amp;"|"&amp;COUNTIF(Catálogo!$C$4:$C731,Catálogo!$C731))</f>
        <v/>
      </c>
    </row>
    <row r="732" customFormat="false" ht="15" hidden="false" customHeight="true" outlineLevel="0" collapsed="false">
      <c r="A732" s="1" t="str">
        <f aca="false">IF(Catálogo!$C732="","",Catálogo!$C732&amp;"|"&amp;COUNTIF(Catálogo!$C$4:$C732,Catálogo!$C732))</f>
        <v/>
      </c>
    </row>
    <row r="733" customFormat="false" ht="15" hidden="false" customHeight="true" outlineLevel="0" collapsed="false">
      <c r="A733" s="1" t="str">
        <f aca="false">IF(Catálogo!$C733="","",Catálogo!$C733&amp;"|"&amp;COUNTIF(Catálogo!$C$4:$C733,Catálogo!$C733))</f>
        <v/>
      </c>
    </row>
    <row r="734" customFormat="false" ht="15" hidden="false" customHeight="true" outlineLevel="0" collapsed="false">
      <c r="A734" s="1" t="str">
        <f aca="false">IF(Catálogo!$C734="","",Catálogo!$C734&amp;"|"&amp;COUNTIF(Catálogo!$C$4:$C734,Catálogo!$C734))</f>
        <v/>
      </c>
    </row>
    <row r="735" customFormat="false" ht="15" hidden="false" customHeight="true" outlineLevel="0" collapsed="false">
      <c r="A735" s="1" t="str">
        <f aca="false">IF(Catálogo!$C735="","",Catálogo!$C735&amp;"|"&amp;COUNTIF(Catálogo!$C$4:$C735,Catálogo!$C735))</f>
        <v/>
      </c>
    </row>
    <row r="736" customFormat="false" ht="15" hidden="false" customHeight="true" outlineLevel="0" collapsed="false">
      <c r="A736" s="1" t="str">
        <f aca="false">IF(Catálogo!$C736="","",Catálogo!$C736&amp;"|"&amp;COUNTIF(Catálogo!$C$4:$C736,Catálogo!$C736))</f>
        <v/>
      </c>
    </row>
    <row r="737" customFormat="false" ht="15" hidden="false" customHeight="true" outlineLevel="0" collapsed="false">
      <c r="A737" s="1" t="str">
        <f aca="false">IF(Catálogo!$C737="","",Catálogo!$C737&amp;"|"&amp;COUNTIF(Catálogo!$C$4:$C737,Catálogo!$C737))</f>
        <v/>
      </c>
    </row>
    <row r="738" customFormat="false" ht="15" hidden="false" customHeight="true" outlineLevel="0" collapsed="false">
      <c r="A738" s="1" t="str">
        <f aca="false">IF(Catálogo!$C738="","",Catálogo!$C738&amp;"|"&amp;COUNTIF(Catálogo!$C$4:$C738,Catálogo!$C738))</f>
        <v/>
      </c>
    </row>
    <row r="739" customFormat="false" ht="15" hidden="false" customHeight="true" outlineLevel="0" collapsed="false">
      <c r="A739" s="1" t="str">
        <f aca="false">IF(Catálogo!$C739="","",Catálogo!$C739&amp;"|"&amp;COUNTIF(Catálogo!$C$4:$C739,Catálogo!$C739))</f>
        <v/>
      </c>
    </row>
    <row r="740" customFormat="false" ht="15" hidden="false" customHeight="true" outlineLevel="0" collapsed="false">
      <c r="A740" s="1" t="str">
        <f aca="false">IF(Catálogo!$C740="","",Catálogo!$C740&amp;"|"&amp;COUNTIF(Catálogo!$C$4:$C740,Catálogo!$C740))</f>
        <v/>
      </c>
    </row>
    <row r="741" customFormat="false" ht="15" hidden="false" customHeight="true" outlineLevel="0" collapsed="false">
      <c r="A741" s="1" t="str">
        <f aca="false">IF(Catálogo!$C741="","",Catálogo!$C741&amp;"|"&amp;COUNTIF(Catálogo!$C$4:$C741,Catálogo!$C741))</f>
        <v/>
      </c>
    </row>
    <row r="742" customFormat="false" ht="15" hidden="false" customHeight="true" outlineLevel="0" collapsed="false">
      <c r="A742" s="1" t="str">
        <f aca="false">IF(Catálogo!$C742="","",Catálogo!$C742&amp;"|"&amp;COUNTIF(Catálogo!$C$4:$C742,Catálogo!$C742))</f>
        <v/>
      </c>
    </row>
    <row r="743" customFormat="false" ht="15" hidden="false" customHeight="true" outlineLevel="0" collapsed="false">
      <c r="A743" s="1" t="str">
        <f aca="false">IF(Catálogo!$C743="","",Catálogo!$C743&amp;"|"&amp;COUNTIF(Catálogo!$C$4:$C743,Catálogo!$C743))</f>
        <v/>
      </c>
    </row>
    <row r="744" customFormat="false" ht="15" hidden="false" customHeight="true" outlineLevel="0" collapsed="false">
      <c r="A744" s="1" t="str">
        <f aca="false">IF(Catálogo!$C744="","",Catálogo!$C744&amp;"|"&amp;COUNTIF(Catálogo!$C$4:$C744,Catálogo!$C744))</f>
        <v/>
      </c>
    </row>
    <row r="745" customFormat="false" ht="15" hidden="false" customHeight="true" outlineLevel="0" collapsed="false">
      <c r="A745" s="1" t="str">
        <f aca="false">IF(Catálogo!$C745="","",Catálogo!$C745&amp;"|"&amp;COUNTIF(Catálogo!$C$4:$C745,Catálogo!$C745))</f>
        <v/>
      </c>
    </row>
    <row r="746" customFormat="false" ht="15" hidden="false" customHeight="true" outlineLevel="0" collapsed="false">
      <c r="A746" s="1" t="str">
        <f aca="false">IF(Catálogo!$C746="","",Catálogo!$C746&amp;"|"&amp;COUNTIF(Catálogo!$C$4:$C746,Catálogo!$C746))</f>
        <v/>
      </c>
    </row>
    <row r="747" customFormat="false" ht="15" hidden="false" customHeight="true" outlineLevel="0" collapsed="false">
      <c r="A747" s="1" t="str">
        <f aca="false">IF(Catálogo!$C747="","",Catálogo!$C747&amp;"|"&amp;COUNTIF(Catálogo!$C$4:$C747,Catálogo!$C747))</f>
        <v/>
      </c>
    </row>
    <row r="748" customFormat="false" ht="15" hidden="false" customHeight="true" outlineLevel="0" collapsed="false">
      <c r="A748" s="1" t="str">
        <f aca="false">IF(Catálogo!$C748="","",Catálogo!$C748&amp;"|"&amp;COUNTIF(Catálogo!$C$4:$C748,Catálogo!$C748))</f>
        <v/>
      </c>
    </row>
    <row r="749" customFormat="false" ht="15" hidden="false" customHeight="true" outlineLevel="0" collapsed="false">
      <c r="A749" s="1" t="str">
        <f aca="false">IF(Catálogo!$C749="","",Catálogo!$C749&amp;"|"&amp;COUNTIF(Catálogo!$C$4:$C749,Catálogo!$C749))</f>
        <v/>
      </c>
    </row>
    <row r="750" customFormat="false" ht="15" hidden="false" customHeight="true" outlineLevel="0" collapsed="false">
      <c r="A750" s="1" t="str">
        <f aca="false">IF(Catálogo!$C750="","",Catálogo!$C750&amp;"|"&amp;COUNTIF(Catálogo!$C$4:$C750,Catálogo!$C750))</f>
        <v/>
      </c>
    </row>
    <row r="751" customFormat="false" ht="15" hidden="false" customHeight="true" outlineLevel="0" collapsed="false">
      <c r="A751" s="1" t="str">
        <f aca="false">IF(Catálogo!$C751="","",Catálogo!$C751&amp;"|"&amp;COUNTIF(Catálogo!$C$4:$C751,Catálogo!$C751))</f>
        <v/>
      </c>
    </row>
    <row r="752" customFormat="false" ht="15" hidden="false" customHeight="true" outlineLevel="0" collapsed="false">
      <c r="A752" s="1" t="str">
        <f aca="false">IF(Catálogo!$C752="","",Catálogo!$C752&amp;"|"&amp;COUNTIF(Catálogo!$C$4:$C752,Catálogo!$C752))</f>
        <v/>
      </c>
    </row>
    <row r="753" customFormat="false" ht="15" hidden="false" customHeight="true" outlineLevel="0" collapsed="false">
      <c r="A753" s="1" t="str">
        <f aca="false">IF(Catálogo!$C753="","",Catálogo!$C753&amp;"|"&amp;COUNTIF(Catálogo!$C$4:$C753,Catálogo!$C753))</f>
        <v/>
      </c>
    </row>
    <row r="754" customFormat="false" ht="15" hidden="false" customHeight="true" outlineLevel="0" collapsed="false">
      <c r="A754" s="1" t="str">
        <f aca="false">IF(Catálogo!$C754="","",Catálogo!$C754&amp;"|"&amp;COUNTIF(Catálogo!$C$4:$C754,Catálogo!$C754))</f>
        <v/>
      </c>
    </row>
    <row r="755" customFormat="false" ht="15" hidden="false" customHeight="true" outlineLevel="0" collapsed="false">
      <c r="A755" s="1" t="str">
        <f aca="false">IF(Catálogo!$C755="","",Catálogo!$C755&amp;"|"&amp;COUNTIF(Catálogo!$C$4:$C755,Catálogo!$C755))</f>
        <v/>
      </c>
    </row>
    <row r="756" customFormat="false" ht="15" hidden="false" customHeight="true" outlineLevel="0" collapsed="false">
      <c r="A756" s="1" t="str">
        <f aca="false">IF(Catálogo!$C756="","",Catálogo!$C756&amp;"|"&amp;COUNTIF(Catálogo!$C$4:$C756,Catálogo!$C756))</f>
        <v/>
      </c>
    </row>
    <row r="757" customFormat="false" ht="15" hidden="false" customHeight="true" outlineLevel="0" collapsed="false">
      <c r="A757" s="1" t="str">
        <f aca="false">IF(Catálogo!$C757="","",Catálogo!$C757&amp;"|"&amp;COUNTIF(Catálogo!$C$4:$C757,Catálogo!$C757))</f>
        <v/>
      </c>
    </row>
    <row r="758" customFormat="false" ht="15" hidden="false" customHeight="true" outlineLevel="0" collapsed="false">
      <c r="A758" s="1" t="str">
        <f aca="false">IF(Catálogo!$C758="","",Catálogo!$C758&amp;"|"&amp;COUNTIF(Catálogo!$C$4:$C758,Catálogo!$C758))</f>
        <v/>
      </c>
    </row>
    <row r="759" customFormat="false" ht="15" hidden="false" customHeight="true" outlineLevel="0" collapsed="false">
      <c r="A759" s="1" t="str">
        <f aca="false">IF(Catálogo!$C759="","",Catálogo!$C759&amp;"|"&amp;COUNTIF(Catálogo!$C$4:$C759,Catálogo!$C759))</f>
        <v/>
      </c>
    </row>
    <row r="760" customFormat="false" ht="15" hidden="false" customHeight="true" outlineLevel="0" collapsed="false">
      <c r="A760" s="1" t="str">
        <f aca="false">IF(Catálogo!$C760="","",Catálogo!$C760&amp;"|"&amp;COUNTIF(Catálogo!$C$4:$C760,Catálogo!$C760))</f>
        <v/>
      </c>
    </row>
    <row r="761" customFormat="false" ht="15" hidden="false" customHeight="true" outlineLevel="0" collapsed="false">
      <c r="A761" s="1" t="str">
        <f aca="false">IF(Catálogo!$C761="","",Catálogo!$C761&amp;"|"&amp;COUNTIF(Catálogo!$C$4:$C761,Catálogo!$C761))</f>
        <v/>
      </c>
    </row>
    <row r="762" customFormat="false" ht="15" hidden="false" customHeight="true" outlineLevel="0" collapsed="false">
      <c r="A762" s="1" t="str">
        <f aca="false">IF(Catálogo!$C762="","",Catálogo!$C762&amp;"|"&amp;COUNTIF(Catálogo!$C$4:$C762,Catálogo!$C762))</f>
        <v/>
      </c>
    </row>
    <row r="763" customFormat="false" ht="15" hidden="false" customHeight="true" outlineLevel="0" collapsed="false">
      <c r="A763" s="1" t="str">
        <f aca="false">IF(Catálogo!$C763="","",Catálogo!$C763&amp;"|"&amp;COUNTIF(Catálogo!$C$4:$C763,Catálogo!$C763))</f>
        <v/>
      </c>
    </row>
    <row r="764" customFormat="false" ht="15" hidden="false" customHeight="true" outlineLevel="0" collapsed="false">
      <c r="A764" s="1" t="str">
        <f aca="false">IF(Catálogo!$C764="","",Catálogo!$C764&amp;"|"&amp;COUNTIF(Catálogo!$C$4:$C764,Catálogo!$C764))</f>
        <v/>
      </c>
    </row>
    <row r="765" customFormat="false" ht="15" hidden="false" customHeight="true" outlineLevel="0" collapsed="false">
      <c r="A765" s="1" t="str">
        <f aca="false">IF(Catálogo!$C765="","",Catálogo!$C765&amp;"|"&amp;COUNTIF(Catálogo!$C$4:$C765,Catálogo!$C765))</f>
        <v/>
      </c>
    </row>
    <row r="766" customFormat="false" ht="15" hidden="false" customHeight="true" outlineLevel="0" collapsed="false">
      <c r="A766" s="1" t="str">
        <f aca="false">IF(Catálogo!$C766="","",Catálogo!$C766&amp;"|"&amp;COUNTIF(Catálogo!$C$4:$C766,Catálogo!$C766))</f>
        <v/>
      </c>
    </row>
    <row r="767" customFormat="false" ht="15" hidden="false" customHeight="true" outlineLevel="0" collapsed="false">
      <c r="A767" s="1" t="str">
        <f aca="false">IF(Catálogo!$C767="","",Catálogo!$C767&amp;"|"&amp;COUNTIF(Catálogo!$C$4:$C767,Catálogo!$C767))</f>
        <v/>
      </c>
    </row>
    <row r="768" customFormat="false" ht="15" hidden="false" customHeight="true" outlineLevel="0" collapsed="false">
      <c r="A768" s="1" t="str">
        <f aca="false">IF(Catálogo!$C768="","",Catálogo!$C768&amp;"|"&amp;COUNTIF(Catálogo!$C$4:$C768,Catálogo!$C768))</f>
        <v/>
      </c>
    </row>
    <row r="769" customFormat="false" ht="15" hidden="false" customHeight="true" outlineLevel="0" collapsed="false">
      <c r="A769" s="1" t="str">
        <f aca="false">IF(Catálogo!$C769="","",Catálogo!$C769&amp;"|"&amp;COUNTIF(Catálogo!$C$4:$C769,Catálogo!$C769))</f>
        <v/>
      </c>
    </row>
    <row r="770" customFormat="false" ht="15" hidden="false" customHeight="true" outlineLevel="0" collapsed="false">
      <c r="A770" s="1" t="str">
        <f aca="false">IF(Catálogo!$C770="","",Catálogo!$C770&amp;"|"&amp;COUNTIF(Catálogo!$C$4:$C770,Catálogo!$C770))</f>
        <v/>
      </c>
    </row>
    <row r="771" customFormat="false" ht="15" hidden="false" customHeight="true" outlineLevel="0" collapsed="false">
      <c r="A771" s="1" t="str">
        <f aca="false">IF(Catálogo!$C771="","",Catálogo!$C771&amp;"|"&amp;COUNTIF(Catálogo!$C$4:$C771,Catálogo!$C771))</f>
        <v/>
      </c>
    </row>
    <row r="772" customFormat="false" ht="15" hidden="false" customHeight="true" outlineLevel="0" collapsed="false">
      <c r="A772" s="1" t="str">
        <f aca="false">IF(Catálogo!$C772="","",Catálogo!$C772&amp;"|"&amp;COUNTIF(Catálogo!$C$4:$C772,Catálogo!$C772))</f>
        <v/>
      </c>
    </row>
    <row r="773" customFormat="false" ht="15" hidden="false" customHeight="true" outlineLevel="0" collapsed="false">
      <c r="A773" s="1" t="str">
        <f aca="false">IF(Catálogo!$C773="","",Catálogo!$C773&amp;"|"&amp;COUNTIF(Catálogo!$C$4:$C773,Catálogo!$C773))</f>
        <v/>
      </c>
    </row>
    <row r="774" customFormat="false" ht="15" hidden="false" customHeight="true" outlineLevel="0" collapsed="false">
      <c r="A774" s="1" t="str">
        <f aca="false">IF(Catálogo!$C774="","",Catálogo!$C774&amp;"|"&amp;COUNTIF(Catálogo!$C$4:$C774,Catálogo!$C774))</f>
        <v/>
      </c>
    </row>
    <row r="775" customFormat="false" ht="15" hidden="false" customHeight="true" outlineLevel="0" collapsed="false">
      <c r="A775" s="1" t="str">
        <f aca="false">IF(Catálogo!$C775="","",Catálogo!$C775&amp;"|"&amp;COUNTIF(Catálogo!$C$4:$C775,Catálogo!$C775))</f>
        <v/>
      </c>
    </row>
    <row r="776" customFormat="false" ht="15" hidden="false" customHeight="true" outlineLevel="0" collapsed="false">
      <c r="A776" s="1" t="str">
        <f aca="false">IF(Catálogo!$C776="","",Catálogo!$C776&amp;"|"&amp;COUNTIF(Catálogo!$C$4:$C776,Catálogo!$C776))</f>
        <v/>
      </c>
    </row>
    <row r="777" customFormat="false" ht="15" hidden="false" customHeight="true" outlineLevel="0" collapsed="false">
      <c r="A777" s="1" t="str">
        <f aca="false">IF(Catálogo!$C777="","",Catálogo!$C777&amp;"|"&amp;COUNTIF(Catálogo!$C$4:$C777,Catálogo!$C777))</f>
        <v/>
      </c>
    </row>
    <row r="778" customFormat="false" ht="15" hidden="false" customHeight="true" outlineLevel="0" collapsed="false">
      <c r="A778" s="1" t="str">
        <f aca="false">IF(Catálogo!$C778="","",Catálogo!$C778&amp;"|"&amp;COUNTIF(Catálogo!$C$4:$C778,Catálogo!$C778))</f>
        <v/>
      </c>
    </row>
    <row r="779" customFormat="false" ht="15" hidden="false" customHeight="true" outlineLevel="0" collapsed="false">
      <c r="A779" s="1" t="str">
        <f aca="false">IF(Catálogo!$C779="","",Catálogo!$C779&amp;"|"&amp;COUNTIF(Catálogo!$C$4:$C779,Catálogo!$C779))</f>
        <v/>
      </c>
    </row>
    <row r="780" customFormat="false" ht="15" hidden="false" customHeight="true" outlineLevel="0" collapsed="false">
      <c r="A780" s="1" t="str">
        <f aca="false">IF(Catálogo!$C780="","",Catálogo!$C780&amp;"|"&amp;COUNTIF(Catálogo!$C$4:$C780,Catálogo!$C780))</f>
        <v/>
      </c>
    </row>
    <row r="781" customFormat="false" ht="15" hidden="false" customHeight="true" outlineLevel="0" collapsed="false">
      <c r="A781" s="1" t="str">
        <f aca="false">IF(Catálogo!$C781="","",Catálogo!$C781&amp;"|"&amp;COUNTIF(Catálogo!$C$4:$C781,Catálogo!$C781))</f>
        <v/>
      </c>
    </row>
    <row r="782" customFormat="false" ht="15" hidden="false" customHeight="true" outlineLevel="0" collapsed="false">
      <c r="A782" s="1" t="str">
        <f aca="false">IF(Catálogo!$C782="","",Catálogo!$C782&amp;"|"&amp;COUNTIF(Catálogo!$C$4:$C782,Catálogo!$C782))</f>
        <v/>
      </c>
    </row>
    <row r="783" customFormat="false" ht="15" hidden="false" customHeight="true" outlineLevel="0" collapsed="false">
      <c r="A783" s="1" t="str">
        <f aca="false">IF(Catálogo!$C783="","",Catálogo!$C783&amp;"|"&amp;COUNTIF(Catálogo!$C$4:$C783,Catálogo!$C783))</f>
        <v/>
      </c>
    </row>
    <row r="784" customFormat="false" ht="15" hidden="false" customHeight="true" outlineLevel="0" collapsed="false">
      <c r="A784" s="1" t="str">
        <f aca="false">IF(Catálogo!$C784="","",Catálogo!$C784&amp;"|"&amp;COUNTIF(Catálogo!$C$4:$C784,Catálogo!$C784))</f>
        <v/>
      </c>
    </row>
    <row r="785" customFormat="false" ht="15" hidden="false" customHeight="true" outlineLevel="0" collapsed="false">
      <c r="A785" s="1" t="str">
        <f aca="false">IF(Catálogo!$C785="","",Catálogo!$C785&amp;"|"&amp;COUNTIF(Catálogo!$C$4:$C785,Catálogo!$C785))</f>
        <v/>
      </c>
    </row>
    <row r="786" customFormat="false" ht="15" hidden="false" customHeight="true" outlineLevel="0" collapsed="false">
      <c r="A786" s="1" t="str">
        <f aca="false">IF(Catálogo!$C786="","",Catálogo!$C786&amp;"|"&amp;COUNTIF(Catálogo!$C$4:$C786,Catálogo!$C786))</f>
        <v/>
      </c>
    </row>
    <row r="787" customFormat="false" ht="15" hidden="false" customHeight="true" outlineLevel="0" collapsed="false">
      <c r="A787" s="1" t="str">
        <f aca="false">IF(Catálogo!$C787="","",Catálogo!$C787&amp;"|"&amp;COUNTIF(Catálogo!$C$4:$C787,Catálogo!$C787))</f>
        <v/>
      </c>
    </row>
    <row r="788" customFormat="false" ht="15" hidden="false" customHeight="true" outlineLevel="0" collapsed="false">
      <c r="A788" s="1" t="str">
        <f aca="false">IF(Catálogo!$C788="","",Catálogo!$C788&amp;"|"&amp;COUNTIF(Catálogo!$C$4:$C788,Catálogo!$C788))</f>
        <v/>
      </c>
    </row>
    <row r="789" customFormat="false" ht="15" hidden="false" customHeight="true" outlineLevel="0" collapsed="false">
      <c r="A789" s="1" t="str">
        <f aca="false">IF(Catálogo!$C789="","",Catálogo!$C789&amp;"|"&amp;COUNTIF(Catálogo!$C$4:$C789,Catálogo!$C789))</f>
        <v/>
      </c>
    </row>
    <row r="790" customFormat="false" ht="15" hidden="false" customHeight="true" outlineLevel="0" collapsed="false">
      <c r="A790" s="1" t="str">
        <f aca="false">IF(Catálogo!$C790="","",Catálogo!$C790&amp;"|"&amp;COUNTIF(Catálogo!$C$4:$C790,Catálogo!$C790))</f>
        <v/>
      </c>
    </row>
    <row r="791" customFormat="false" ht="15" hidden="false" customHeight="true" outlineLevel="0" collapsed="false">
      <c r="A791" s="1" t="str">
        <f aca="false">IF(Catálogo!$C791="","",Catálogo!$C791&amp;"|"&amp;COUNTIF(Catálogo!$C$4:$C791,Catálogo!$C791))</f>
        <v/>
      </c>
    </row>
    <row r="792" customFormat="false" ht="15" hidden="false" customHeight="true" outlineLevel="0" collapsed="false">
      <c r="A792" s="1" t="str">
        <f aca="false">IF(Catálogo!$C792="","",Catálogo!$C792&amp;"|"&amp;COUNTIF(Catálogo!$C$4:$C792,Catálogo!$C792))</f>
        <v/>
      </c>
    </row>
    <row r="793" customFormat="false" ht="15" hidden="false" customHeight="true" outlineLevel="0" collapsed="false">
      <c r="A793" s="1" t="str">
        <f aca="false">IF(Catálogo!$C793="","",Catálogo!$C793&amp;"|"&amp;COUNTIF(Catálogo!$C$4:$C793,Catálogo!$C793))</f>
        <v/>
      </c>
    </row>
    <row r="794" customFormat="false" ht="15" hidden="false" customHeight="true" outlineLevel="0" collapsed="false">
      <c r="A794" s="1" t="str">
        <f aca="false">IF(Catálogo!$C794="","",Catálogo!$C794&amp;"|"&amp;COUNTIF(Catálogo!$C$4:$C794,Catálogo!$C794))</f>
        <v/>
      </c>
    </row>
    <row r="795" customFormat="false" ht="15" hidden="false" customHeight="true" outlineLevel="0" collapsed="false">
      <c r="A795" s="1" t="str">
        <f aca="false">IF(Catálogo!$C795="","",Catálogo!$C795&amp;"|"&amp;COUNTIF(Catálogo!$C$4:$C795,Catálogo!$C795))</f>
        <v/>
      </c>
    </row>
    <row r="796" customFormat="false" ht="15" hidden="false" customHeight="true" outlineLevel="0" collapsed="false">
      <c r="A796" s="1" t="str">
        <f aca="false">IF(Catálogo!$C796="","",Catálogo!$C796&amp;"|"&amp;COUNTIF(Catálogo!$C$4:$C796,Catálogo!$C796))</f>
        <v/>
      </c>
    </row>
    <row r="797" customFormat="false" ht="15" hidden="false" customHeight="true" outlineLevel="0" collapsed="false">
      <c r="A797" s="1" t="str">
        <f aca="false">IF(Catálogo!$C797="","",Catálogo!$C797&amp;"|"&amp;COUNTIF(Catálogo!$C$4:$C797,Catálogo!$C797))</f>
        <v/>
      </c>
    </row>
    <row r="798" customFormat="false" ht="15" hidden="false" customHeight="true" outlineLevel="0" collapsed="false">
      <c r="A798" s="1" t="str">
        <f aca="false">IF(Catálogo!$C798="","",Catálogo!$C798&amp;"|"&amp;COUNTIF(Catálogo!$C$4:$C798,Catálogo!$C798))</f>
        <v/>
      </c>
    </row>
    <row r="799" customFormat="false" ht="15" hidden="false" customHeight="true" outlineLevel="0" collapsed="false">
      <c r="A799" s="1" t="str">
        <f aca="false">IF(Catálogo!$C799="","",Catálogo!$C799&amp;"|"&amp;COUNTIF(Catálogo!$C$4:$C799,Catálogo!$C799))</f>
        <v/>
      </c>
    </row>
    <row r="800" customFormat="false" ht="15" hidden="false" customHeight="true" outlineLevel="0" collapsed="false">
      <c r="A800" s="1" t="str">
        <f aca="false">IF(Catálogo!$C800="","",Catálogo!$C800&amp;"|"&amp;COUNTIF(Catálogo!$C$4:$C800,Catálogo!$C800))</f>
        <v/>
      </c>
    </row>
    <row r="801" customFormat="false" ht="15" hidden="false" customHeight="true" outlineLevel="0" collapsed="false">
      <c r="A801" s="1" t="str">
        <f aca="false">IF(Catálogo!$C801="","",Catálogo!$C801&amp;"|"&amp;COUNTIF(Catálogo!$C$4:$C801,Catálogo!$C801))</f>
        <v/>
      </c>
    </row>
    <row r="802" customFormat="false" ht="15" hidden="false" customHeight="true" outlineLevel="0" collapsed="false">
      <c r="A802" s="1" t="str">
        <f aca="false">IF(Catálogo!$C802="","",Catálogo!$C802&amp;"|"&amp;COUNTIF(Catálogo!$C$4:$C802,Catálogo!$C802))</f>
        <v/>
      </c>
    </row>
    <row r="803" customFormat="false" ht="15" hidden="false" customHeight="true" outlineLevel="0" collapsed="false">
      <c r="A803" s="1" t="str">
        <f aca="false">IF(Catálogo!$C803="","",Catálogo!$C803&amp;"|"&amp;COUNTIF(Catálogo!$C$4:$C803,Catálogo!$C803))</f>
        <v/>
      </c>
    </row>
    <row r="804" customFormat="false" ht="15" hidden="false" customHeight="true" outlineLevel="0" collapsed="false">
      <c r="A804" s="1" t="str">
        <f aca="false">IF(Catálogo!$C804="","",Catálogo!$C804&amp;"|"&amp;COUNTIF(Catálogo!$C$4:$C804,Catálogo!$C804))</f>
        <v/>
      </c>
    </row>
    <row r="805" customFormat="false" ht="15" hidden="false" customHeight="true" outlineLevel="0" collapsed="false">
      <c r="A805" s="1" t="str">
        <f aca="false">IF(Catálogo!$C805="","",Catálogo!$C805&amp;"|"&amp;COUNTIF(Catálogo!$C$4:$C805,Catálogo!$C805))</f>
        <v/>
      </c>
    </row>
    <row r="806" customFormat="false" ht="15" hidden="false" customHeight="true" outlineLevel="0" collapsed="false">
      <c r="A806" s="1" t="str">
        <f aca="false">IF(Catálogo!$C806="","",Catálogo!$C806&amp;"|"&amp;COUNTIF(Catálogo!$C$4:$C806,Catálogo!$C806))</f>
        <v/>
      </c>
    </row>
    <row r="807" customFormat="false" ht="15" hidden="false" customHeight="true" outlineLevel="0" collapsed="false">
      <c r="A807" s="1" t="str">
        <f aca="false">IF(Catálogo!$C807="","",Catálogo!$C807&amp;"|"&amp;COUNTIF(Catálogo!$C$4:$C807,Catálogo!$C807))</f>
        <v/>
      </c>
    </row>
    <row r="808" customFormat="false" ht="15" hidden="false" customHeight="true" outlineLevel="0" collapsed="false">
      <c r="A808" s="1" t="str">
        <f aca="false">IF(Catálogo!$C808="","",Catálogo!$C808&amp;"|"&amp;COUNTIF(Catálogo!$C$4:$C808,Catálogo!$C808))</f>
        <v/>
      </c>
    </row>
    <row r="809" customFormat="false" ht="15" hidden="false" customHeight="true" outlineLevel="0" collapsed="false">
      <c r="A809" s="1" t="str">
        <f aca="false">IF(Catálogo!$C809="","",Catálogo!$C809&amp;"|"&amp;COUNTIF(Catálogo!$C$4:$C809,Catálogo!$C809))</f>
        <v/>
      </c>
    </row>
    <row r="810" customFormat="false" ht="15" hidden="false" customHeight="true" outlineLevel="0" collapsed="false">
      <c r="A810" s="1" t="str">
        <f aca="false">IF(Catálogo!$C810="","",Catálogo!$C810&amp;"|"&amp;COUNTIF(Catálogo!$C$4:$C810,Catálogo!$C810))</f>
        <v/>
      </c>
    </row>
    <row r="811" customFormat="false" ht="15" hidden="false" customHeight="true" outlineLevel="0" collapsed="false">
      <c r="A811" s="1" t="str">
        <f aca="false">IF(Catálogo!$C811="","",Catálogo!$C811&amp;"|"&amp;COUNTIF(Catálogo!$C$4:$C811,Catálogo!$C811))</f>
        <v/>
      </c>
    </row>
    <row r="812" customFormat="false" ht="15" hidden="false" customHeight="true" outlineLevel="0" collapsed="false">
      <c r="A812" s="1" t="str">
        <f aca="false">IF(Catálogo!$C812="","",Catálogo!$C812&amp;"|"&amp;COUNTIF(Catálogo!$C$4:$C812,Catálogo!$C812))</f>
        <v/>
      </c>
    </row>
    <row r="813" customFormat="false" ht="15" hidden="false" customHeight="true" outlineLevel="0" collapsed="false">
      <c r="A813" s="1" t="str">
        <f aca="false">IF(Catálogo!$C813="","",Catálogo!$C813&amp;"|"&amp;COUNTIF(Catálogo!$C$4:$C813,Catálogo!$C813))</f>
        <v/>
      </c>
    </row>
    <row r="814" customFormat="false" ht="15" hidden="false" customHeight="true" outlineLevel="0" collapsed="false">
      <c r="A814" s="1" t="str">
        <f aca="false">IF(Catálogo!$C814="","",Catálogo!$C814&amp;"|"&amp;COUNTIF(Catálogo!$C$4:$C814,Catálogo!$C814))</f>
        <v/>
      </c>
    </row>
    <row r="815" customFormat="false" ht="15" hidden="false" customHeight="true" outlineLevel="0" collapsed="false">
      <c r="A815" s="1" t="str">
        <f aca="false">IF(Catálogo!$C815="","",Catálogo!$C815&amp;"|"&amp;COUNTIF(Catálogo!$C$4:$C815,Catálogo!$C815))</f>
        <v/>
      </c>
    </row>
    <row r="816" customFormat="false" ht="15" hidden="false" customHeight="true" outlineLevel="0" collapsed="false">
      <c r="A816" s="1" t="str">
        <f aca="false">IF(Catálogo!$C816="","",Catálogo!$C816&amp;"|"&amp;COUNTIF(Catálogo!$C$4:$C816,Catálogo!$C816))</f>
        <v/>
      </c>
    </row>
    <row r="817" customFormat="false" ht="15" hidden="false" customHeight="true" outlineLevel="0" collapsed="false">
      <c r="A817" s="1" t="str">
        <f aca="false">IF(Catálogo!$C817="","",Catálogo!$C817&amp;"|"&amp;COUNTIF(Catálogo!$C$4:$C817,Catálogo!$C817))</f>
        <v/>
      </c>
    </row>
    <row r="818" customFormat="false" ht="15" hidden="false" customHeight="true" outlineLevel="0" collapsed="false">
      <c r="A818" s="1" t="str">
        <f aca="false">IF(Catálogo!$C818="","",Catálogo!$C818&amp;"|"&amp;COUNTIF(Catálogo!$C$4:$C818,Catálogo!$C818))</f>
        <v/>
      </c>
    </row>
    <row r="819" customFormat="false" ht="15" hidden="false" customHeight="true" outlineLevel="0" collapsed="false">
      <c r="A819" s="1" t="str">
        <f aca="false">IF(Catálogo!$C819="","",Catálogo!$C819&amp;"|"&amp;COUNTIF(Catálogo!$C$4:$C819,Catálogo!$C819))</f>
        <v/>
      </c>
    </row>
    <row r="820" customFormat="false" ht="15" hidden="false" customHeight="true" outlineLevel="0" collapsed="false">
      <c r="A820" s="1" t="str">
        <f aca="false">IF(Catálogo!$C820="","",Catálogo!$C820&amp;"|"&amp;COUNTIF(Catálogo!$C$4:$C820,Catálogo!$C820))</f>
        <v/>
      </c>
    </row>
    <row r="821" customFormat="false" ht="15" hidden="false" customHeight="true" outlineLevel="0" collapsed="false">
      <c r="A821" s="1" t="str">
        <f aca="false">IF(Catálogo!$C821="","",Catálogo!$C821&amp;"|"&amp;COUNTIF(Catálogo!$C$4:$C821,Catálogo!$C821))</f>
        <v/>
      </c>
    </row>
    <row r="822" customFormat="false" ht="15" hidden="false" customHeight="true" outlineLevel="0" collapsed="false">
      <c r="A822" s="1" t="str">
        <f aca="false">IF(Catálogo!$C822="","",Catálogo!$C822&amp;"|"&amp;COUNTIF(Catálogo!$C$4:$C822,Catálogo!$C822))</f>
        <v/>
      </c>
    </row>
    <row r="823" customFormat="false" ht="15" hidden="false" customHeight="true" outlineLevel="0" collapsed="false">
      <c r="A823" s="1" t="str">
        <f aca="false">IF(Catálogo!$C823="","",Catálogo!$C823&amp;"|"&amp;COUNTIF(Catálogo!$C$4:$C823,Catálogo!$C823))</f>
        <v/>
      </c>
    </row>
    <row r="824" customFormat="false" ht="15" hidden="false" customHeight="true" outlineLevel="0" collapsed="false">
      <c r="A824" s="1" t="str">
        <f aca="false">IF(Catálogo!$C824="","",Catálogo!$C824&amp;"|"&amp;COUNTIF(Catálogo!$C$4:$C824,Catálogo!$C824))</f>
        <v/>
      </c>
    </row>
    <row r="825" customFormat="false" ht="15" hidden="false" customHeight="true" outlineLevel="0" collapsed="false">
      <c r="A825" s="1" t="str">
        <f aca="false">IF(Catálogo!$C825="","",Catálogo!$C825&amp;"|"&amp;COUNTIF(Catálogo!$C$4:$C825,Catálogo!$C825))</f>
        <v/>
      </c>
    </row>
    <row r="826" customFormat="false" ht="15" hidden="false" customHeight="true" outlineLevel="0" collapsed="false">
      <c r="A826" s="1" t="str">
        <f aca="false">IF(Catálogo!$C826="","",Catálogo!$C826&amp;"|"&amp;COUNTIF(Catálogo!$C$4:$C826,Catálogo!$C826))</f>
        <v/>
      </c>
    </row>
    <row r="827" customFormat="false" ht="15" hidden="false" customHeight="true" outlineLevel="0" collapsed="false">
      <c r="A827" s="1" t="str">
        <f aca="false">IF(Catálogo!$C827="","",Catálogo!$C827&amp;"|"&amp;COUNTIF(Catálogo!$C$4:$C827,Catálogo!$C827))</f>
        <v/>
      </c>
    </row>
    <row r="828" customFormat="false" ht="15" hidden="false" customHeight="true" outlineLevel="0" collapsed="false">
      <c r="A828" s="1" t="str">
        <f aca="false">IF(Catálogo!$C828="","",Catálogo!$C828&amp;"|"&amp;COUNTIF(Catálogo!$C$4:$C828,Catálogo!$C828))</f>
        <v/>
      </c>
    </row>
    <row r="829" customFormat="false" ht="15" hidden="false" customHeight="true" outlineLevel="0" collapsed="false">
      <c r="A829" s="1" t="str">
        <f aca="false">IF(Catálogo!$C829="","",Catálogo!$C829&amp;"|"&amp;COUNTIF(Catálogo!$C$4:$C829,Catálogo!$C829))</f>
        <v/>
      </c>
    </row>
    <row r="830" customFormat="false" ht="15" hidden="false" customHeight="true" outlineLevel="0" collapsed="false">
      <c r="A830" s="1" t="str">
        <f aca="false">IF(Catálogo!$C830="","",Catálogo!$C830&amp;"|"&amp;COUNTIF(Catálogo!$C$4:$C830,Catálogo!$C830))</f>
        <v/>
      </c>
    </row>
    <row r="831" customFormat="false" ht="15" hidden="false" customHeight="true" outlineLevel="0" collapsed="false">
      <c r="A831" s="1" t="str">
        <f aca="false">IF(Catálogo!$C831="","",Catálogo!$C831&amp;"|"&amp;COUNTIF(Catálogo!$C$4:$C831,Catálogo!$C831))</f>
        <v/>
      </c>
    </row>
    <row r="832" customFormat="false" ht="15" hidden="false" customHeight="true" outlineLevel="0" collapsed="false">
      <c r="A832" s="1" t="str">
        <f aca="false">IF(Catálogo!$C832="","",Catálogo!$C832&amp;"|"&amp;COUNTIF(Catálogo!$C$4:$C832,Catálogo!$C832))</f>
        <v/>
      </c>
    </row>
    <row r="833" customFormat="false" ht="15" hidden="false" customHeight="true" outlineLevel="0" collapsed="false">
      <c r="A833" s="1" t="str">
        <f aca="false">IF(Catálogo!$C833="","",Catálogo!$C833&amp;"|"&amp;COUNTIF(Catálogo!$C$4:$C833,Catálogo!$C833))</f>
        <v/>
      </c>
    </row>
    <row r="834" customFormat="false" ht="15" hidden="false" customHeight="true" outlineLevel="0" collapsed="false">
      <c r="A834" s="1" t="str">
        <f aca="false">IF(Catálogo!$C834="","",Catálogo!$C834&amp;"|"&amp;COUNTIF(Catálogo!$C$4:$C834,Catálogo!$C834))</f>
        <v/>
      </c>
    </row>
    <row r="835" customFormat="false" ht="15" hidden="false" customHeight="true" outlineLevel="0" collapsed="false">
      <c r="A835" s="1" t="str">
        <f aca="false">IF(Catálogo!$C835="","",Catálogo!$C835&amp;"|"&amp;COUNTIF(Catálogo!$C$4:$C835,Catálogo!$C835))</f>
        <v/>
      </c>
    </row>
    <row r="836" customFormat="false" ht="15" hidden="false" customHeight="true" outlineLevel="0" collapsed="false">
      <c r="A836" s="1" t="str">
        <f aca="false">IF(Catálogo!$C836="","",Catálogo!$C836&amp;"|"&amp;COUNTIF(Catálogo!$C$4:$C836,Catálogo!$C836))</f>
        <v/>
      </c>
    </row>
    <row r="837" customFormat="false" ht="15" hidden="false" customHeight="true" outlineLevel="0" collapsed="false">
      <c r="A837" s="1" t="str">
        <f aca="false">IF(Catálogo!$C837="","",Catálogo!$C837&amp;"|"&amp;COUNTIF(Catálogo!$C$4:$C837,Catálogo!$C837))</f>
        <v/>
      </c>
    </row>
    <row r="838" customFormat="false" ht="15" hidden="false" customHeight="true" outlineLevel="0" collapsed="false">
      <c r="A838" s="1" t="str">
        <f aca="false">IF(Catálogo!$C838="","",Catálogo!$C838&amp;"|"&amp;COUNTIF(Catálogo!$C$4:$C838,Catálogo!$C838))</f>
        <v/>
      </c>
    </row>
    <row r="839" customFormat="false" ht="15" hidden="false" customHeight="true" outlineLevel="0" collapsed="false">
      <c r="A839" s="1" t="str">
        <f aca="false">IF(Catálogo!$C839="","",Catálogo!$C839&amp;"|"&amp;COUNTIF(Catálogo!$C$4:$C839,Catálogo!$C839))</f>
        <v/>
      </c>
    </row>
    <row r="840" customFormat="false" ht="15" hidden="false" customHeight="true" outlineLevel="0" collapsed="false">
      <c r="A840" s="1" t="str">
        <f aca="false">IF(Catálogo!$C840="","",Catálogo!$C840&amp;"|"&amp;COUNTIF(Catálogo!$C$4:$C840,Catálogo!$C840))</f>
        <v/>
      </c>
    </row>
    <row r="841" customFormat="false" ht="15" hidden="false" customHeight="true" outlineLevel="0" collapsed="false">
      <c r="A841" s="1" t="str">
        <f aca="false">IF(Catálogo!$C841="","",Catálogo!$C841&amp;"|"&amp;COUNTIF(Catálogo!$C$4:$C841,Catálogo!$C841))</f>
        <v/>
      </c>
    </row>
    <row r="842" customFormat="false" ht="15" hidden="false" customHeight="true" outlineLevel="0" collapsed="false">
      <c r="A842" s="1" t="str">
        <f aca="false">IF(Catálogo!$C842="","",Catálogo!$C842&amp;"|"&amp;COUNTIF(Catálogo!$C$4:$C842,Catálogo!$C842))</f>
        <v/>
      </c>
    </row>
    <row r="843" customFormat="false" ht="15" hidden="false" customHeight="true" outlineLevel="0" collapsed="false">
      <c r="A843" s="1" t="str">
        <f aca="false">IF(Catálogo!$C843="","",Catálogo!$C843&amp;"|"&amp;COUNTIF(Catálogo!$C$4:$C843,Catálogo!$C843))</f>
        <v/>
      </c>
    </row>
    <row r="844" customFormat="false" ht="15" hidden="false" customHeight="true" outlineLevel="0" collapsed="false">
      <c r="A844" s="1" t="str">
        <f aca="false">IF(Catálogo!$C844="","",Catálogo!$C844&amp;"|"&amp;COUNTIF(Catálogo!$C$4:$C844,Catálogo!$C844))</f>
        <v/>
      </c>
    </row>
    <row r="845" customFormat="false" ht="15" hidden="false" customHeight="true" outlineLevel="0" collapsed="false">
      <c r="A845" s="1" t="str">
        <f aca="false">IF(Catálogo!$C845="","",Catálogo!$C845&amp;"|"&amp;COUNTIF(Catálogo!$C$4:$C845,Catálogo!$C845))</f>
        <v/>
      </c>
    </row>
    <row r="846" customFormat="false" ht="15" hidden="false" customHeight="true" outlineLevel="0" collapsed="false">
      <c r="A846" s="1" t="str">
        <f aca="false">IF(Catálogo!$C846="","",Catálogo!$C846&amp;"|"&amp;COUNTIF(Catálogo!$C$4:$C846,Catálogo!$C846))</f>
        <v/>
      </c>
    </row>
    <row r="847" customFormat="false" ht="15" hidden="false" customHeight="true" outlineLevel="0" collapsed="false">
      <c r="A847" s="1" t="str">
        <f aca="false">IF(Catálogo!$C847="","",Catálogo!$C847&amp;"|"&amp;COUNTIF(Catálogo!$C$4:$C847,Catálogo!$C847))</f>
        <v/>
      </c>
    </row>
    <row r="848" customFormat="false" ht="15" hidden="false" customHeight="true" outlineLevel="0" collapsed="false">
      <c r="A848" s="1" t="str">
        <f aca="false">IF(Catálogo!$C848="","",Catálogo!$C848&amp;"|"&amp;COUNTIF(Catálogo!$C$4:$C848,Catálogo!$C848))</f>
        <v/>
      </c>
    </row>
    <row r="849" customFormat="false" ht="15" hidden="false" customHeight="true" outlineLevel="0" collapsed="false">
      <c r="A849" s="1" t="str">
        <f aca="false">IF(Catálogo!$C849="","",Catálogo!$C849&amp;"|"&amp;COUNTIF(Catálogo!$C$4:$C849,Catálogo!$C849))</f>
        <v/>
      </c>
    </row>
    <row r="850" customFormat="false" ht="15" hidden="false" customHeight="true" outlineLevel="0" collapsed="false">
      <c r="A850" s="1" t="str">
        <f aca="false">IF(Catálogo!$C850="","",Catálogo!$C850&amp;"|"&amp;COUNTIF(Catálogo!$C$4:$C850,Catálogo!$C850))</f>
        <v/>
      </c>
    </row>
    <row r="851" customFormat="false" ht="15" hidden="false" customHeight="true" outlineLevel="0" collapsed="false">
      <c r="A851" s="1" t="str">
        <f aca="false">IF(Catálogo!$C851="","",Catálogo!$C851&amp;"|"&amp;COUNTIF(Catálogo!$C$4:$C851,Catálogo!$C851))</f>
        <v/>
      </c>
    </row>
    <row r="852" customFormat="false" ht="15" hidden="false" customHeight="true" outlineLevel="0" collapsed="false">
      <c r="A852" s="1" t="str">
        <f aca="false">IF(Catálogo!$C852="","",Catálogo!$C852&amp;"|"&amp;COUNTIF(Catálogo!$C$4:$C852,Catálogo!$C852))</f>
        <v/>
      </c>
    </row>
    <row r="853" customFormat="false" ht="15" hidden="false" customHeight="true" outlineLevel="0" collapsed="false">
      <c r="A853" s="1" t="str">
        <f aca="false">IF(Catálogo!$C853="","",Catálogo!$C853&amp;"|"&amp;COUNTIF(Catálogo!$C$4:$C853,Catálogo!$C853))</f>
        <v/>
      </c>
    </row>
    <row r="854" customFormat="false" ht="15" hidden="false" customHeight="true" outlineLevel="0" collapsed="false">
      <c r="A854" s="1" t="str">
        <f aca="false">IF(Catálogo!$C854="","",Catálogo!$C854&amp;"|"&amp;COUNTIF(Catálogo!$C$4:$C854,Catálogo!$C854))</f>
        <v/>
      </c>
    </row>
    <row r="855" customFormat="false" ht="15" hidden="false" customHeight="true" outlineLevel="0" collapsed="false">
      <c r="A855" s="1" t="str">
        <f aca="false">IF(Catálogo!$C855="","",Catálogo!$C855&amp;"|"&amp;COUNTIF(Catálogo!$C$4:$C855,Catálogo!$C855))</f>
        <v/>
      </c>
    </row>
    <row r="856" customFormat="false" ht="15" hidden="false" customHeight="true" outlineLevel="0" collapsed="false">
      <c r="A856" s="1" t="str">
        <f aca="false">IF(Catálogo!$C856="","",Catálogo!$C856&amp;"|"&amp;COUNTIF(Catálogo!$C$4:$C856,Catálogo!$C856))</f>
        <v/>
      </c>
    </row>
    <row r="857" customFormat="false" ht="15" hidden="false" customHeight="true" outlineLevel="0" collapsed="false">
      <c r="A857" s="1" t="str">
        <f aca="false">IF(Catálogo!$C857="","",Catálogo!$C857&amp;"|"&amp;COUNTIF(Catálogo!$C$4:$C857,Catálogo!$C857))</f>
        <v/>
      </c>
    </row>
    <row r="858" customFormat="false" ht="15" hidden="false" customHeight="true" outlineLevel="0" collapsed="false">
      <c r="A858" s="1" t="str">
        <f aca="false">IF(Catálogo!$C858="","",Catálogo!$C858&amp;"|"&amp;COUNTIF(Catálogo!$C$4:$C858,Catálogo!$C858))</f>
        <v/>
      </c>
    </row>
    <row r="859" customFormat="false" ht="15" hidden="false" customHeight="true" outlineLevel="0" collapsed="false">
      <c r="A859" s="1" t="str">
        <f aca="false">IF(Catálogo!$C859="","",Catálogo!$C859&amp;"|"&amp;COUNTIF(Catálogo!$C$4:$C859,Catálogo!$C859))</f>
        <v/>
      </c>
    </row>
    <row r="860" customFormat="false" ht="15" hidden="false" customHeight="true" outlineLevel="0" collapsed="false">
      <c r="A860" s="1" t="str">
        <f aca="false">IF(Catálogo!$C860="","",Catálogo!$C860&amp;"|"&amp;COUNTIF(Catálogo!$C$4:$C860,Catálogo!$C860))</f>
        <v/>
      </c>
    </row>
    <row r="861" customFormat="false" ht="15" hidden="false" customHeight="true" outlineLevel="0" collapsed="false">
      <c r="A861" s="1" t="str">
        <f aca="false">IF(Catálogo!$C861="","",Catálogo!$C861&amp;"|"&amp;COUNTIF(Catálogo!$C$4:$C861,Catálogo!$C861))</f>
        <v/>
      </c>
    </row>
    <row r="862" customFormat="false" ht="15" hidden="false" customHeight="true" outlineLevel="0" collapsed="false">
      <c r="A862" s="1" t="str">
        <f aca="false">IF(Catálogo!$C862="","",Catálogo!$C862&amp;"|"&amp;COUNTIF(Catálogo!$C$4:$C862,Catálogo!$C862))</f>
        <v/>
      </c>
    </row>
    <row r="863" customFormat="false" ht="15" hidden="false" customHeight="true" outlineLevel="0" collapsed="false">
      <c r="A863" s="1" t="str">
        <f aca="false">IF(Catálogo!$C863="","",Catálogo!$C863&amp;"|"&amp;COUNTIF(Catálogo!$C$4:$C863,Catálogo!$C863))</f>
        <v/>
      </c>
    </row>
    <row r="864" customFormat="false" ht="15" hidden="false" customHeight="true" outlineLevel="0" collapsed="false">
      <c r="A864" s="1" t="str">
        <f aca="false">IF(Catálogo!$C864="","",Catálogo!$C864&amp;"|"&amp;COUNTIF(Catálogo!$C$4:$C864,Catálogo!$C864))</f>
        <v/>
      </c>
    </row>
    <row r="865" customFormat="false" ht="15" hidden="false" customHeight="true" outlineLevel="0" collapsed="false">
      <c r="A865" s="1" t="str">
        <f aca="false">IF(Catálogo!$C865="","",Catálogo!$C865&amp;"|"&amp;COUNTIF(Catálogo!$C$4:$C865,Catálogo!$C865))</f>
        <v/>
      </c>
    </row>
    <row r="866" customFormat="false" ht="15" hidden="false" customHeight="true" outlineLevel="0" collapsed="false">
      <c r="A866" s="1" t="str">
        <f aca="false">IF(Catálogo!$C866="","",Catálogo!$C866&amp;"|"&amp;COUNTIF(Catálogo!$C$4:$C866,Catálogo!$C866))</f>
        <v/>
      </c>
    </row>
    <row r="867" customFormat="false" ht="15" hidden="false" customHeight="true" outlineLevel="0" collapsed="false">
      <c r="A867" s="1" t="str">
        <f aca="false">IF(Catálogo!$C867="","",Catálogo!$C867&amp;"|"&amp;COUNTIF(Catálogo!$C$4:$C867,Catálogo!$C867))</f>
        <v/>
      </c>
    </row>
    <row r="868" customFormat="false" ht="15" hidden="false" customHeight="true" outlineLevel="0" collapsed="false">
      <c r="A868" s="1" t="str">
        <f aca="false">IF(Catálogo!$C868="","",Catálogo!$C868&amp;"|"&amp;COUNTIF(Catálogo!$C$4:$C868,Catálogo!$C868))</f>
        <v/>
      </c>
    </row>
    <row r="869" customFormat="false" ht="15" hidden="false" customHeight="true" outlineLevel="0" collapsed="false">
      <c r="A869" s="1" t="str">
        <f aca="false">IF(Catálogo!$C869="","",Catálogo!$C869&amp;"|"&amp;COUNTIF(Catálogo!$C$4:$C869,Catálogo!$C869))</f>
        <v/>
      </c>
    </row>
    <row r="870" customFormat="false" ht="15" hidden="false" customHeight="true" outlineLevel="0" collapsed="false">
      <c r="A870" s="1" t="str">
        <f aca="false">IF(Catálogo!$C870="","",Catálogo!$C870&amp;"|"&amp;COUNTIF(Catálogo!$C$4:$C870,Catálogo!$C870))</f>
        <v/>
      </c>
    </row>
    <row r="871" customFormat="false" ht="15" hidden="false" customHeight="true" outlineLevel="0" collapsed="false">
      <c r="A871" s="1" t="str">
        <f aca="false">IF(Catálogo!$C871="","",Catálogo!$C871&amp;"|"&amp;COUNTIF(Catálogo!$C$4:$C871,Catálogo!$C871))</f>
        <v/>
      </c>
    </row>
    <row r="872" customFormat="false" ht="15" hidden="false" customHeight="true" outlineLevel="0" collapsed="false">
      <c r="A872" s="1" t="str">
        <f aca="false">IF(Catálogo!$C872="","",Catálogo!$C872&amp;"|"&amp;COUNTIF(Catálogo!$C$4:$C872,Catálogo!$C872))</f>
        <v/>
      </c>
    </row>
    <row r="873" customFormat="false" ht="15" hidden="false" customHeight="true" outlineLevel="0" collapsed="false">
      <c r="A873" s="1" t="str">
        <f aca="false">IF(Catálogo!$C873="","",Catálogo!$C873&amp;"|"&amp;COUNTIF(Catálogo!$C$4:$C873,Catálogo!$C873))</f>
        <v/>
      </c>
    </row>
    <row r="874" customFormat="false" ht="15" hidden="false" customHeight="true" outlineLevel="0" collapsed="false">
      <c r="A874" s="1" t="str">
        <f aca="false">IF(Catálogo!$C874="","",Catálogo!$C874&amp;"|"&amp;COUNTIF(Catálogo!$C$4:$C874,Catálogo!$C874))</f>
        <v/>
      </c>
    </row>
    <row r="875" customFormat="false" ht="15" hidden="false" customHeight="true" outlineLevel="0" collapsed="false">
      <c r="A875" s="1" t="str">
        <f aca="false">IF(Catálogo!$C875="","",Catálogo!$C875&amp;"|"&amp;COUNTIF(Catálogo!$C$4:$C875,Catálogo!$C875))</f>
        <v/>
      </c>
    </row>
    <row r="876" customFormat="false" ht="15" hidden="false" customHeight="true" outlineLevel="0" collapsed="false">
      <c r="A876" s="1" t="str">
        <f aca="false">IF(Catálogo!$C876="","",Catálogo!$C876&amp;"|"&amp;COUNTIF(Catálogo!$C$4:$C876,Catálogo!$C876))</f>
        <v/>
      </c>
    </row>
    <row r="877" customFormat="false" ht="15" hidden="false" customHeight="true" outlineLevel="0" collapsed="false">
      <c r="A877" s="1" t="str">
        <f aca="false">IF(Catálogo!$C877="","",Catálogo!$C877&amp;"|"&amp;COUNTIF(Catálogo!$C$4:$C877,Catálogo!$C877))</f>
        <v/>
      </c>
    </row>
    <row r="878" customFormat="false" ht="15" hidden="false" customHeight="true" outlineLevel="0" collapsed="false">
      <c r="A878" s="1" t="str">
        <f aca="false">IF(Catálogo!$C878="","",Catálogo!$C878&amp;"|"&amp;COUNTIF(Catálogo!$C$4:$C878,Catálogo!$C878))</f>
        <v/>
      </c>
    </row>
    <row r="879" customFormat="false" ht="15" hidden="false" customHeight="true" outlineLevel="0" collapsed="false">
      <c r="A879" s="1" t="str">
        <f aca="false">IF(Catálogo!$C879="","",Catálogo!$C879&amp;"|"&amp;COUNTIF(Catálogo!$C$4:$C879,Catálogo!$C879))</f>
        <v/>
      </c>
    </row>
    <row r="880" customFormat="false" ht="15" hidden="false" customHeight="true" outlineLevel="0" collapsed="false">
      <c r="A880" s="1" t="str">
        <f aca="false">IF(Catálogo!$C880="","",Catálogo!$C880&amp;"|"&amp;COUNTIF(Catálogo!$C$4:$C880,Catálogo!$C880))</f>
        <v/>
      </c>
    </row>
    <row r="881" customFormat="false" ht="15" hidden="false" customHeight="true" outlineLevel="0" collapsed="false">
      <c r="A881" s="1" t="str">
        <f aca="false">IF(Catálogo!$C881="","",Catálogo!$C881&amp;"|"&amp;COUNTIF(Catálogo!$C$4:$C881,Catálogo!$C881))</f>
        <v/>
      </c>
    </row>
    <row r="882" customFormat="false" ht="15" hidden="false" customHeight="true" outlineLevel="0" collapsed="false">
      <c r="A882" s="1" t="str">
        <f aca="false">IF(Catálogo!$C882="","",Catálogo!$C882&amp;"|"&amp;COUNTIF(Catálogo!$C$4:$C882,Catálogo!$C882))</f>
        <v/>
      </c>
    </row>
    <row r="883" customFormat="false" ht="15" hidden="false" customHeight="true" outlineLevel="0" collapsed="false">
      <c r="A883" s="1" t="str">
        <f aca="false">IF(Catálogo!$C883="","",Catálogo!$C883&amp;"|"&amp;COUNTIF(Catálogo!$C$4:$C883,Catálogo!$C883))</f>
        <v/>
      </c>
    </row>
    <row r="884" customFormat="false" ht="15" hidden="false" customHeight="true" outlineLevel="0" collapsed="false">
      <c r="A884" s="1" t="str">
        <f aca="false">IF(Catálogo!$C884="","",Catálogo!$C884&amp;"|"&amp;COUNTIF(Catálogo!$C$4:$C884,Catálogo!$C884))</f>
        <v/>
      </c>
    </row>
    <row r="885" customFormat="false" ht="15" hidden="false" customHeight="true" outlineLevel="0" collapsed="false">
      <c r="A885" s="1" t="str">
        <f aca="false">IF(Catálogo!$C885="","",Catálogo!$C885&amp;"|"&amp;COUNTIF(Catálogo!$C$4:$C885,Catálogo!$C885))</f>
        <v/>
      </c>
    </row>
    <row r="886" customFormat="false" ht="15" hidden="false" customHeight="true" outlineLevel="0" collapsed="false">
      <c r="A886" s="1" t="str">
        <f aca="false">IF(Catálogo!$C886="","",Catálogo!$C886&amp;"|"&amp;COUNTIF(Catálogo!$C$4:$C886,Catálogo!$C886))</f>
        <v/>
      </c>
    </row>
    <row r="887" customFormat="false" ht="15" hidden="false" customHeight="true" outlineLevel="0" collapsed="false">
      <c r="A887" s="1" t="str">
        <f aca="false">IF(Catálogo!$C887="","",Catálogo!$C887&amp;"|"&amp;COUNTIF(Catálogo!$C$4:$C887,Catálogo!$C887))</f>
        <v/>
      </c>
    </row>
    <row r="888" customFormat="false" ht="15" hidden="false" customHeight="true" outlineLevel="0" collapsed="false">
      <c r="A888" s="1" t="str">
        <f aca="false">IF(Catálogo!$C888="","",Catálogo!$C888&amp;"|"&amp;COUNTIF(Catálogo!$C$4:$C888,Catálogo!$C888))</f>
        <v/>
      </c>
    </row>
    <row r="889" customFormat="false" ht="15" hidden="false" customHeight="true" outlineLevel="0" collapsed="false">
      <c r="A889" s="1" t="str">
        <f aca="false">IF(Catálogo!$C889="","",Catálogo!$C889&amp;"|"&amp;COUNTIF(Catálogo!$C$4:$C889,Catálogo!$C889))</f>
        <v/>
      </c>
    </row>
    <row r="890" customFormat="false" ht="15" hidden="false" customHeight="true" outlineLevel="0" collapsed="false">
      <c r="A890" s="1" t="str">
        <f aca="false">IF(Catálogo!$C890="","",Catálogo!$C890&amp;"|"&amp;COUNTIF(Catálogo!$C$4:$C890,Catálogo!$C890))</f>
        <v/>
      </c>
    </row>
    <row r="891" customFormat="false" ht="15" hidden="false" customHeight="true" outlineLevel="0" collapsed="false">
      <c r="A891" s="1" t="str">
        <f aca="false">IF(Catálogo!$C891="","",Catálogo!$C891&amp;"|"&amp;COUNTIF(Catálogo!$C$4:$C891,Catálogo!$C891))</f>
        <v/>
      </c>
    </row>
    <row r="892" customFormat="false" ht="15" hidden="false" customHeight="true" outlineLevel="0" collapsed="false">
      <c r="A892" s="1" t="str">
        <f aca="false">IF(Catálogo!$C892="","",Catálogo!$C892&amp;"|"&amp;COUNTIF(Catálogo!$C$4:$C892,Catálogo!$C892))</f>
        <v/>
      </c>
    </row>
    <row r="893" customFormat="false" ht="15" hidden="false" customHeight="true" outlineLevel="0" collapsed="false">
      <c r="A893" s="1" t="str">
        <f aca="false">IF(Catálogo!$C893="","",Catálogo!$C893&amp;"|"&amp;COUNTIF(Catálogo!$C$4:$C893,Catálogo!$C893))</f>
        <v/>
      </c>
    </row>
    <row r="894" customFormat="false" ht="15" hidden="false" customHeight="true" outlineLevel="0" collapsed="false">
      <c r="A894" s="1" t="str">
        <f aca="false">IF(Catálogo!$C894="","",Catálogo!$C894&amp;"|"&amp;COUNTIF(Catálogo!$C$4:$C894,Catálogo!$C894))</f>
        <v/>
      </c>
    </row>
    <row r="895" customFormat="false" ht="15" hidden="false" customHeight="true" outlineLevel="0" collapsed="false">
      <c r="A895" s="1" t="str">
        <f aca="false">IF(Catálogo!$C895="","",Catálogo!$C895&amp;"|"&amp;COUNTIF(Catálogo!$C$4:$C895,Catálogo!$C895))</f>
        <v/>
      </c>
    </row>
    <row r="896" customFormat="false" ht="15" hidden="false" customHeight="true" outlineLevel="0" collapsed="false">
      <c r="A896" s="1" t="str">
        <f aca="false">IF(Catálogo!$C896="","",Catálogo!$C896&amp;"|"&amp;COUNTIF(Catálogo!$C$4:$C896,Catálogo!$C896))</f>
        <v/>
      </c>
    </row>
    <row r="897" customFormat="false" ht="15" hidden="false" customHeight="true" outlineLevel="0" collapsed="false">
      <c r="A897" s="1" t="str">
        <f aca="false">IF(Catálogo!$C897="","",Catálogo!$C897&amp;"|"&amp;COUNTIF(Catálogo!$C$4:$C897,Catálogo!$C897))</f>
        <v/>
      </c>
    </row>
    <row r="898" customFormat="false" ht="15" hidden="false" customHeight="true" outlineLevel="0" collapsed="false">
      <c r="A898" s="1" t="str">
        <f aca="false">IF(Catálogo!$C898="","",Catálogo!$C898&amp;"|"&amp;COUNTIF(Catálogo!$C$4:$C898,Catálogo!$C898))</f>
        <v/>
      </c>
    </row>
    <row r="899" customFormat="false" ht="15" hidden="false" customHeight="true" outlineLevel="0" collapsed="false">
      <c r="A899" s="1" t="str">
        <f aca="false">IF(Catálogo!$C899="","",Catálogo!$C899&amp;"|"&amp;COUNTIF(Catálogo!$C$4:$C899,Catálogo!$C899))</f>
        <v/>
      </c>
    </row>
    <row r="900" customFormat="false" ht="15" hidden="false" customHeight="true" outlineLevel="0" collapsed="false">
      <c r="A900" s="1" t="str">
        <f aca="false">IF(Catálogo!$C900="","",Catálogo!$C900&amp;"|"&amp;COUNTIF(Catálogo!$C$4:$C900,Catálogo!$C900))</f>
        <v/>
      </c>
    </row>
    <row r="901" customFormat="false" ht="15" hidden="false" customHeight="true" outlineLevel="0" collapsed="false">
      <c r="A901" s="1" t="str">
        <f aca="false">IF(Catálogo!$C901="","",Catálogo!$C901&amp;"|"&amp;COUNTIF(Catálogo!$C$4:$C901,Catálogo!$C901))</f>
        <v/>
      </c>
    </row>
    <row r="902" customFormat="false" ht="15" hidden="false" customHeight="true" outlineLevel="0" collapsed="false">
      <c r="A902" s="1" t="str">
        <f aca="false">IF(Catálogo!$C902="","",Catálogo!$C902&amp;"|"&amp;COUNTIF(Catálogo!$C$4:$C902,Catálogo!$C902))</f>
        <v/>
      </c>
    </row>
    <row r="903" customFormat="false" ht="15" hidden="false" customHeight="true" outlineLevel="0" collapsed="false">
      <c r="A903" s="1" t="str">
        <f aca="false">IF(Catálogo!$C903="","",Catálogo!$C903&amp;"|"&amp;COUNTIF(Catálogo!$C$4:$C903,Catálogo!$C903))</f>
        <v/>
      </c>
    </row>
    <row r="904" customFormat="false" ht="15" hidden="false" customHeight="true" outlineLevel="0" collapsed="false">
      <c r="A904" s="1" t="str">
        <f aca="false">IF(Catálogo!$C904="","",Catálogo!$C904&amp;"|"&amp;COUNTIF(Catálogo!$C$4:$C904,Catálogo!$C904))</f>
        <v/>
      </c>
    </row>
    <row r="905" customFormat="false" ht="15" hidden="false" customHeight="true" outlineLevel="0" collapsed="false">
      <c r="A905" s="1" t="str">
        <f aca="false">IF(Catálogo!$C905="","",Catálogo!$C905&amp;"|"&amp;COUNTIF(Catálogo!$C$4:$C905,Catálogo!$C905))</f>
        <v/>
      </c>
    </row>
    <row r="906" customFormat="false" ht="15" hidden="false" customHeight="true" outlineLevel="0" collapsed="false">
      <c r="A906" s="1" t="str">
        <f aca="false">IF(Catálogo!$C906="","",Catálogo!$C906&amp;"|"&amp;COUNTIF(Catálogo!$C$4:$C906,Catálogo!$C906))</f>
        <v/>
      </c>
    </row>
    <row r="907" customFormat="false" ht="15" hidden="false" customHeight="true" outlineLevel="0" collapsed="false">
      <c r="A907" s="1" t="str">
        <f aca="false">IF(Catálogo!$C907="","",Catálogo!$C907&amp;"|"&amp;COUNTIF(Catálogo!$C$4:$C907,Catálogo!$C907))</f>
        <v/>
      </c>
    </row>
    <row r="908" customFormat="false" ht="15" hidden="false" customHeight="true" outlineLevel="0" collapsed="false">
      <c r="A908" s="1" t="str">
        <f aca="false">IF(Catálogo!$C908="","",Catálogo!$C908&amp;"|"&amp;COUNTIF(Catálogo!$C$4:$C908,Catálogo!$C908))</f>
        <v/>
      </c>
    </row>
    <row r="909" customFormat="false" ht="15" hidden="false" customHeight="true" outlineLevel="0" collapsed="false">
      <c r="A909" s="1" t="str">
        <f aca="false">IF(Catálogo!$C909="","",Catálogo!$C909&amp;"|"&amp;COUNTIF(Catálogo!$C$4:$C909,Catálogo!$C909))</f>
        <v/>
      </c>
    </row>
    <row r="910" customFormat="false" ht="15" hidden="false" customHeight="true" outlineLevel="0" collapsed="false">
      <c r="A910" s="1" t="str">
        <f aca="false">IF(Catálogo!$C910="","",Catálogo!$C910&amp;"|"&amp;COUNTIF(Catálogo!$C$4:$C910,Catálogo!$C910))</f>
        <v/>
      </c>
    </row>
    <row r="911" customFormat="false" ht="15" hidden="false" customHeight="true" outlineLevel="0" collapsed="false">
      <c r="A911" s="1" t="str">
        <f aca="false">IF(Catálogo!$C911="","",Catálogo!$C911&amp;"|"&amp;COUNTIF(Catálogo!$C$4:$C911,Catálogo!$C911))</f>
        <v/>
      </c>
    </row>
    <row r="912" customFormat="false" ht="15" hidden="false" customHeight="true" outlineLevel="0" collapsed="false">
      <c r="A912" s="1" t="str">
        <f aca="false">IF(Catálogo!$C912="","",Catálogo!$C912&amp;"|"&amp;COUNTIF(Catálogo!$C$4:$C912,Catálogo!$C912))</f>
        <v/>
      </c>
    </row>
    <row r="913" customFormat="false" ht="15" hidden="false" customHeight="true" outlineLevel="0" collapsed="false">
      <c r="A913" s="1" t="str">
        <f aca="false">IF(Catálogo!$C913="","",Catálogo!$C913&amp;"|"&amp;COUNTIF(Catálogo!$C$4:$C913,Catálogo!$C913))</f>
        <v/>
      </c>
    </row>
    <row r="914" customFormat="false" ht="15" hidden="false" customHeight="true" outlineLevel="0" collapsed="false">
      <c r="A914" s="1" t="str">
        <f aca="false">IF(Catálogo!$C914="","",Catálogo!$C914&amp;"|"&amp;COUNTIF(Catálogo!$C$4:$C914,Catálogo!$C914))</f>
        <v/>
      </c>
    </row>
    <row r="915" customFormat="false" ht="15" hidden="false" customHeight="true" outlineLevel="0" collapsed="false">
      <c r="A915" s="1" t="str">
        <f aca="false">IF(Catálogo!$C915="","",Catálogo!$C915&amp;"|"&amp;COUNTIF(Catálogo!$C$4:$C915,Catálogo!$C915))</f>
        <v/>
      </c>
    </row>
    <row r="916" customFormat="false" ht="15" hidden="false" customHeight="true" outlineLevel="0" collapsed="false">
      <c r="A916" s="1" t="str">
        <f aca="false">IF(Catálogo!$C916="","",Catálogo!$C916&amp;"|"&amp;COUNTIF(Catálogo!$C$4:$C916,Catálogo!$C916))</f>
        <v/>
      </c>
    </row>
    <row r="917" customFormat="false" ht="15" hidden="false" customHeight="true" outlineLevel="0" collapsed="false">
      <c r="A917" s="1" t="str">
        <f aca="false">IF(Catálogo!$C917="","",Catálogo!$C917&amp;"|"&amp;COUNTIF(Catálogo!$C$4:$C917,Catálogo!$C917))</f>
        <v/>
      </c>
    </row>
    <row r="918" customFormat="false" ht="15" hidden="false" customHeight="true" outlineLevel="0" collapsed="false">
      <c r="A918" s="1" t="str">
        <f aca="false">IF(Catálogo!$C918="","",Catálogo!$C918&amp;"|"&amp;COUNTIF(Catálogo!$C$4:$C918,Catálogo!$C918))</f>
        <v/>
      </c>
    </row>
    <row r="919" customFormat="false" ht="15" hidden="false" customHeight="true" outlineLevel="0" collapsed="false">
      <c r="A919" s="1" t="str">
        <f aca="false">IF(Catálogo!$C919="","",Catálogo!$C919&amp;"|"&amp;COUNTIF(Catálogo!$C$4:$C919,Catálogo!$C919))</f>
        <v/>
      </c>
    </row>
    <row r="920" customFormat="false" ht="15" hidden="false" customHeight="true" outlineLevel="0" collapsed="false">
      <c r="A920" s="1" t="str">
        <f aca="false">IF(Catálogo!$C920="","",Catálogo!$C920&amp;"|"&amp;COUNTIF(Catálogo!$C$4:$C920,Catálogo!$C920))</f>
        <v/>
      </c>
    </row>
    <row r="921" customFormat="false" ht="15" hidden="false" customHeight="true" outlineLevel="0" collapsed="false">
      <c r="A921" s="1" t="str">
        <f aca="false">IF(Catálogo!$C921="","",Catálogo!$C921&amp;"|"&amp;COUNTIF(Catálogo!$C$4:$C921,Catálogo!$C921))</f>
        <v/>
      </c>
    </row>
    <row r="922" customFormat="false" ht="15" hidden="false" customHeight="true" outlineLevel="0" collapsed="false">
      <c r="A922" s="1" t="str">
        <f aca="false">IF(Catálogo!$C922="","",Catálogo!$C922&amp;"|"&amp;COUNTIF(Catálogo!$C$4:$C922,Catálogo!$C922))</f>
        <v/>
      </c>
    </row>
    <row r="923" customFormat="false" ht="15" hidden="false" customHeight="true" outlineLevel="0" collapsed="false">
      <c r="A923" s="1" t="str">
        <f aca="false">IF(Catálogo!$C923="","",Catálogo!$C923&amp;"|"&amp;COUNTIF(Catálogo!$C$4:$C923,Catálogo!$C923))</f>
        <v/>
      </c>
    </row>
    <row r="924" customFormat="false" ht="15" hidden="false" customHeight="true" outlineLevel="0" collapsed="false">
      <c r="A924" s="1" t="str">
        <f aca="false">IF(Catálogo!$C924="","",Catálogo!$C924&amp;"|"&amp;COUNTIF(Catálogo!$C$4:$C924,Catálogo!$C924))</f>
        <v/>
      </c>
    </row>
    <row r="925" customFormat="false" ht="15" hidden="false" customHeight="true" outlineLevel="0" collapsed="false">
      <c r="A925" s="1" t="str">
        <f aca="false">IF(Catálogo!$C925="","",Catálogo!$C925&amp;"|"&amp;COUNTIF(Catálogo!$C$4:$C925,Catálogo!$C925))</f>
        <v/>
      </c>
    </row>
    <row r="926" customFormat="false" ht="15" hidden="false" customHeight="true" outlineLevel="0" collapsed="false">
      <c r="A926" s="1" t="str">
        <f aca="false">IF(Catálogo!$C926="","",Catálogo!$C926&amp;"|"&amp;COUNTIF(Catálogo!$C$4:$C926,Catálogo!$C926))</f>
        <v/>
      </c>
    </row>
    <row r="927" customFormat="false" ht="15" hidden="false" customHeight="true" outlineLevel="0" collapsed="false">
      <c r="A927" s="1" t="str">
        <f aca="false">IF(Catálogo!$C927="","",Catálogo!$C927&amp;"|"&amp;COUNTIF(Catálogo!$C$4:$C927,Catálogo!$C927))</f>
        <v/>
      </c>
    </row>
    <row r="928" customFormat="false" ht="15" hidden="false" customHeight="true" outlineLevel="0" collapsed="false">
      <c r="A928" s="1" t="str">
        <f aca="false">IF(Catálogo!$C928="","",Catálogo!$C928&amp;"|"&amp;COUNTIF(Catálogo!$C$4:$C928,Catálogo!$C928))</f>
        <v/>
      </c>
    </row>
    <row r="929" customFormat="false" ht="15" hidden="false" customHeight="true" outlineLevel="0" collapsed="false">
      <c r="A929" s="1" t="str">
        <f aca="false">IF(Catálogo!$C929="","",Catálogo!$C929&amp;"|"&amp;COUNTIF(Catálogo!$C$4:$C929,Catálogo!$C929))</f>
        <v/>
      </c>
    </row>
    <row r="930" customFormat="false" ht="15" hidden="false" customHeight="true" outlineLevel="0" collapsed="false">
      <c r="A930" s="1" t="str">
        <f aca="false">IF(Catálogo!$C930="","",Catálogo!$C930&amp;"|"&amp;COUNTIF(Catálogo!$C$4:$C930,Catálogo!$C930))</f>
        <v/>
      </c>
    </row>
    <row r="931" customFormat="false" ht="15" hidden="false" customHeight="true" outlineLevel="0" collapsed="false">
      <c r="A931" s="1" t="str">
        <f aca="false">IF(Catálogo!$C931="","",Catálogo!$C931&amp;"|"&amp;COUNTIF(Catálogo!$C$4:$C931,Catálogo!$C931))</f>
        <v/>
      </c>
    </row>
    <row r="932" customFormat="false" ht="15" hidden="false" customHeight="true" outlineLevel="0" collapsed="false">
      <c r="A932" s="1" t="str">
        <f aca="false">IF(Catálogo!$C932="","",Catálogo!$C932&amp;"|"&amp;COUNTIF(Catálogo!$C$4:$C932,Catálogo!$C932))</f>
        <v/>
      </c>
    </row>
    <row r="933" customFormat="false" ht="15" hidden="false" customHeight="true" outlineLevel="0" collapsed="false">
      <c r="A933" s="1" t="str">
        <f aca="false">IF(Catálogo!$C933="","",Catálogo!$C933&amp;"|"&amp;COUNTIF(Catálogo!$C$4:$C933,Catálogo!$C933))</f>
        <v/>
      </c>
    </row>
    <row r="934" customFormat="false" ht="15" hidden="false" customHeight="true" outlineLevel="0" collapsed="false">
      <c r="A934" s="1" t="str">
        <f aca="false">IF(Catálogo!$C934="","",Catálogo!$C934&amp;"|"&amp;COUNTIF(Catálogo!$C$4:$C934,Catálogo!$C934))</f>
        <v/>
      </c>
    </row>
    <row r="935" customFormat="false" ht="15" hidden="false" customHeight="true" outlineLevel="0" collapsed="false">
      <c r="A935" s="1" t="str">
        <f aca="false">IF(Catálogo!$C935="","",Catálogo!$C935&amp;"|"&amp;COUNTIF(Catálogo!$C$4:$C935,Catálogo!$C935))</f>
        <v/>
      </c>
    </row>
    <row r="936" customFormat="false" ht="15" hidden="false" customHeight="true" outlineLevel="0" collapsed="false">
      <c r="A936" s="1" t="str">
        <f aca="false">IF(Catálogo!$C936="","",Catálogo!$C936&amp;"|"&amp;COUNTIF(Catálogo!$C$4:$C936,Catálogo!$C936))</f>
        <v/>
      </c>
    </row>
    <row r="937" customFormat="false" ht="15" hidden="false" customHeight="true" outlineLevel="0" collapsed="false">
      <c r="A937" s="1" t="str">
        <f aca="false">IF(Catálogo!$C937="","",Catálogo!$C937&amp;"|"&amp;COUNTIF(Catálogo!$C$4:$C937,Catálogo!$C937))</f>
        <v/>
      </c>
    </row>
    <row r="938" customFormat="false" ht="15" hidden="false" customHeight="true" outlineLevel="0" collapsed="false">
      <c r="A938" s="1" t="str">
        <f aca="false">IF(Catálogo!$C938="","",Catálogo!$C938&amp;"|"&amp;COUNTIF(Catálogo!$C$4:$C938,Catálogo!$C938))</f>
        <v/>
      </c>
    </row>
    <row r="939" customFormat="false" ht="15" hidden="false" customHeight="true" outlineLevel="0" collapsed="false">
      <c r="A939" s="1" t="str">
        <f aca="false">IF(Catálogo!$C939="","",Catálogo!$C939&amp;"|"&amp;COUNTIF(Catálogo!$C$4:$C939,Catálogo!$C939))</f>
        <v/>
      </c>
    </row>
    <row r="940" customFormat="false" ht="15" hidden="false" customHeight="true" outlineLevel="0" collapsed="false">
      <c r="A940" s="1" t="str">
        <f aca="false">IF(Catálogo!$C940="","",Catálogo!$C940&amp;"|"&amp;COUNTIF(Catálogo!$C$4:$C940,Catálogo!$C940))</f>
        <v/>
      </c>
    </row>
    <row r="941" customFormat="false" ht="15" hidden="false" customHeight="true" outlineLevel="0" collapsed="false">
      <c r="A941" s="1" t="str">
        <f aca="false">IF(Catálogo!$C941="","",Catálogo!$C941&amp;"|"&amp;COUNTIF(Catálogo!$C$4:$C941,Catálogo!$C941))</f>
        <v/>
      </c>
    </row>
    <row r="942" customFormat="false" ht="15" hidden="false" customHeight="true" outlineLevel="0" collapsed="false">
      <c r="A942" s="1" t="str">
        <f aca="false">IF(Catálogo!$C942="","",Catálogo!$C942&amp;"|"&amp;COUNTIF(Catálogo!$C$4:$C942,Catálogo!$C942))</f>
        <v/>
      </c>
    </row>
    <row r="943" customFormat="false" ht="15" hidden="false" customHeight="true" outlineLevel="0" collapsed="false">
      <c r="A943" s="1" t="str">
        <f aca="false">IF(Catálogo!$C943="","",Catálogo!$C943&amp;"|"&amp;COUNTIF(Catálogo!$C$4:$C943,Catálogo!$C943))</f>
        <v/>
      </c>
    </row>
    <row r="944" customFormat="false" ht="15" hidden="false" customHeight="true" outlineLevel="0" collapsed="false">
      <c r="A944" s="1" t="str">
        <f aca="false">IF(Catálogo!$C944="","",Catálogo!$C944&amp;"|"&amp;COUNTIF(Catálogo!$C$4:$C944,Catálogo!$C944))</f>
        <v/>
      </c>
    </row>
    <row r="945" customFormat="false" ht="15" hidden="false" customHeight="true" outlineLevel="0" collapsed="false">
      <c r="A945" s="1" t="str">
        <f aca="false">IF(Catálogo!$C945="","",Catálogo!$C945&amp;"|"&amp;COUNTIF(Catálogo!$C$4:$C945,Catálogo!$C945))</f>
        <v/>
      </c>
    </row>
    <row r="946" customFormat="false" ht="15" hidden="false" customHeight="true" outlineLevel="0" collapsed="false">
      <c r="A946" s="1" t="str">
        <f aca="false">IF(Catálogo!$C946="","",Catálogo!$C946&amp;"|"&amp;COUNTIF(Catálogo!$C$4:$C946,Catálogo!$C946))</f>
        <v/>
      </c>
    </row>
    <row r="947" customFormat="false" ht="15" hidden="false" customHeight="true" outlineLevel="0" collapsed="false">
      <c r="A947" s="1" t="str">
        <f aca="false">IF(Catálogo!$C947="","",Catálogo!$C947&amp;"|"&amp;COUNTIF(Catálogo!$C$4:$C947,Catálogo!$C947))</f>
        <v/>
      </c>
    </row>
    <row r="948" customFormat="false" ht="15" hidden="false" customHeight="true" outlineLevel="0" collapsed="false">
      <c r="A948" s="1" t="str">
        <f aca="false">IF(Catálogo!$C948="","",Catálogo!$C948&amp;"|"&amp;COUNTIF(Catálogo!$C$4:$C948,Catálogo!$C948))</f>
        <v/>
      </c>
    </row>
    <row r="949" customFormat="false" ht="15" hidden="false" customHeight="true" outlineLevel="0" collapsed="false">
      <c r="A949" s="1" t="str">
        <f aca="false">IF(Catálogo!$C949="","",Catálogo!$C949&amp;"|"&amp;COUNTIF(Catálogo!$C$4:$C949,Catálogo!$C949))</f>
        <v/>
      </c>
    </row>
    <row r="950" customFormat="false" ht="15" hidden="false" customHeight="true" outlineLevel="0" collapsed="false">
      <c r="A950" s="1" t="str">
        <f aca="false">IF(Catálogo!$C950="","",Catálogo!$C950&amp;"|"&amp;COUNTIF(Catálogo!$C$4:$C950,Catálogo!$C950))</f>
        <v/>
      </c>
    </row>
    <row r="951" customFormat="false" ht="15" hidden="false" customHeight="true" outlineLevel="0" collapsed="false">
      <c r="A951" s="1" t="str">
        <f aca="false">IF(Catálogo!$C951="","",Catálogo!$C951&amp;"|"&amp;COUNTIF(Catálogo!$C$4:$C951,Catálogo!$C951))</f>
        <v/>
      </c>
    </row>
    <row r="952" customFormat="false" ht="15" hidden="false" customHeight="true" outlineLevel="0" collapsed="false">
      <c r="A952" s="1" t="str">
        <f aca="false">IF(Catálogo!$C952="","",Catálogo!$C952&amp;"|"&amp;COUNTIF(Catálogo!$C$4:$C952,Catálogo!$C952))</f>
        <v/>
      </c>
    </row>
    <row r="953" customFormat="false" ht="15" hidden="false" customHeight="true" outlineLevel="0" collapsed="false">
      <c r="A953" s="1" t="str">
        <f aca="false">IF(Catálogo!$C953="","",Catálogo!$C953&amp;"|"&amp;COUNTIF(Catálogo!$C$4:$C953,Catálogo!$C953))</f>
        <v/>
      </c>
    </row>
    <row r="954" customFormat="false" ht="15" hidden="false" customHeight="true" outlineLevel="0" collapsed="false">
      <c r="A954" s="1" t="str">
        <f aca="false">IF(Catálogo!$C954="","",Catálogo!$C954&amp;"|"&amp;COUNTIF(Catálogo!$C$4:$C954,Catálogo!$C954))</f>
        <v/>
      </c>
    </row>
    <row r="955" customFormat="false" ht="15" hidden="false" customHeight="true" outlineLevel="0" collapsed="false">
      <c r="A955" s="1" t="str">
        <f aca="false">IF(Catálogo!$C955="","",Catálogo!$C955&amp;"|"&amp;COUNTIF(Catálogo!$C$4:$C955,Catálogo!$C955))</f>
        <v/>
      </c>
    </row>
    <row r="956" customFormat="false" ht="15" hidden="false" customHeight="true" outlineLevel="0" collapsed="false">
      <c r="A956" s="1" t="str">
        <f aca="false">IF(Catálogo!$C956="","",Catálogo!$C956&amp;"|"&amp;COUNTIF(Catálogo!$C$4:$C956,Catálogo!$C956))</f>
        <v/>
      </c>
    </row>
    <row r="957" customFormat="false" ht="15" hidden="false" customHeight="true" outlineLevel="0" collapsed="false">
      <c r="A957" s="1" t="str">
        <f aca="false">IF(Catálogo!$C957="","",Catálogo!$C957&amp;"|"&amp;COUNTIF(Catálogo!$C$4:$C957,Catálogo!$C957))</f>
        <v/>
      </c>
    </row>
    <row r="958" customFormat="false" ht="15" hidden="false" customHeight="true" outlineLevel="0" collapsed="false">
      <c r="A958" s="1" t="str">
        <f aca="false">IF(Catálogo!$C958="","",Catálogo!$C958&amp;"|"&amp;COUNTIF(Catálogo!$C$4:$C958,Catálogo!$C958))</f>
        <v/>
      </c>
    </row>
    <row r="959" customFormat="false" ht="15" hidden="false" customHeight="true" outlineLevel="0" collapsed="false">
      <c r="A959" s="1" t="str">
        <f aca="false">IF(Catálogo!$C959="","",Catálogo!$C959&amp;"|"&amp;COUNTIF(Catálogo!$C$4:$C959,Catálogo!$C959))</f>
        <v/>
      </c>
    </row>
    <row r="960" customFormat="false" ht="15" hidden="false" customHeight="true" outlineLevel="0" collapsed="false">
      <c r="A960" s="1" t="str">
        <f aca="false">IF(Catálogo!$C960="","",Catálogo!$C960&amp;"|"&amp;COUNTIF(Catálogo!$C$4:$C960,Catálogo!$C960))</f>
        <v/>
      </c>
    </row>
    <row r="961" customFormat="false" ht="15" hidden="false" customHeight="true" outlineLevel="0" collapsed="false">
      <c r="A961" s="1" t="str">
        <f aca="false">IF(Catálogo!$C961="","",Catálogo!$C961&amp;"|"&amp;COUNTIF(Catálogo!$C$4:$C961,Catálogo!$C961))</f>
        <v/>
      </c>
    </row>
    <row r="962" customFormat="false" ht="15" hidden="false" customHeight="true" outlineLevel="0" collapsed="false">
      <c r="A962" s="1" t="str">
        <f aca="false">IF(Catálogo!$C962="","",Catálogo!$C962&amp;"|"&amp;COUNTIF(Catálogo!$C$4:$C962,Catálogo!$C962))</f>
        <v/>
      </c>
    </row>
    <row r="963" customFormat="false" ht="15" hidden="false" customHeight="true" outlineLevel="0" collapsed="false">
      <c r="A963" s="1" t="str">
        <f aca="false">IF(Catálogo!$C963="","",Catálogo!$C963&amp;"|"&amp;COUNTIF(Catálogo!$C$4:$C963,Catálogo!$C963))</f>
        <v/>
      </c>
    </row>
    <row r="964" customFormat="false" ht="15" hidden="false" customHeight="true" outlineLevel="0" collapsed="false">
      <c r="A964" s="1" t="str">
        <f aca="false">IF(Catálogo!$C964="","",Catálogo!$C964&amp;"|"&amp;COUNTIF(Catálogo!$C$4:$C964,Catálogo!$C964))</f>
        <v/>
      </c>
    </row>
    <row r="965" customFormat="false" ht="15" hidden="false" customHeight="true" outlineLevel="0" collapsed="false">
      <c r="A965" s="1" t="str">
        <f aca="false">IF(Catálogo!$C965="","",Catálogo!$C965&amp;"|"&amp;COUNTIF(Catálogo!$C$4:$C965,Catálogo!$C965))</f>
        <v/>
      </c>
    </row>
    <row r="966" customFormat="false" ht="15" hidden="false" customHeight="true" outlineLevel="0" collapsed="false">
      <c r="A966" s="1" t="str">
        <f aca="false">IF(Catálogo!$C966="","",Catálogo!$C966&amp;"|"&amp;COUNTIF(Catálogo!$C$4:$C966,Catálogo!$C966))</f>
        <v/>
      </c>
    </row>
    <row r="967" customFormat="false" ht="15" hidden="false" customHeight="true" outlineLevel="0" collapsed="false">
      <c r="A967" s="1" t="str">
        <f aca="false">IF(Catálogo!$C967="","",Catálogo!$C967&amp;"|"&amp;COUNTIF(Catálogo!$C$4:$C967,Catálogo!$C967))</f>
        <v/>
      </c>
    </row>
    <row r="968" customFormat="false" ht="15" hidden="false" customHeight="true" outlineLevel="0" collapsed="false">
      <c r="A968" s="1" t="str">
        <f aca="false">IF(Catálogo!$C968="","",Catálogo!$C968&amp;"|"&amp;COUNTIF(Catálogo!$C$4:$C968,Catálogo!$C968))</f>
        <v/>
      </c>
    </row>
    <row r="969" customFormat="false" ht="15" hidden="false" customHeight="true" outlineLevel="0" collapsed="false">
      <c r="A969" s="1" t="str">
        <f aca="false">IF(Catálogo!$C969="","",Catálogo!$C969&amp;"|"&amp;COUNTIF(Catálogo!$C$4:$C969,Catálogo!$C969))</f>
        <v/>
      </c>
    </row>
    <row r="970" customFormat="false" ht="15" hidden="false" customHeight="true" outlineLevel="0" collapsed="false">
      <c r="A970" s="1" t="str">
        <f aca="false">IF(Catálogo!$C970="","",Catálogo!$C970&amp;"|"&amp;COUNTIF(Catálogo!$C$4:$C970,Catálogo!$C970))</f>
        <v/>
      </c>
    </row>
    <row r="971" customFormat="false" ht="15" hidden="false" customHeight="true" outlineLevel="0" collapsed="false">
      <c r="A971" s="1" t="str">
        <f aca="false">IF(Catálogo!$C971="","",Catálogo!$C971&amp;"|"&amp;COUNTIF(Catálogo!$C$4:$C971,Catálogo!$C971))</f>
        <v/>
      </c>
    </row>
    <row r="972" customFormat="false" ht="15" hidden="false" customHeight="true" outlineLevel="0" collapsed="false">
      <c r="A972" s="1" t="str">
        <f aca="false">IF(Catálogo!$C972="","",Catálogo!$C972&amp;"|"&amp;COUNTIF(Catálogo!$C$4:$C972,Catálogo!$C972))</f>
        <v/>
      </c>
    </row>
    <row r="973" customFormat="false" ht="15" hidden="false" customHeight="true" outlineLevel="0" collapsed="false">
      <c r="A973" s="1" t="str">
        <f aca="false">IF(Catálogo!$C973="","",Catálogo!$C973&amp;"|"&amp;COUNTIF(Catálogo!$C$4:$C973,Catálogo!$C973))</f>
        <v/>
      </c>
    </row>
    <row r="974" customFormat="false" ht="15" hidden="false" customHeight="true" outlineLevel="0" collapsed="false">
      <c r="A974" s="1" t="str">
        <f aca="false">IF(Catálogo!$C974="","",Catálogo!$C974&amp;"|"&amp;COUNTIF(Catálogo!$C$4:$C974,Catálogo!$C974))</f>
        <v/>
      </c>
    </row>
    <row r="975" customFormat="false" ht="15" hidden="false" customHeight="true" outlineLevel="0" collapsed="false">
      <c r="A975" s="1" t="str">
        <f aca="false">IF(Catálogo!$C975="","",Catálogo!$C975&amp;"|"&amp;COUNTIF(Catálogo!$C$4:$C975,Catálogo!$C975))</f>
        <v/>
      </c>
    </row>
    <row r="976" customFormat="false" ht="15" hidden="false" customHeight="true" outlineLevel="0" collapsed="false">
      <c r="A976" s="1" t="str">
        <f aca="false">IF(Catálogo!$C976="","",Catálogo!$C976&amp;"|"&amp;COUNTIF(Catálogo!$C$4:$C976,Catálogo!$C976))</f>
        <v/>
      </c>
    </row>
    <row r="977" customFormat="false" ht="15" hidden="false" customHeight="true" outlineLevel="0" collapsed="false">
      <c r="A977" s="1" t="str">
        <f aca="false">IF(Catálogo!$C977="","",Catálogo!$C977&amp;"|"&amp;COUNTIF(Catálogo!$C$4:$C977,Catálogo!$C977))</f>
        <v/>
      </c>
    </row>
    <row r="978" customFormat="false" ht="15" hidden="false" customHeight="true" outlineLevel="0" collapsed="false">
      <c r="A978" s="1" t="str">
        <f aca="false">IF(Catálogo!$C978="","",Catálogo!$C978&amp;"|"&amp;COUNTIF(Catálogo!$C$4:$C978,Catálogo!$C978))</f>
        <v/>
      </c>
    </row>
    <row r="979" customFormat="false" ht="15" hidden="false" customHeight="true" outlineLevel="0" collapsed="false">
      <c r="A979" s="1" t="str">
        <f aca="false">IF(Catálogo!$C979="","",Catálogo!$C979&amp;"|"&amp;COUNTIF(Catálogo!$C$4:$C979,Catálogo!$C979))</f>
        <v/>
      </c>
    </row>
    <row r="980" customFormat="false" ht="15" hidden="false" customHeight="true" outlineLevel="0" collapsed="false">
      <c r="A980" s="1" t="str">
        <f aca="false">IF(Catálogo!$C980="","",Catálogo!$C980&amp;"|"&amp;COUNTIF(Catálogo!$C$4:$C980,Catálogo!$C980))</f>
        <v/>
      </c>
    </row>
    <row r="981" customFormat="false" ht="15" hidden="false" customHeight="true" outlineLevel="0" collapsed="false">
      <c r="A981" s="1" t="str">
        <f aca="false">IF(Catálogo!$C981="","",Catálogo!$C981&amp;"|"&amp;COUNTIF(Catálogo!$C$4:$C981,Catálogo!$C981))</f>
        <v/>
      </c>
    </row>
    <row r="982" customFormat="false" ht="15" hidden="false" customHeight="true" outlineLevel="0" collapsed="false">
      <c r="A982" s="1" t="str">
        <f aca="false">IF(Catálogo!$C982="","",Catálogo!$C982&amp;"|"&amp;COUNTIF(Catálogo!$C$4:$C982,Catálogo!$C982))</f>
        <v/>
      </c>
    </row>
    <row r="983" customFormat="false" ht="15" hidden="false" customHeight="true" outlineLevel="0" collapsed="false">
      <c r="A983" s="1" t="str">
        <f aca="false">IF(Catálogo!$C983="","",Catálogo!$C983&amp;"|"&amp;COUNTIF(Catálogo!$C$4:$C983,Catálogo!$C983))</f>
        <v/>
      </c>
    </row>
    <row r="984" customFormat="false" ht="15" hidden="false" customHeight="true" outlineLevel="0" collapsed="false">
      <c r="A984" s="1" t="str">
        <f aca="false">IF(Catálogo!$C984="","",Catálogo!$C984&amp;"|"&amp;COUNTIF(Catálogo!$C$4:$C984,Catálogo!$C984))</f>
        <v/>
      </c>
    </row>
    <row r="985" customFormat="false" ht="15" hidden="false" customHeight="true" outlineLevel="0" collapsed="false">
      <c r="A985" s="1" t="str">
        <f aca="false">IF(Catálogo!$C985="","",Catálogo!$C985&amp;"|"&amp;COUNTIF(Catálogo!$C$4:$C985,Catálogo!$C985))</f>
        <v/>
      </c>
    </row>
    <row r="986" customFormat="false" ht="15" hidden="false" customHeight="true" outlineLevel="0" collapsed="false">
      <c r="A986" s="1" t="str">
        <f aca="false">IF(Catálogo!$C986="","",Catálogo!$C986&amp;"|"&amp;COUNTIF(Catálogo!$C$4:$C986,Catálogo!$C986))</f>
        <v/>
      </c>
    </row>
    <row r="987" customFormat="false" ht="15" hidden="false" customHeight="true" outlineLevel="0" collapsed="false">
      <c r="A987" s="1" t="str">
        <f aca="false">IF(Catálogo!$C987="","",Catálogo!$C987&amp;"|"&amp;COUNTIF(Catálogo!$C$4:$C987,Catálogo!$C987))</f>
        <v/>
      </c>
    </row>
    <row r="988" customFormat="false" ht="15" hidden="false" customHeight="true" outlineLevel="0" collapsed="false">
      <c r="A988" s="1" t="str">
        <f aca="false">IF(Catálogo!$C988="","",Catálogo!$C988&amp;"|"&amp;COUNTIF(Catálogo!$C$4:$C988,Catálogo!$C988))</f>
        <v/>
      </c>
    </row>
    <row r="989" customFormat="false" ht="15" hidden="false" customHeight="true" outlineLevel="0" collapsed="false">
      <c r="A989" s="1" t="str">
        <f aca="false">IF(Catálogo!$C989="","",Catálogo!$C989&amp;"|"&amp;COUNTIF(Catálogo!$C$4:$C989,Catálogo!$C989))</f>
        <v/>
      </c>
    </row>
    <row r="990" customFormat="false" ht="15" hidden="false" customHeight="true" outlineLevel="0" collapsed="false">
      <c r="A990" s="1" t="str">
        <f aca="false">IF(Catálogo!$C990="","",Catálogo!$C990&amp;"|"&amp;COUNTIF(Catálogo!$C$4:$C990,Catálogo!$C990))</f>
        <v/>
      </c>
    </row>
    <row r="991" customFormat="false" ht="15" hidden="false" customHeight="true" outlineLevel="0" collapsed="false">
      <c r="A991" s="1" t="str">
        <f aca="false">IF(Catálogo!$C991="","",Catálogo!$C991&amp;"|"&amp;COUNTIF(Catálogo!$C$4:$C991,Catálogo!$C991))</f>
        <v/>
      </c>
    </row>
    <row r="992" customFormat="false" ht="15" hidden="false" customHeight="true" outlineLevel="0" collapsed="false">
      <c r="A992" s="1" t="str">
        <f aca="false">IF(Catálogo!$C992="","",Catálogo!$C992&amp;"|"&amp;COUNTIF(Catálogo!$C$4:$C992,Catálogo!$C992))</f>
        <v/>
      </c>
    </row>
    <row r="993" customFormat="false" ht="15" hidden="false" customHeight="true" outlineLevel="0" collapsed="false">
      <c r="A993" s="1" t="str">
        <f aca="false">IF(Catálogo!$C993="","",Catálogo!$C993&amp;"|"&amp;COUNTIF(Catálogo!$C$4:$C993,Catálogo!$C993))</f>
        <v/>
      </c>
    </row>
    <row r="994" customFormat="false" ht="15" hidden="false" customHeight="true" outlineLevel="0" collapsed="false">
      <c r="A994" s="1" t="str">
        <f aca="false">IF(Catálogo!$C994="","",Catálogo!$C994&amp;"|"&amp;COUNTIF(Catálogo!$C$4:$C994,Catálogo!$C994))</f>
        <v/>
      </c>
    </row>
    <row r="995" customFormat="false" ht="15" hidden="false" customHeight="true" outlineLevel="0" collapsed="false">
      <c r="A995" s="1" t="str">
        <f aca="false">IF(Catálogo!$C995="","",Catálogo!$C995&amp;"|"&amp;COUNTIF(Catálogo!$C$4:$C995,Catálogo!$C995))</f>
        <v/>
      </c>
    </row>
    <row r="996" customFormat="false" ht="15" hidden="false" customHeight="true" outlineLevel="0" collapsed="false">
      <c r="A996" s="1" t="str">
        <f aca="false">IF(Catálogo!$C996="","",Catálogo!$C996&amp;"|"&amp;COUNTIF(Catálogo!$C$4:$C996,Catálogo!$C996))</f>
        <v/>
      </c>
    </row>
    <row r="997" customFormat="false" ht="15" hidden="false" customHeight="true" outlineLevel="0" collapsed="false">
      <c r="A997" s="1" t="str">
        <f aca="false">IF(Catálogo!$C997="","",Catálogo!$C997&amp;"|"&amp;COUNTIF(Catálogo!$C$4:$C997,Catálogo!$C997))</f>
        <v/>
      </c>
    </row>
    <row r="998" customFormat="false" ht="15" hidden="false" customHeight="true" outlineLevel="0" collapsed="false">
      <c r="A998" s="1" t="str">
        <f aca="false">IF(Catálogo!$C998="","",Catálogo!$C998&amp;"|"&amp;COUNTIF(Catálogo!$C$4:$C998,Catálogo!$C998))</f>
        <v/>
      </c>
    </row>
    <row r="999" customFormat="false" ht="15" hidden="false" customHeight="true" outlineLevel="0" collapsed="false">
      <c r="A999" s="1" t="str">
        <f aca="false">IF(Catálogo!$C999="","",Catálogo!$C999&amp;"|"&amp;COUNTIF(Catálogo!$C$4:$C999,Catálogo!$C999))</f>
        <v/>
      </c>
    </row>
    <row r="1000" customFormat="false" ht="15" hidden="false" customHeight="true" outlineLevel="0" collapsed="false">
      <c r="A1000" s="1" t="str">
        <f aca="false">IF(Catálogo!$C1000="","",Catálogo!$C1000&amp;"|"&amp;COUNTIF(Catálogo!$C$4:$C1000,Catálogo!$C1000))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16"/>
    <col collapsed="false" customWidth="true" hidden="false" outlineLevel="0" max="2" min="2" style="1" width="42"/>
    <col collapsed="false" customWidth="true" hidden="false" outlineLevel="0" max="3" min="3" style="1" width="70"/>
  </cols>
  <sheetData>
    <row r="1" customFormat="false" ht="24" hidden="false" customHeight="true" outlineLevel="0" collapsed="false">
      <c r="A1" s="8" t="s">
        <v>1490</v>
      </c>
      <c r="B1" s="8"/>
      <c r="C1" s="8"/>
    </row>
    <row r="2" customFormat="false" ht="15" hidden="false" customHeight="true" outlineLevel="0" collapsed="false">
      <c r="A2" s="4" t="s">
        <v>1491</v>
      </c>
      <c r="B2" s="4" t="s">
        <v>1492</v>
      </c>
      <c r="C2" s="4" t="s">
        <v>1493</v>
      </c>
    </row>
    <row r="3" customFormat="false" ht="57.75" hidden="false" customHeight="true" outlineLevel="0" collapsed="false">
      <c r="A3" s="21" t="s">
        <v>1494</v>
      </c>
      <c r="B3" s="22" t="s">
        <v>1495</v>
      </c>
      <c r="C3" s="6" t="s">
        <v>1496</v>
      </c>
    </row>
    <row r="4" customFormat="false" ht="57.75" hidden="false" customHeight="true" outlineLevel="0" collapsed="false">
      <c r="A4" s="21" t="s">
        <v>1497</v>
      </c>
      <c r="B4" s="22" t="s">
        <v>1498</v>
      </c>
      <c r="C4" s="6" t="s">
        <v>1499</v>
      </c>
    </row>
    <row r="5" customFormat="false" ht="57.75" hidden="false" customHeight="true" outlineLevel="0" collapsed="false">
      <c r="A5" s="21" t="s">
        <v>1500</v>
      </c>
      <c r="B5" s="22" t="s">
        <v>1501</v>
      </c>
      <c r="C5" s="6" t="s">
        <v>1502</v>
      </c>
    </row>
    <row r="6" customFormat="false" ht="57.75" hidden="false" customHeight="true" outlineLevel="0" collapsed="false">
      <c r="A6" s="21" t="s">
        <v>1503</v>
      </c>
      <c r="B6" s="22" t="s">
        <v>1504</v>
      </c>
      <c r="C6" s="6" t="s">
        <v>1505</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8"/>
    <col collapsed="false" customWidth="true" hidden="false" outlineLevel="0" max="2" min="2" style="1" width="100"/>
  </cols>
  <sheetData>
    <row r="1" customFormat="false" ht="24" hidden="false" customHeight="true" outlineLevel="0" collapsed="false">
      <c r="A1" s="8" t="s">
        <v>1506</v>
      </c>
      <c r="B1" s="8"/>
    </row>
    <row r="2" customFormat="false" ht="42" hidden="false" customHeight="true" outlineLevel="0" collapsed="false">
      <c r="A2" s="23" t="s">
        <v>1507</v>
      </c>
      <c r="B2" s="24" t="s">
        <v>1508</v>
      </c>
    </row>
    <row r="3" customFormat="false" ht="42" hidden="false" customHeight="true" outlineLevel="0" collapsed="false">
      <c r="A3" s="23" t="s">
        <v>1509</v>
      </c>
      <c r="B3" s="24" t="s">
        <v>1510</v>
      </c>
    </row>
    <row r="4" customFormat="false" ht="42" hidden="false" customHeight="true" outlineLevel="0" collapsed="false">
      <c r="A4" s="23" t="s">
        <v>1511</v>
      </c>
      <c r="B4" s="24" t="s">
        <v>1512</v>
      </c>
    </row>
    <row r="5" customFormat="false" ht="42" hidden="false" customHeight="true" outlineLevel="0" collapsed="false">
      <c r="A5" s="23" t="s">
        <v>1513</v>
      </c>
      <c r="B5" s="24" t="s">
        <v>1514</v>
      </c>
    </row>
    <row r="6" customFormat="false" ht="42" hidden="false" customHeight="true" outlineLevel="0" collapsed="false">
      <c r="A6" s="23" t="s">
        <v>1515</v>
      </c>
      <c r="B6" s="24" t="s">
        <v>1516</v>
      </c>
    </row>
    <row r="7" customFormat="false" ht="42" hidden="false" customHeight="true" outlineLevel="0" collapsed="false">
      <c r="A7" s="23" t="s">
        <v>1517</v>
      </c>
      <c r="B7" s="24" t="s">
        <v>1518</v>
      </c>
    </row>
    <row r="8" customFormat="false" ht="9.75" hidden="false" customHeight="true" outlineLevel="0" collapsed="false">
      <c r="A8" s="23"/>
      <c r="B8" s="24"/>
    </row>
    <row r="9" customFormat="false" ht="42" hidden="false" customHeight="true" outlineLevel="0" collapsed="false">
      <c r="A9" s="23" t="s">
        <v>1519</v>
      </c>
      <c r="B9" s="24" t="s">
        <v>1520</v>
      </c>
    </row>
    <row r="10" customFormat="false" ht="42" hidden="false" customHeight="true" outlineLevel="0" collapsed="false">
      <c r="A10" s="23" t="s">
        <v>1521</v>
      </c>
      <c r="B10" s="24" t="s">
        <v>1522</v>
      </c>
    </row>
    <row r="12" customFormat="false" ht="34.5" hidden="false" customHeight="true" outlineLevel="0" collapsed="false">
      <c r="A12" s="13" t="s">
        <v>1523</v>
      </c>
      <c r="B12" s="24" t="s">
        <v>1524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2026-06-12T21:56:06Z</dcterms:created>
  <dc:creator>openpyxl</dc:creator>
  <dc:description/>
  <dc:language>en-US</dc:language>
  <cp:lastModifiedBy>Ricardina Correia</cp:lastModifiedBy>
  <dcterms:modified xsi:type="dcterms:W3CDTF">2026-09-20T09:27:50Z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