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álogo" sheetId="1" state="visible" r:id="rId3"/>
    <sheet name="Resumo por Área" sheetId="2" state="visible" r:id="rId4"/>
    <sheet name="Fluxo de trabalho" sheetId="3" state="visible" r:id="rId5"/>
    <sheet name="Como atualizar"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<sst xmlns="http://schemas.openxmlformats.org/spreadsheetml/2006/main" count="1829" uniqueCount="1359">
  <si>
    <t xml:space="preserve">RC · Catálogo de Questionários — Ricardina Correia · OPP 8233</t>
  </si>
  <si>
    <t xml:space="preserve">Cada coluna tem filtro (seta no cabeçalho). Para idade: filtre «Idade min &lt;= X» e «Idade max &gt;= X».   |   Idade min 0 = desde o nascimento; Idade max 99 = sem limite superior.   |   Adicionar instrumento: ver folha «Como atualizar».</t>
  </si>
  <si>
    <t xml:space="preserve">Nº</t>
  </si>
  <si>
    <t xml:space="preserve">Nome do Instrumento</t>
  </si>
  <si>
    <t xml:space="preserve">Área Clínica</t>
  </si>
  <si>
    <t xml:space="preserve">Destinatários</t>
  </si>
  <si>
    <t xml:space="preserve">Faixa etária</t>
  </si>
  <si>
    <t xml:space="preserve">Idade mín (anos)</t>
  </si>
  <si>
    <t xml:space="preserve">Idade máx (anos)</t>
  </si>
  <si>
    <t xml:space="preserve">Nº domínios</t>
  </si>
  <si>
    <t xml:space="preserve">Objetivo clínico</t>
  </si>
  <si>
    <t xml:space="preserve">Domínios / Subescalas (por extenso)</t>
  </si>
  <si>
    <t xml:space="preserve">syncKey (Sheet)</t>
  </si>
  <si>
    <t xml:space="preserve">ID interno</t>
  </si>
  <si>
    <t xml:space="preserve">Link</t>
  </si>
  <si>
    <t xml:space="preserve">ABAS-3 — Auto-relato</t>
  </si>
  <si>
    <t xml:space="preserve">Neurodesenvolvimento</t>
  </si>
  <si>
    <t xml:space="preserve">Paciente</t>
  </si>
  <si>
    <t xml:space="preserve">16–89 anos</t>
  </si>
  <si>
    <t xml:space="preserve">Avalia comportamento adaptativo — auto-relato (16–89 anos)</t>
  </si>
  <si>
    <t xml:space="preserve">Compósito Adaptativo Geral (GAC); Domínio Conceptual (CC); Domínio Social (SC); Domínio Prático (PC)</t>
  </si>
  <si>
    <t xml:space="preserve">abas3_adult</t>
  </si>
  <si>
    <t xml:space="preserve">q_abas3_adult</t>
  </si>
  <si>
    <t xml:space="preserve">https://correiaricardina-ui.github.io/questionarios/ABAS3_Autorrelato_v1.html</t>
  </si>
  <si>
    <t xml:space="preserve">ABAS-3 — Educador (0–5)</t>
  </si>
  <si>
    <t xml:space="preserve">Educador(a)</t>
  </si>
  <si>
    <t xml:space="preserve">0–5 anos</t>
  </si>
  <si>
    <t xml:space="preserve">Avalia comportamento adaptativo — versão educador (0–5 anos)</t>
  </si>
  <si>
    <t xml:space="preserve">Compósito Adaptativo Geral (CAG); Domínio Conceptual (CC); Domínio Social (SC); Domínio Prático (PC)</t>
  </si>
  <si>
    <t xml:space="preserve">abas3_05p</t>
  </si>
  <si>
    <t xml:space="preserve">q_abas3_05p</t>
  </si>
  <si>
    <t xml:space="preserve">https://correiaricardina-ui.github.io/questionarios/ABAS3_PreEscolar_Educador.html</t>
  </si>
  <si>
    <t xml:space="preserve">ABAS-3 — Pais/Cuid. (&gt;6)</t>
  </si>
  <si>
    <t xml:space="preserve">Mãe, Pai, Enc. Educação</t>
  </si>
  <si>
    <t xml:space="preserve">6–21 anos</t>
  </si>
  <si>
    <t xml:space="preserve">Avalia comportamento adaptativo — versão pais/cuidadores (&gt;6 anos)</t>
  </si>
  <si>
    <t xml:space="preserve">abas3_pais</t>
  </si>
  <si>
    <t xml:space="preserve">q_abas3_pais</t>
  </si>
  <si>
    <t xml:space="preserve">https://correiaricardina-ui.github.io/questionarios/ABAS3_Pais_v2.html</t>
  </si>
  <si>
    <t xml:space="preserve">ABAS-3 — Pais/Cuid. (0–5)</t>
  </si>
  <si>
    <t xml:space="preserve">Avalia comportamento adaptativo — versão pais (0–5 anos)</t>
  </si>
  <si>
    <t xml:space="preserve">abas3_05</t>
  </si>
  <si>
    <t xml:space="preserve">q_abas3_05</t>
  </si>
  <si>
    <t xml:space="preserve">https://correiaricardina-ui.github.io/questionarios/ABAS3_PreEscolar.html</t>
  </si>
  <si>
    <t xml:space="preserve">ABAS-3 — Professor (&gt;6)</t>
  </si>
  <si>
    <t xml:space="preserve">Professor(a)</t>
  </si>
  <si>
    <t xml:space="preserve">Avalia comportamento adaptativo — versão professor (&gt;6 anos)</t>
  </si>
  <si>
    <t xml:space="preserve">abas3_prof</t>
  </si>
  <si>
    <t xml:space="preserve">q_abas3_prof</t>
  </si>
  <si>
    <t xml:space="preserve">https://correiaricardina-ui.github.io/questionarios/ABAS3_Professor_v2.html</t>
  </si>
  <si>
    <t xml:space="preserve">Anamnese — História Prévia</t>
  </si>
  <si>
    <t xml:space="preserve">Anamnese &amp; História Clínica</t>
  </si>
  <si>
    <t xml:space="preserve">0–18 anos</t>
  </si>
  <si>
    <t xml:space="preserve">Recolha qualitativa de história clínica, desenvolvimento, familiar, escolar e relacional prévia à consulta</t>
  </si>
  <si>
    <t xml:space="preserve">História Clínica; Desenvolvimento; Estrutura Familiar; História Escolar; Relacionamentos</t>
  </si>
  <si>
    <t xml:space="preserve">anamnese_hp</t>
  </si>
  <si>
    <t xml:space="preserve">q_anamnese_hp</t>
  </si>
  <si>
    <t xml:space="preserve">https://correiaricardina-ui.github.io/questionarios/Anamnese_HP_v1.html</t>
  </si>
  <si>
    <t xml:space="preserve">Anamnese Complementar</t>
  </si>
  <si>
    <t xml:space="preserve">Recolher história clínica, desenvolvimento e funcionamento quotidiano</t>
  </si>
  <si>
    <t xml:space="preserve">História Clínica; Desenvolvimento Precoce; Funcionamento Executivo; Regulação Emocional</t>
  </si>
  <si>
    <t xml:space="preserve">anamnese_complementar</t>
  </si>
  <si>
    <t xml:space="preserve">q_anamnese</t>
  </si>
  <si>
    <t xml:space="preserve">https://correiaricardina-ui.github.io/questionarios/Anamnese_complementar_v2.html</t>
  </si>
  <si>
    <t xml:space="preserve">Anamnese Parental Complementar</t>
  </si>
  <si>
    <t xml:space="preserve">Todas as idades</t>
  </si>
  <si>
    <t xml:space="preserve">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t>
  </si>
  <si>
    <t xml:space="preserve">Preocupações principais; Áreas assinaladas; Contexto do respondente; Evolução percebida; Expectativas e disponibilidade</t>
  </si>
  <si>
    <t xml:space="preserve">anamnese_parental_complementar</t>
  </si>
  <si>
    <t xml:space="preserve">q_anamnese_parental_complementar</t>
  </si>
  <si>
    <t xml:space="preserve">https://correiaricardina-ui.github.io/questionarios/ANAMNESE_PARENTAL_COMPLEMENTAR_v1.html</t>
  </si>
  <si>
    <t xml:space="preserve">AQ Buss-Perry — Agressividade</t>
  </si>
  <si>
    <t xml:space="preserve">Externalização &amp; Comportamento</t>
  </si>
  <si>
    <t xml:space="preserve">Adultos (≥16 anos)</t>
  </si>
  <si>
    <t xml:space="preserve">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t>
  </si>
  <si>
    <t xml:space="preserve">Agressividade Física (AF); Agressividade Verbal (AV); Raiva/Ira; Hostilidade (HO); Total AQ</t>
  </si>
  <si>
    <t xml:space="preserve">aq_bussperry</t>
  </si>
  <si>
    <t xml:space="preserve">q_aq_bussperry</t>
  </si>
  <si>
    <t xml:space="preserve">https://correiaricardina-ui.github.io/questionarios/AQ_BussPerry_v1.html</t>
  </si>
  <si>
    <t xml:space="preserve">AQ-Child — Quociente de Espectro do Autismo (Versão Criança)</t>
  </si>
  <si>
    <t xml:space="preserve">4–11 anos</t>
  </si>
  <si>
    <t xml:space="preserve">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t>
  </si>
  <si>
    <t xml:space="preserve">Habilidades Sociais (S); Atenção Alternante (A); Atenção aos Detalhes (D); Comunicação (C); Imaginação (I); Total</t>
  </si>
  <si>
    <t xml:space="preserve">aqchild</t>
  </si>
  <si>
    <t xml:space="preserve">q_aq_child</t>
  </si>
  <si>
    <t xml:space="preserve">https://correiaricardina-ui.github.io/questionarios/AQ_Child_v1.html</t>
  </si>
  <si>
    <t xml:space="preserve">ASEBA — CBCL 1½-5</t>
  </si>
  <si>
    <t xml:space="preserve">Pais, Mãe, Pai, Enc. Educação</t>
  </si>
  <si>
    <t xml:space="preserve">1½–5 anos</t>
  </si>
  <si>
    <t xml:space="preserve">Avaliar problemas emocionais e comportamentais em idade pré-escolar</t>
  </si>
  <si>
    <t xml:space="preserve">Internalizante; Externalizante; Total; Reatividade Emocional; Ansiedade; Queixas Somáticas; Retraimento; Problemas de Sono; Problemas de Atenção; Comportamento Agressivo</t>
  </si>
  <si>
    <t xml:space="preserve">cbcl15</t>
  </si>
  <si>
    <t xml:space="preserve">q_cbcl_15</t>
  </si>
  <si>
    <t xml:space="preserve">https://correiaricardina-ui.github.io/questionarios/CBCL_15_v5.html</t>
  </si>
  <si>
    <t xml:space="preserve">ASEBA — CBCL 6-18</t>
  </si>
  <si>
    <t xml:space="preserve">6–18 anos</t>
  </si>
  <si>
    <t xml:space="preserve">Avaliar problemas emocionais e comportamentais</t>
  </si>
  <si>
    <t xml:space="preserve">Internalizante; Externalizante; Total; Ansiedade/Depressão; Queixas Somáticas; Isolamento; Problemas Sociais; Problemas de Atenção; Comportamento Agressivo; Comportamento de Quebra de Regras</t>
  </si>
  <si>
    <t xml:space="preserve">cbcl</t>
  </si>
  <si>
    <t xml:space="preserve">q_aseba_cbcl</t>
  </si>
  <si>
    <t xml:space="preserve">https://correiaricardina-ui.github.io/questionarios/CBCL_618_v1.html</t>
  </si>
  <si>
    <t xml:space="preserve">ASEBA — TRF 6-18</t>
  </si>
  <si>
    <t xml:space="preserve">Avaliar comportamento em contexto escolar (versão professor)</t>
  </si>
  <si>
    <t xml:space="preserve">Internalizante; Externalizante; Total; Problemas de Atenção; Comportamento Agressivo</t>
  </si>
  <si>
    <t xml:space="preserve">trf</t>
  </si>
  <si>
    <t xml:space="preserve">q_aseba_trf</t>
  </si>
  <si>
    <t xml:space="preserve">https://correiaricardina-ui.github.io/questionarios/TRF_618_v1.html</t>
  </si>
  <si>
    <t xml:space="preserve">ASEBA — YSR 11-18</t>
  </si>
  <si>
    <t xml:space="preserve">11–18 anos</t>
  </si>
  <si>
    <t xml:space="preserve">Auto-avaliação de problemas emocionais e comportamentais</t>
  </si>
  <si>
    <t xml:space="preserve">Internalizante; Externalizante; Total; Ansiedade/Depressão; Isolamento; Queixas Somáticas; Problemas Sociais; Problemas de Atenção; Comportamento Agressivo</t>
  </si>
  <si>
    <t xml:space="preserve">ysr</t>
  </si>
  <si>
    <t xml:space="preserve">q_aseba_ysr</t>
  </si>
  <si>
    <t xml:space="preserve">https://correiaricardina-ui.github.io/questionarios/YSR_1118_v2.html</t>
  </si>
  <si>
    <t xml:space="preserve">BAS-3 — Bateria de Socialização</t>
  </si>
  <si>
    <t xml:space="preserve">Competências Sociais &amp; Performance</t>
  </si>
  <si>
    <t xml:space="preserve">Avaliar competências sociais — auto-avaliação (Silva Moreno &amp; Martorell Pallás, 1989/1995; adapt. CEGOC-TEA, 2005)</t>
  </si>
  <si>
    <t xml:space="preserve">Consideração pelos outros (Co); Auto-controlo nas relações sociais (Ac); Isolamento social (Is); Ansiedade social/Timidez (At); Liderança (Li); Sinceridade (S)</t>
  </si>
  <si>
    <t xml:space="preserve">bas3</t>
  </si>
  <si>
    <t xml:space="preserve">q_bas3</t>
  </si>
  <si>
    <t xml:space="preserve">https://correiaricardina-ui.github.io/questionarios/BAS3_v1.html</t>
  </si>
  <si>
    <t xml:space="preserve">BESAA — Escala de Estima Corporal</t>
  </si>
  <si>
    <t xml:space="preserve">Alimentação &amp; Imagem Corporal</t>
  </si>
  <si>
    <t xml:space="preserve">Paciente, Adolescente, Jovem avaliado</t>
  </si>
  <si>
    <t xml:space="preserve">12+ anos</t>
  </si>
  <si>
    <t xml:space="preserve">Avalia a auto-estima corporal em três dimensões: aparência geral, satisfação com o peso e avaliações atribuídas por outros (Mendelson et al., 2001)</t>
  </si>
  <si>
    <t xml:space="preserve">BE-Aparência; BE-Peso; BE-Atribuição</t>
  </si>
  <si>
    <t xml:space="preserve">besaa</t>
  </si>
  <si>
    <t xml:space="preserve">q_besaa</t>
  </si>
  <si>
    <t xml:space="preserve">https://correiaricardina-ui.github.io/questionarios/BESAA_v1.html</t>
  </si>
  <si>
    <t xml:space="preserve">BRIEF — Auto-questionário</t>
  </si>
  <si>
    <t xml:space="preserve">Atenção, PHDA &amp; Funções Executivas</t>
  </si>
  <si>
    <t xml:space="preserve">Avalia funções executivas — versão auto-relato para adolescentes</t>
  </si>
  <si>
    <t xml:space="preserve">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t>
  </si>
  <si>
    <t xml:space="preserve">brief_auto</t>
  </si>
  <si>
    <t xml:space="preserve">q_brief_auto</t>
  </si>
  <si>
    <t xml:space="preserve">https://correiaricardina-ui.github.io/questionarios/BRIEF_Autoavaliacao_v2.html</t>
  </si>
  <si>
    <t xml:space="preserve">BRIEF — Pais</t>
  </si>
  <si>
    <t xml:space="preserve">5–18 anos</t>
  </si>
  <si>
    <t xml:space="preserve">Avalia funções executivas em casa — versão pais/cuidadores</t>
  </si>
  <si>
    <t xml:space="preserve">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</si>
  <si>
    <t xml:space="preserve">brief_pais</t>
  </si>
  <si>
    <t xml:space="preserve">q_brief_pais</t>
  </si>
  <si>
    <t xml:space="preserve">https://correiaricardina-ui.github.io/questionarios/BRIEF_Pais_v5.html</t>
  </si>
  <si>
    <t xml:space="preserve">BRIEF — Professores</t>
  </si>
  <si>
    <t xml:space="preserve">Avalia funções executivas em contexto escolar — versão professor</t>
  </si>
  <si>
    <t xml:space="preserve">brief_professores</t>
  </si>
  <si>
    <t xml:space="preserve">q_brief_prof</t>
  </si>
  <si>
    <t xml:space="preserve">https://correiaricardina-ui.github.io/questionarios/BRIEF_Professores_v3.html</t>
  </si>
  <si>
    <t xml:space="preserve">BRIEF Pré-Escolar — Pais</t>
  </si>
  <si>
    <t xml:space="preserve">2–5 anos</t>
  </si>
  <si>
    <t xml:space="preserve">Avalia funções executivas em contexto pré-escolar — versão pais</t>
  </si>
  <si>
    <t xml:space="preserve">brief_pe_pais</t>
  </si>
  <si>
    <t xml:space="preserve">q_brief_pe_pais</t>
  </si>
  <si>
    <t xml:space="preserve">https://correiaricardina-ui.github.io/questionarios/BRIEF_PreEscolar_Pais_v2.html</t>
  </si>
  <si>
    <t xml:space="preserve">BRIEF Pré-Escolar — Professores</t>
  </si>
  <si>
    <t xml:space="preserve">Professor(a), Educador(a)</t>
  </si>
  <si>
    <t xml:space="preserve">Avalia funções executivas em contexto pré-escolar — versão professor/educador</t>
  </si>
  <si>
    <t xml:space="preserve">brief_pe_prof</t>
  </si>
  <si>
    <t xml:space="preserve">q_brief_pe_prof</t>
  </si>
  <si>
    <t xml:space="preserve">https://correiaricardina-ui.github.io/questionarios/BRIEF_PreEscolar_Professores_v2.html</t>
  </si>
  <si>
    <t xml:space="preserve">BSI — Inventário de Sintomas Psicopatológicos</t>
  </si>
  <si>
    <t xml:space="preserve">Risco &amp; Sintomatologia Psicopatológica Geral</t>
  </si>
  <si>
    <t xml:space="preserve">Próprio/a, Familiar, Técnico/a</t>
  </si>
  <si>
    <t xml:space="preserve">≥ 13 anos</t>
  </si>
  <si>
    <t xml:space="preserve">Rastreio de sintomatologia psicopatológica em 9 dimensões e 3 índices globais (Derogatis 1982; Canavarro 1999)</t>
  </si>
  <si>
    <t xml:space="preserve">Somatização; Obsessões-Compulsões; Sensibilidade Interpessoal; Depressão; Ansiedade; Hostilidade; Ansiedade Fóbica; Ideação Paranóide; Psicoticismo; Índice Geral de Sintomas (IGS); Total de Sintomas Positivos (TSP); Índice de Sintomas Positivos (ISP)</t>
  </si>
  <si>
    <t xml:space="preserve">bsi</t>
  </si>
  <si>
    <t xml:space="preserve">q_bsi</t>
  </si>
  <si>
    <t xml:space="preserve">https://correiaricardina-ui.github.io/questionarios/BSI_v1.html</t>
  </si>
  <si>
    <t xml:space="preserve">CABS — Comportamento Assertivo (Autorrelato)</t>
  </si>
  <si>
    <t xml:space="preserve">Competências sociais / Assertividade</t>
  </si>
  <si>
    <t xml:space="preserve">Filho(a)</t>
  </si>
  <si>
    <t xml:space="preserve">8–18 anos</t>
  </si>
  <si>
    <t xml:space="preserve">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t>
  </si>
  <si>
    <t xml:space="preserve">Perfil Passivo; Perfil Agressivo; Score Total de Não Assertividade; Respostas Assertivas</t>
  </si>
  <si>
    <t xml:space="preserve">cabs_auto</t>
  </si>
  <si>
    <t xml:space="preserve">q_cabs_auto</t>
  </si>
  <si>
    <t xml:space="preserve">https://correiaricardina-ui.github.io/questionarios/CABS_Autorrelato.html</t>
  </si>
  <si>
    <t xml:space="preserve">CABS — Comportamento Assertivo (Heterorrelato)</t>
  </si>
  <si>
    <t xml:space="preserve">4–18 anos</t>
  </si>
  <si>
    <t xml:space="preserve">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t>
  </si>
  <si>
    <t xml:space="preserve">cabs_hetero</t>
  </si>
  <si>
    <t xml:space="preserve">q_cabs_hetero</t>
  </si>
  <si>
    <t xml:space="preserve">https://correiaricardina-ui.github.io/questionarios/CABS_Heterorrelato.html</t>
  </si>
  <si>
    <t xml:space="preserve">CARS2-HP — Espetro do Autismo (Funcionamento Elevado)</t>
  </si>
  <si>
    <t xml:space="preserve">Despiste neurodesenvolvimento</t>
  </si>
  <si>
    <t xml:space="preserve">Aplicador clínico</t>
  </si>
  <si>
    <t xml:space="preserve">≥6 anos · QI≥80 · verbal funcional</t>
  </si>
  <si>
    <t xml:space="preserve">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t>
  </si>
  <si>
    <t xml:space="preserve">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t>
  </si>
  <si>
    <t xml:space="preserve">cars2_hp</t>
  </si>
  <si>
    <t xml:space="preserve">q_cars2_hp</t>
  </si>
  <si>
    <t xml:space="preserve">https://correiaricardina-ui.github.io/questionarios/CARS2-HP_v1.html</t>
  </si>
  <si>
    <t xml:space="preserve">CARS2-QPC — Questionário Parental para Espetro do Autismo</t>
  </si>
  <si>
    <t xml:space="preserve">Mãe, Pai, Encarregado de Educação</t>
  </si>
  <si>
    <t xml:space="preserve">Crianças/Adolescentes</t>
  </si>
  <si>
    <t xml:space="preserve">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t>
  </si>
  <si>
    <t xml:space="preserve">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t>
  </si>
  <si>
    <t xml:space="preserve">cars2_qpc</t>
  </si>
  <si>
    <t xml:space="preserve">q_cars2_qpc</t>
  </si>
  <si>
    <t xml:space="preserve">https://correiaricardina-ui.github.io/questionarios/CARS2-QPC_v1.html</t>
  </si>
  <si>
    <t xml:space="preserve">CARS2-ST — Espetro do Autismo (Versão Standard)</t>
  </si>
  <si>
    <t xml:space="preserve">&lt;6 anos OU QI≤79 OU verbal limitada/ausente</t>
  </si>
  <si>
    <t xml:space="preserve">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t>
  </si>
  <si>
    <t xml:space="preserve">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t>
  </si>
  <si>
    <t xml:space="preserve">cars2_st</t>
  </si>
  <si>
    <t xml:space="preserve">q_cars2_st</t>
  </si>
  <si>
    <t xml:space="preserve">https://correiaricardina-ui.github.io/questionarios/CARS2-ST_v1.html</t>
  </si>
  <si>
    <t xml:space="preserve">CCBQ — Comportamentos de Coping em Crianças</t>
  </si>
  <si>
    <t xml:space="preserve">Regulação Emocional &amp; Coping</t>
  </si>
  <si>
    <t xml:space="preserve">Paciente, Criança avaliada, Jovem avaliado</t>
  </si>
  <si>
    <t xml:space="preserve">≥ 6 anos</t>
  </si>
  <si>
    <t xml:space="preserve">Avalia a frequência de utilização de três padrões de coping perante acontecimentos stressantes — Diversão (F-I), Amelioratório (F-II) e Destrutivo (F-III) (Hernandez, 2008 — adaptação PT exploratória)</t>
  </si>
  <si>
    <t xml:space="preserve">F-I Diversão; F-II Amelioratório; F-III Destrutivo; Compósito</t>
  </si>
  <si>
    <t xml:space="preserve">ccbq</t>
  </si>
  <si>
    <t xml:space="preserve">q_ccbq</t>
  </si>
  <si>
    <t xml:space="preserve">https://correiaricardina-ui.github.io/questionarios/CCBQ_v1.html</t>
  </si>
  <si>
    <t xml:space="preserve">CDI-2:SR</t>
  </si>
  <si>
    <t xml:space="preserve">Ansiedade, Depressão &amp; Internalização</t>
  </si>
  <si>
    <t xml:space="preserve">7–17 anos</t>
  </si>
  <si>
    <t xml:space="preserve">Rastreio de sintomatologia depressiva (auto-relato) — Kovacs &amp; MHS Staff (2011)</t>
  </si>
  <si>
    <t xml:space="preserve">Score Total (Total); Problemas Emocionais (EP); Problemas Funcionais (FP); Humor Negativo/Sintomas Físicos (HM/SF); Autoestima Negativa (AE-); Ineficácia (INE); Problemas Interpessoais (PI)</t>
  </si>
  <si>
    <t xml:space="preserve">cdi2sr</t>
  </si>
  <si>
    <t xml:space="preserve">q_cdi2sr</t>
  </si>
  <si>
    <t xml:space="preserve">https://correiaricardina-ui.github.io/questionarios/CDI2_SR_v1.html</t>
  </si>
  <si>
    <t xml:space="preserve">CERQ-18 — Versão Curta</t>
  </si>
  <si>
    <t xml:space="preserve">Auto-relato adolescente/adulto de estratégias cognitivas de regulação emocional — versão curta (18 itens) com normativos portugueses (Soares &amp; Amaral, 2024). 8 estratégias (4 adaptativas + 4 maladaptativas, com Reavaliação+Planeamento fundidas). Tempo de aplicação ~5-8 min.</t>
  </si>
  <si>
    <t xml:space="preserve">Auto-culpabilização; Aceitação; Ruminação; Refocalização Positiva; Reavaliação Positiva e Planeamento; Colocar em Perspetiva; Catastrofização; Culpabilização dos Outros; CERQ-Positivo; CERQ-Negativo</t>
  </si>
  <si>
    <t xml:space="preserve">cerq18</t>
  </si>
  <si>
    <t xml:space="preserve">q_cerq_18</t>
  </si>
  <si>
    <t xml:space="preserve">https://correiaricardina-ui.github.io/questionarios/CERQ_18_v1.html</t>
  </si>
  <si>
    <t xml:space="preserve">CERQ-36 — Versão Completa</t>
  </si>
  <si>
    <t xml:space="preserve">≥ 12 anos</t>
  </si>
  <si>
    <t xml:space="preserve">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t>
  </si>
  <si>
    <t xml:space="preserve">Auto-culpabilização; Aceitação; Ruminação; Refocalização Positiva; Planeamento; Reavaliação Positiva; Colocar em Perspetiva; Catastrofização; Culpabilização dos Outros; CERQ-Positivo; CERQ-Negativo</t>
  </si>
  <si>
    <t xml:space="preserve">cerq36</t>
  </si>
  <si>
    <t xml:space="preserve">q_cerq_36</t>
  </si>
  <si>
    <t xml:space="preserve">https://correiaricardina-ui.github.io/questionarios/CERQ_36_v1.html</t>
  </si>
  <si>
    <t xml:space="preserve">CERQ-K — Crianças</t>
  </si>
  <si>
    <t xml:space="preserve">9–11 anos</t>
  </si>
  <si>
    <t xml:space="preserve">Auto-relato infantil de estratégias cognitivas de regulação emocional após acontecimentos de vida desagradáveis (Garnefski et al., 2007). 9 estratégias (5 adaptativas + 4 maladaptativas) e 2 factores 2.ª ordem (CERQ-Positivo, CERQ-Negativo). Versão validada para 9-11 anos.</t>
  </si>
  <si>
    <t xml:space="preserve">cerqk</t>
  </si>
  <si>
    <t xml:space="preserve">q_cerq_k</t>
  </si>
  <si>
    <t xml:space="preserve">https://correiaricardina-ui.github.io/questionarios/CERQ_K_v1.html</t>
  </si>
  <si>
    <t xml:space="preserve">ChEAT — Atitudes Alimentares (Crianças)</t>
  </si>
  <si>
    <t xml:space="preserve">8–13 anos</t>
  </si>
  <si>
    <t xml:space="preserve">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t>
  </si>
  <si>
    <t xml:space="preserve">Dieta/Restrição; Preocupação Alimentar; Bulimia/Controlo; Total ChEAT</t>
  </si>
  <si>
    <t xml:space="preserve">cheat</t>
  </si>
  <si>
    <t xml:space="preserve">q_cheat</t>
  </si>
  <si>
    <t xml:space="preserve">https://correiaricardina-ui.github.io/questionarios/ChEAT_v1.html</t>
  </si>
  <si>
    <t xml:space="preserve">Checklist Obs. Comportamental — Casa</t>
  </si>
  <si>
    <t xml:space="preserve">Registo diário de comportamento em contexto de casa — comparação com/sem medicação (atenção, regulação emocional, comportamento social, atividade motora, bem-estar, efeitos adversos)</t>
  </si>
  <si>
    <t xml:space="preserve">Atenção &amp; Função Executiva; Regulação Emocional; Comportamento Social; Atividade Motora; Bem-estar; Efeitos Adversos</t>
  </si>
  <si>
    <t xml:space="preserve">obs_phda_casa</t>
  </si>
  <si>
    <t xml:space="preserve">q_obs_phda_casa</t>
  </si>
  <si>
    <t xml:space="preserve">https://correiaricardina-ui.github.io/questionarios/checklist_obs_medicacao_PHDA_casa.html</t>
  </si>
  <si>
    <t xml:space="preserve">Checklist Obs. Comportamental — Escola</t>
  </si>
  <si>
    <t xml:space="preserve">Registo diário de comportamento em contexto escolar — comparação com/sem medicação (atenção, regulação emocional, comportamento social, atividade motora)</t>
  </si>
  <si>
    <t xml:space="preserve">Atenção &amp; Função Executiva; Regulação Emocional; Comportamento Social; Atividade Motora</t>
  </si>
  <si>
    <t xml:space="preserve">obs_phda_escola</t>
  </si>
  <si>
    <t xml:space="preserve">q_obs_phda_escola</t>
  </si>
  <si>
    <t xml:space="preserve">https://correiaricardina-ui.github.io/questionarios/checklist_obs_medicacao_PHDA_escola.html</t>
  </si>
  <si>
    <t xml:space="preserve">CMAS-R</t>
  </si>
  <si>
    <t xml:space="preserve">8–17 anos</t>
  </si>
  <si>
    <t xml:space="preserve">Avaliação da ansiedade manifesta com escala de validade (Mentira) — Reynolds &amp; Richmond (1978)</t>
  </si>
  <si>
    <t xml:space="preserve">Ansiedade Total; Mentira/Validade</t>
  </si>
  <si>
    <t xml:space="preserve">cmasr</t>
  </si>
  <si>
    <t xml:space="preserve">q_cmasr</t>
  </si>
  <si>
    <t xml:space="preserve">https://correiaricardina-ui.github.io/questionarios/CMAS_R_v1.html</t>
  </si>
  <si>
    <t xml:space="preserve">Collins — Silhuetas Corporais</t>
  </si>
  <si>
    <t xml:space="preserve">Paciente, Jovem avaliado</t>
  </si>
  <si>
    <t xml:space="preserve">Crianças / Adolescentes</t>
  </si>
  <si>
    <t xml:space="preserve">Avalia a insatisfação com a imagem corporal através de silhuetas — percepção real vs. ideal (Collins, 1991)</t>
  </si>
  <si>
    <t xml:space="preserve">Silhueta Real; Silhueta Ideal; Insatisfação; Índice de Massa Corporal (IMC)</t>
  </si>
  <si>
    <t xml:space="preserve">collins</t>
  </si>
  <si>
    <t xml:space="preserve">q_collins</t>
  </si>
  <si>
    <t xml:space="preserve">https://correiaricardina-ui.github.io/questionarios/Collins_Silhuetas.html</t>
  </si>
  <si>
    <t xml:space="preserve">COMPA — Adolescente (em relação à Mãe)</t>
  </si>
  <si>
    <t xml:space="preserve">Família &amp; Parentalidade</t>
  </si>
  <si>
    <t xml:space="preserve">12–16 anos</t>
  </si>
  <si>
    <t xml:space="preserve">Perceção do adolescente sobre a comunicação com a mãe — 39 itens</t>
  </si>
  <si>
    <t xml:space="preserve">F1 Disponibilidade Parental; F2 Confiança F→P; F3 Afeto/Apoio; F4 Metacomunicação; F5 Padrão Negativo; Total Positivo</t>
  </si>
  <si>
    <t xml:space="preserve">compa_a_mae</t>
  </si>
  <si>
    <t xml:space="preserve">q_compa_a_mae</t>
  </si>
  <si>
    <t xml:space="preserve">https://correiaricardina-ui.github.io/questionarios/COMPA_A_Mae.html</t>
  </si>
  <si>
    <t xml:space="preserve">COMPA — Adolescente (em relação ao Pai)</t>
  </si>
  <si>
    <t xml:space="preserve">Perceção do adolescente sobre a comunicação com o pai — 39 itens</t>
  </si>
  <si>
    <t xml:space="preserve">compa_a_pai</t>
  </si>
  <si>
    <t xml:space="preserve">q_compa_a_pai</t>
  </si>
  <si>
    <t xml:space="preserve">https://correiaricardina-ui.github.io/questionarios/COMPA_A_Pai.html</t>
  </si>
  <si>
    <t xml:space="preserve">COMPA — Criança (em relação à Mãe)</t>
  </si>
  <si>
    <t xml:space="preserve">7–11 anos</t>
  </si>
  <si>
    <t xml:space="preserve">Perceção da criança sobre a comunicação com a mãe — 16 itens</t>
  </si>
  <si>
    <t xml:space="preserve">F1 Disponibilidade Parental; F2 Afeto/Apoio; Total</t>
  </si>
  <si>
    <t xml:space="preserve">compa_c_mae</t>
  </si>
  <si>
    <t xml:space="preserve">q_compa_c_mae</t>
  </si>
  <si>
    <t xml:space="preserve">https://correiaricardina-ui.github.io/questionarios/COMPA_C_Mae.html</t>
  </si>
  <si>
    <t xml:space="preserve">COMPA — Criança (em relação ao Pai)</t>
  </si>
  <si>
    <t xml:space="preserve">Perceção da criança sobre a comunicação com o pai — 16 itens</t>
  </si>
  <si>
    <t xml:space="preserve">compa_c_pai</t>
  </si>
  <si>
    <t xml:space="preserve">q_compa_c_pai</t>
  </si>
  <si>
    <t xml:space="preserve">https://correiaricardina-ui.github.io/questionarios/COMPA_C_Pai.html</t>
  </si>
  <si>
    <t xml:space="preserve">COMPA — Progenitores</t>
  </si>
  <si>
    <t xml:space="preserve">Progenitores</t>
  </si>
  <si>
    <t xml:space="preserve">Perceção do progenitor sobre a comunicação parento-filial — 44 itens</t>
  </si>
  <si>
    <t xml:space="preserve">F1 Afeto/Apoio; F2 Disponibilidade Parental; F3 Metacomunicação; F4 Confiança P→F; F5 Confiança F→P; Total</t>
  </si>
  <si>
    <t xml:space="preserve">compap</t>
  </si>
  <si>
    <t xml:space="preserve">q_compap</t>
  </si>
  <si>
    <t xml:space="preserve">https://correiaricardina-ui.github.io/questionarios/COMPA_P.html</t>
  </si>
  <si>
    <t xml:space="preserve">Conners 3-P — Pais (Completa)</t>
  </si>
  <si>
    <t xml:space="preserve">Avalia sintomas de PHDA, aprendizagem e comportamento — versão pais completa (110 itens)</t>
  </si>
  <si>
    <t xml:space="preserve">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t>
  </si>
  <si>
    <t xml:space="preserve">conners3p_full</t>
  </si>
  <si>
    <t xml:space="preserve">q_conners3p_full</t>
  </si>
  <si>
    <t xml:space="preserve">https://correiaricardina-ui.github.io/questionarios/Conners3_Pais_Full.html</t>
  </si>
  <si>
    <t xml:space="preserve">Conners 3-P(S) — Pais (Curta)</t>
  </si>
  <si>
    <t xml:space="preserve">Avalia sintomas de PHDA, aprendizagem e comportamento — versão pais curta (45 itens)</t>
  </si>
  <si>
    <t xml:space="preserve">Desatenção (IN); Hiperatividade/Impulsividade (HI); Problemas de Aprendizagem (LP); Funções Executivas (EF); Agressão (AG); Relações com os Pares (PR)</t>
  </si>
  <si>
    <t xml:space="preserve">conners3ps</t>
  </si>
  <si>
    <t xml:space="preserve">q_conners3ps</t>
  </si>
  <si>
    <t xml:space="preserve">https://correiaricardina-ui.github.io/questionarios/Conners3_Pais_Short.html</t>
  </si>
  <si>
    <t xml:space="preserve">Conners 3-T — Professores (Completa)</t>
  </si>
  <si>
    <t xml:space="preserve">Avalia sintomas de PHDA, aprendizagem e comportamento — versão professores completa (115 itens)</t>
  </si>
  <si>
    <t xml:space="preserve">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t>
  </si>
  <si>
    <t xml:space="preserve">conners3t_full</t>
  </si>
  <si>
    <t xml:space="preserve">q_conners3t_full</t>
  </si>
  <si>
    <t xml:space="preserve">https://correiaricardina-ui.github.io/questionarios/Conners3_Professores_Full.html</t>
  </si>
  <si>
    <t xml:space="preserve">Conners 3-T(S) — Professores (Curta)</t>
  </si>
  <si>
    <t xml:space="preserve">Avalia sintomas de PHDA, aprendizagem e comportamento — versão professores curta (41 itens)</t>
  </si>
  <si>
    <t xml:space="preserve">Desatenção (IN); Hiperatividade/Impulsividade (HI); Aprendizagem e Funções Executivas (LPEF); Agressão (AG); Relações com os Pares (PR)</t>
  </si>
  <si>
    <t xml:space="preserve">conners3ts</t>
  </si>
  <si>
    <t xml:space="preserve">q_conners3ts</t>
  </si>
  <si>
    <t xml:space="preserve">https://correiaricardina-ui.github.io/questionarios/Conners3_Professores_Short.html</t>
  </si>
  <si>
    <t xml:space="preserve">C-SSRS — Columbia-Suicide Severity Rating Scale</t>
  </si>
  <si>
    <t xml:space="preserve">Clínico</t>
  </si>
  <si>
    <t xml:space="preserve">Crianças / Adolescentes / Adultos</t>
  </si>
  <si>
    <t xml:space="preserve">Avaliação clínica estruturada de ideação e comportamentos suicidas (Posner et al. 2008) — versões Crianças e Adolescentes/JA</t>
  </si>
  <si>
    <t xml:space="preserve">Ideação (Tipo 1–5); Tentativa Real; Tentativa Interrompida; Tentativa Abortada; Actos Preparatórios; Nível de Risco</t>
  </si>
  <si>
    <t xml:space="preserve">cssrs</t>
  </si>
  <si>
    <t xml:space="preserve">q_cssrs</t>
  </si>
  <si>
    <t xml:space="preserve">https://correiaricardina-ui.github.io/questionarios/CSSRS_v1.html</t>
  </si>
  <si>
    <t xml:space="preserve">C-SSRS-A — Risco Suicidário (Adolescente)</t>
  </si>
  <si>
    <t xml:space="preserve">Risco suicidário</t>
  </si>
  <si>
    <t xml:space="preserve">12–18 anos</t>
  </si>
  <si>
    <t xml:space="preserve">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</si>
  <si>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(3 meses + Vida)</t>
  </si>
  <si>
    <t xml:space="preserve">c_ssrs_a</t>
  </si>
  <si>
    <t xml:space="preserve">q_c_ssrs_a</t>
  </si>
  <si>
    <t xml:space="preserve">https://correiaricardina-ui.github.io/questionarios/C-SSRS-A_Adolescente_v1.html</t>
  </si>
  <si>
    <t xml:space="preserve">C-SSRS-DC — Risco Suicidário (Défice Cognitivo)</t>
  </si>
  <si>
    <t xml:space="preserve">Qualquer idade</t>
  </si>
  <si>
    <t xml:space="preserve">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t>
  </si>
  <si>
    <t xml:space="preserve">Ideação (Bloco A, c/ "Não compreende"); Intensidade (Bloco B, 3 itens); Comportamento (Bloco C); Letalidade (Bloco D); Classificação integrada Auto+Hetero</t>
  </si>
  <si>
    <t xml:space="preserve">c_ssrs_dc</t>
  </si>
  <si>
    <t xml:space="preserve">q_c_ssrs_dc</t>
  </si>
  <si>
    <t xml:space="preserve">https://correiaricardina-ui.github.io/questionarios/C-SSRS-DC_DeficeCognitivo_v1.html</t>
  </si>
  <si>
    <t xml:space="preserve">C-SSRS-P — Risco Suicidário (Pediátrica)</t>
  </si>
  <si>
    <t xml:space="preserve">6–11 anos</t>
  </si>
  <si>
    <t xml:space="preserve">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</si>
  <si>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integrada Auto+Hetero</t>
  </si>
  <si>
    <t xml:space="preserve">c_ssrs_p</t>
  </si>
  <si>
    <t xml:space="preserve">q_c_ssrs_p</t>
  </si>
  <si>
    <t xml:space="preserve">https://correiaricardina-ui.github.io/questionarios/C-SSRS-P_Pediatrica_v1.html</t>
  </si>
  <si>
    <t xml:space="preserve">CTRF-15</t>
  </si>
  <si>
    <t xml:space="preserve">Avalia comportamento em contexto pré-escolar — versão educador</t>
  </si>
  <si>
    <t xml:space="preserve">Score Total</t>
  </si>
  <si>
    <t xml:space="preserve">ctrf15</t>
  </si>
  <si>
    <t xml:space="preserve">q_ctrf_15</t>
  </si>
  <si>
    <t xml:space="preserve">https://correiaricardina-ui.github.io/questionarios/CTRF_15_v2.html</t>
  </si>
  <si>
    <t xml:space="preserve">DERS — Dificuldades de Regulação Emocional</t>
  </si>
  <si>
    <t xml:space="preserve">14 anos+</t>
  </si>
  <si>
    <t xml:space="preserve">Avalia dificuldades multidimensionais na regulação emocional — auto-relato (adolescentes 14–17 e adultos)</t>
  </si>
  <si>
    <t xml:space="preserve">Não-Aceitação; Objetivos; Impulsos; Consciência; Estratégias; Clareza; Total</t>
  </si>
  <si>
    <t xml:space="preserve">ders</t>
  </si>
  <si>
    <t xml:space="preserve">q_ders</t>
  </si>
  <si>
    <t xml:space="preserve">https://correiaricardina-ui.github.io/questionarios/DERS_v1.html</t>
  </si>
  <si>
    <t xml:space="preserve">Diário de Episódios</t>
  </si>
  <si>
    <t xml:space="preserve">Monitorização</t>
  </si>
  <si>
    <t xml:space="preserve">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t>
  </si>
  <si>
    <t xml:space="preserve">Nº de episódios; Frequência por tipo; Distribuição de intensidade</t>
  </si>
  <si>
    <t xml:space="preserve">diario_episodios</t>
  </si>
  <si>
    <t xml:space="preserve">q_diario_episodios</t>
  </si>
  <si>
    <t xml:space="preserve">https://correiaricardina-ui.github.io/questionarios/Diario_Episodios_v1.html</t>
  </si>
  <si>
    <t xml:space="preserve">Dinâmica Exploratória de Pensamentos Intrusivos</t>
  </si>
  <si>
    <t xml:space="preserve">7–9 anos</t>
  </si>
  <si>
    <t xml:space="preserve">Protocolo clínico semiestruturado, administrado pela clínica com a criança presente, para explorar e caracterizar pensamentos intrusivos em idade escolar. Eliciação não-sugestiva através de cartões mediadores (vinhetas de outras crianças, apresentados um por ecrã) e escalas visuais (termómetro de intensidade 0–10, escala de frequência e de controlabilidade). Mapeia 8 eixos fenomenológicos (0–3 por eixo; total 0–24 por pensamento) e classifica em 5 padrões: P1 normativo desenvolvimental, P2 intrusão ansiosa pura, P3 suspeita de POC pediátrico, P4 risco auto-agressivo/ideação suicida (override G≥2), P5 intrusão pós-traumática. Inclui rastreio de risco obrigatório (princípios da C-SSRS) e bandeiras de alarme imediato. Baseado em Rachman (1981), Salkovskis (1985), Clark &amp; Rhyno (2005), Shafran et al. (1996), White &amp; Epston (1990), Hames et al. (2012), Posner et al. (2011). Instrumento ad-hoc, não validado psicometricamente — complemento da entrevista clínica; não substitui CY-BOCS, C-SSRS ou UCLA PTSD-RI quando indicados. Gera relatório imprimível (PDF). Corre localmente na sessão, sem sincronização para o Sheet.</t>
  </si>
  <si>
    <t xml:space="preserve">Egodistonia; Frequência; Controlabilidade; Significado; Neutralização; Interferência; Intencionalidade; Comunicação</t>
  </si>
  <si>
    <t xml:space="preserve">depi</t>
  </si>
  <si>
    <t xml:space="preserve">q_depi</t>
  </si>
  <si>
    <t xml:space="preserve">https://correiaricardina-ui.github.io/questionarios/Dinamica_Pensamentos_Intrusivos_v1.html</t>
  </si>
  <si>
    <t xml:space="preserve">DIVA-5</t>
  </si>
  <si>
    <t xml:space="preserve">Paciente, Cônjuge/Parceiro(a), Mãe, Pai, Enc. Educação, Clínico</t>
  </si>
  <si>
    <t xml:space="preserve">5 anos+</t>
  </si>
  <si>
    <t xml:space="preserve">Entrevista diagnóstica semiestruturada para a PHDA segundo o DSM-5 (Kooij &amp; Francken, 2019), nas três versões: DIVA-5 Adultos, Young DIVA-5 (crianças e adolescentes) e DIVA-5 ID (dificuldade intelectual). Os 18 critérios do DSM-5 — 9 de desatenção (A1–A9) e 9 de hiperatividade/impulsividade (H1–H9) — são avaliados em DOIS períodos: o período actual (adultez, Critério A) e a infância dos 5 aos 12 anos (Critério B). APLICAÇÃO A TRÊS INFORMADORES: o próprio (ambas as colunas), o cônjuge ou parceiro(a) (só o período actual) e os pais (só a infância) preenchem em SEPARADO e SEM SE CONSULTAREM, todos com o MESMO código de paciente. BLOQUEIO DURO DE ÂMBITO: cada informador só vê a coluna sobre a qual tem conhecimento direto — a outra não é renderizada e é submetida como não respondida. O próprio responde às duas colunas; o cônjuge ou parceiro(a) apenas ao período actual; mãe, pai, encarregado de educação e outro familiar apenas à infância. Na Young DIVA-5 o mesmo princípio aplica-se às colunas Jovem e Pais/EE. A restrição é estrutural e não uma instrução: com a coluna aberta, um informador bem-intencionado preenche-a a partir de relato em segunda mão, e como o Critério B é condição necessária e a agregação usa a regra «qualquer informador», esse relato entraria exactamente no critério que decide se há ou não apresentação diagnóstica. Custo aceite: um progenitor que convive hoje com a pessoa avaliada tem conhecimento direto do período actual e deixa de o poder registar por esta via. Os papéis Professor e Técnico/Cuidador ficam sem bloqueio, por o seu âmbito depender do caso. O painel agrega as submissões por código e produz uma grelha de convergência de 18 critérios × N informadores, assinalando os critérios em que os informadores divergem. A cotação composta agrega pela regra «qualquer informador» — um critério conta como presente num período se pelo menos um informador o endossou — mantendo sempre visíveis as contagens individuais, porque a divergência entre informadores é informação clínica e não erro de medida (o próprio subestima com frequência a hiperatividade; o parceiro e os pais servem para corroborar). INSTRUMENTO DE CRITÉRIOS, NÃO NORMATIVO: a cotação é contagem de critérios preenchidos face a um limiar (≥5 em cada domínio, ≥6 na Young DIVA-5 abaixo dos 17 anos). Não produz pontuações padronizadas, percentis nem T-scores, e não admite bandas de gravidade. O Critério B é CONDIÇÃO NECESSÁRIA: nenhuma apresentação diagnóstica é devolvida a partir apenas da coluna do período actual. O Critério A tem protecção simétrica: se a coluna do período actual não estiver preenchida, é devolvido INDETERMINADO e nunca «Não preenche critérios» — a submissão dos pais, que só cobre a infância, não pode ser lida como ausência de sintomatologia actual. São devolvidas DUAS LEITURAS EM PARALELO: a regra DSM-5-TR (Critério B ≥ 2, «vários sintomas» antes dos 12 anos) e a regra DIVA-5 formal (Critério B ≥ 5, o mesmo limiar em ambos os períodos). Quando as duas divergem, a sintomatologia de infância situa-se entre os dois limiares e essa divergência é ela própria informação clínica, a explicitar no relatório. A apresentação é SEMPRE PROVISÓRIA: os Critérios C (≥2 contextos), D (interferência) e E (exclusão de outro quadro) não são recolhidos por este formulário e têm de ser estabelecidos em entrevista — nenhuma conclusão diagnóstica pode assentar apenas nesta grelha. O respondente NÃO vê qualquer resultado: o ecrã final não mostra pontuações nem apresentação diagnóstica, e a cópia de segurança em CSV contém apenas as respostas em bruto.</t>
  </si>
  <si>
    <t xml:space="preserve">Desatenção — período actual / adultez (critérios A1–A9; Critério A, limiar ≥5); Desatenção — infância dos 5 aos 12 anos (critérios A1–A9; Critério B); Hiperatividade/Impulsividade — período actual / adultez (critérios H1–H9; Critério A, limiar ≥5); Hiperatividade/Impulsividade — infância dos 5 aos 12 anos (critérios H1–H9; Critério B); Estado do Critério A (não avaliado · parcialmente avaliado · preenchido · não preenchido), com contagem dos itens efectivamente respondidos na coluna do período actual; Estado do Critério B (mesmas quatro categorias), com contagem dos itens respondidos na coluna da infância — a contagem é o que distingue «sintoma ausente» de «período não avaliado»; Apresentação pela regra DSM-5-TR, Critério B ≥ 2 (combinada · predominantemente desatenta · predominantemente hiperativa/impulsiva · não preenche critérios · indeterminado); Apresentação pela regra DIVA-5 formal, Critério B ≥ 5 (mesmas categorias) — leitura mais exigente, apresentada lado a lado com a anterior; Âmbito atribuído por informador (período actual · infância · ambos), aplicado por bloqueio estrutural das colunas no formulário; Grelha de convergência entre informadores — 18 critérios × N informadores, com marcação dos critérios divergentes; Cotação composta por agregação «qualquer informador», calculada em separado para cada um dos dois períodos</t>
  </si>
  <si>
    <t xml:space="preserve">diva5</t>
  </si>
  <si>
    <t xml:space="preserve">q_diva5</t>
  </si>
  <si>
    <t xml:space="preserve">https://correiaricardina-ui.github.io/questionarios/DIVA5_v1.html</t>
  </si>
  <si>
    <t xml:space="preserve">EAFE</t>
  </si>
  <si>
    <t xml:space="preserve">Escola, Motivação &amp; Aprendizagem</t>
  </si>
  <si>
    <t xml:space="preserve">Entrevista de Análise Funcional do Estudo — avalia dificuldades de regulação emocional no estudo</t>
  </si>
  <si>
    <t xml:space="preserve">Défice Executivo (DE); Desmotivação Reativa (DR); Evitamento Emocional (EE); Dependência de Regulação Externa (DRE); Auto-Limitação Protectora (ALP)</t>
  </si>
  <si>
    <t xml:space="preserve">eafe</t>
  </si>
  <si>
    <t xml:space="preserve">q_eafe</t>
  </si>
  <si>
    <t xml:space="preserve">https://correiaricardina-ui.github.io/questionarios/EAFE_v2.html</t>
  </si>
  <si>
    <t xml:space="preserve">EAT-26</t>
  </si>
  <si>
    <t xml:space="preserve">Adolescentes / Adultos</t>
  </si>
  <si>
    <t xml:space="preserve">Rastreio de atitudes e comportamentos alimentares de risco (Garner et al., 1982)</t>
  </si>
  <si>
    <t xml:space="preserve">Dieta (D); Bulimia e Preocupação Alimentar (B); Controlo Oral (OC); Score Total (Total)</t>
  </si>
  <si>
    <t xml:space="preserve">eat26</t>
  </si>
  <si>
    <t xml:space="preserve">q_eat26</t>
  </si>
  <si>
    <t xml:space="preserve">https://correiaricardina-ui.github.io/questionarios/EAT26_v2.html</t>
  </si>
  <si>
    <t xml:space="preserve">ECE-FEA</t>
  </si>
  <si>
    <t xml:space="preserve">≥ 10 anos</t>
  </si>
  <si>
    <t xml:space="preserve">Avalia a função emocional da alimentação — ingestão emocional, controlo, fome, regulação e insight</t>
  </si>
  <si>
    <t xml:space="preserve">Dom. A — Ingestão Emocional; Dom. B — Perda de Controlo; Dom. C — Ingestão sem Fome; Dom. D — Função Reguladora; Dom. E — Consciência/Insight; Índice Global de Alimentação Emocional (IGAE)</t>
  </si>
  <si>
    <t xml:space="preserve">ece_fea</t>
  </si>
  <si>
    <t xml:space="preserve">q_ece_fea</t>
  </si>
  <si>
    <t xml:space="preserve">https://correiaricardina-ui.github.io/questionarios/ECE-FEA.html</t>
  </si>
  <si>
    <t xml:space="preserve">EDE-Q 6.0</t>
  </si>
  <si>
    <t xml:space="preserve">Avalia psicopatologia de perturbações alimentares — restrição, preocupações com alimentação, forma e peso (Fairburn &amp; Beglin, 2008)</t>
  </si>
  <si>
    <t xml:space="preserve">Restraint; Eating Concern; Shape Concern; Weight Concern; Global</t>
  </si>
  <si>
    <t xml:space="preserve">edeq</t>
  </si>
  <si>
    <t xml:space="preserve">q_edeq</t>
  </si>
  <si>
    <t xml:space="preserve">https://correiaricardina-ui.github.io/questionarios/EDEQ_v1.html</t>
  </si>
  <si>
    <t xml:space="preserve">EMP-F — Perfeccionismo (Frost)</t>
  </si>
  <si>
    <t xml:space="preserve">Personalidade &amp; Esquemas</t>
  </si>
  <si>
    <t xml:space="preserve">Adolescentes / Adultos (≥ 12 anos)</t>
  </si>
  <si>
    <t xml:space="preserve">Avalia perfeccionismo em seis dimensões (Frost et al., 1990) — preocupação com erros, dúvidas sobre ações, expectativas parentais, críticas parentais, padrões pessoais e organização; versão reduzida de 24 itens</t>
  </si>
  <si>
    <t xml:space="preserve">CM — Preocupações com Erros; DA — Dúvidas sobre Ações; PE — Expectativas Parentais; PC — Críticas Parentais; PS — Padrões Pessoais; O — Organização</t>
  </si>
  <si>
    <t xml:space="preserve">emp_f</t>
  </si>
  <si>
    <t xml:space="preserve">q_emp_f</t>
  </si>
  <si>
    <t xml:space="preserve">https://correiaricardina-ui.github.io/questionarios/EMP_F_v1.html</t>
  </si>
  <si>
    <t xml:space="preserve">EMP-H&amp;F — Perfeccionismo (Hewitt &amp; Flett)</t>
  </si>
  <si>
    <t xml:space="preserve">Avalia perfeccionismo em três dimensões — auto-orientado (PAO), socialmente prescrito (PSP) e orientado para os outros (POO); versão reduzida de 32 itens (Hewitt &amp; Flett, 1991)</t>
  </si>
  <si>
    <t xml:space="preserve">PAO — Auto-Orientado; PSP — Socialmente Prescrito; POO — Orientado para Outros; Total EMP-H&amp;F</t>
  </si>
  <si>
    <t xml:space="preserve">emp_hf</t>
  </si>
  <si>
    <t xml:space="preserve">q_emp_hf</t>
  </si>
  <si>
    <t xml:space="preserve">https://correiaricardina-ui.github.io/questionarios/EMP_HF_v1.html</t>
  </si>
  <si>
    <t xml:space="preserve">EPCAS-PE — Escala Pictórica de Competência Percebida e Aceitação Social</t>
  </si>
  <si>
    <t xml:space="preserve">Autoconceito / Autoestima</t>
  </si>
  <si>
    <t xml:space="preserve">Psicóloga</t>
  </si>
  <si>
    <t xml:space="preserve">4–7 anos (pré-escolar e 1.º/2.º ano)</t>
  </si>
  <si>
    <t xml:space="preserve">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t>
  </si>
  <si>
    <t xml:space="preserve">Competência Cognitiva; Competência Física; Aceitação pelos Pares; Aceitação Parental; Aparência Física; Competência Geral; Aceitação Social</t>
  </si>
  <si>
    <t xml:space="preserve">epcas_pe</t>
  </si>
  <si>
    <t xml:space="preserve">q_epcas_pe</t>
  </si>
  <si>
    <t xml:space="preserve">https://correiaricardina-ui.github.io/questionarios/EPCAS_PE_v1.html</t>
  </si>
  <si>
    <t xml:space="preserve">ERC — Pais/Cuidadores</t>
  </si>
  <si>
    <t xml:space="preserve">3–18 anos</t>
  </si>
  <si>
    <t xml:space="preserve">Avalia a regulação emocional da criança — versão pais/cuidadores</t>
  </si>
  <si>
    <t xml:space="preserve">Labilidade/Negatividade (L/N); Regulação Emocional (RE); Total ERC</t>
  </si>
  <si>
    <t xml:space="preserve">erc_pais</t>
  </si>
  <si>
    <t xml:space="preserve">q_erc_pais</t>
  </si>
  <si>
    <t xml:space="preserve">https://correiaricardina-ui.github.io/questionarios/ERC_Pais_v1.html</t>
  </si>
  <si>
    <t xml:space="preserve">ERC — Professores</t>
  </si>
  <si>
    <t xml:space="preserve">Avalia a regulação emocional da criança — versão professor/educador</t>
  </si>
  <si>
    <t xml:space="preserve">erc_prof</t>
  </si>
  <si>
    <t xml:space="preserve">q_erc_prof</t>
  </si>
  <si>
    <t xml:space="preserve">https://correiaricardina-ui.github.io/questionarios/ERC_Professores_v1.html</t>
  </si>
  <si>
    <t xml:space="preserve">ERICA — Índice de Regulação Emocional (Crianças e Adolescentes)</t>
  </si>
  <si>
    <t xml:space="preserve">9–16 anos</t>
  </si>
  <si>
    <t xml:space="preserve">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t>
  </si>
  <si>
    <t xml:space="preserve">Controlo Emocional (CE); Autoconsciência Emocional (AE); Responsividade Situacional (RS); ERICA Total</t>
  </si>
  <si>
    <t xml:space="preserve">erica</t>
  </si>
  <si>
    <t xml:space="preserve">q_erica</t>
  </si>
  <si>
    <t xml:space="preserve">https://correiaricardina-ui.github.io/questionarios/ERICA_v1.html</t>
  </si>
  <si>
    <t xml:space="preserve">ERQ-CA — Questionário de Regulação Emocional (Crianças e Adolescentes)</t>
  </si>
  <si>
    <t xml:space="preserve">10–18 anos</t>
  </si>
  <si>
    <t xml:space="preserve">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t>
  </si>
  <si>
    <t xml:space="preserve">Reavaliação Cognitiva (RC); Supressão Expressiva (SE)</t>
  </si>
  <si>
    <t xml:space="preserve">erqca</t>
  </si>
  <si>
    <t xml:space="preserve">q_erq_ca</t>
  </si>
  <si>
    <t xml:space="preserve">https://correiaricardina-ui.github.io/questionarios/ERQ_CA_v1.html</t>
  </si>
  <si>
    <t xml:space="preserve">FACES-IV adap — Coesão e Flexibilidade Familiar</t>
  </si>
  <si>
    <t xml:space="preserve">Funcionamento familiar / sistémico</t>
  </si>
  <si>
    <t xml:space="preserve">Mãe, Pai, Filho(a), Cuidador(a), Outro familiar</t>
  </si>
  <si>
    <t xml:space="preserve">≥12 anos</t>
  </si>
  <si>
    <t xml:space="preserve">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t>
  </si>
  <si>
    <t xml:space="preserve">Coesão Equilibrada (CE); Flexibilidade Equilibrada (FE); Desagregada (DES); Emaranhada (EMA); Rígida (RIG); Caótica (CAO); Rácio Circumplexo Total</t>
  </si>
  <si>
    <t xml:space="preserve">faces_iv_adap</t>
  </si>
  <si>
    <t xml:space="preserve">q_facesivadap</t>
  </si>
  <si>
    <t xml:space="preserve">https://correiaricardina-ui.github.io/questionarios/FACES_IV_adap.html</t>
  </si>
  <si>
    <t xml:space="preserve">FAD-60 — Family Assessment Device</t>
  </si>
  <si>
    <t xml:space="preserve">Mãe, Pai, Enc. Educação, Outro familiar</t>
  </si>
  <si>
    <t xml:space="preserve">Família</t>
  </si>
  <si>
    <t xml:space="preserve">Avaliação do funcionamento familiar em 7 subescalas — 60 itens (Epstein et al., 1983)</t>
  </si>
  <si>
    <t xml:space="preserve">Resolução de Problemas (PS); Comunicação (CO); Papéis Familiares (RO); Responsividade Afetiva (AR); Envolvimento Afetivo (AI); Controlo Comportamental (BC); Funcionamento Geral (GF)</t>
  </si>
  <si>
    <t xml:space="preserve">fad_60</t>
  </si>
  <si>
    <t xml:space="preserve">q_fad_60</t>
  </si>
  <si>
    <t xml:space="preserve">https://correiaricardina-ui.github.io/questionarios/FAD_60_v1.html</t>
  </si>
  <si>
    <t xml:space="preserve">FAD-GF — Funcionamento Geral da Família</t>
  </si>
  <si>
    <t xml:space="preserve">Avaliação do funcionamento familiar global — 12 itens (Epstein et al., 1983)</t>
  </si>
  <si>
    <t xml:space="preserve">Score FAD-GF; Classificação</t>
  </si>
  <si>
    <t xml:space="preserve">fad_gf</t>
  </si>
  <si>
    <t xml:space="preserve">q_fad_gf</t>
  </si>
  <si>
    <t xml:space="preserve">https://correiaricardina-ui.github.io/questionarios/FAD_GF_v2.html</t>
  </si>
  <si>
    <t xml:space="preserve">FAS — Autorrelato Adolescência TOC</t>
  </si>
  <si>
    <t xml:space="preserve">Funcionamento familiar / TOC pediátrico</t>
  </si>
  <si>
    <t xml:space="preserve">11–17 anos</t>
  </si>
  <si>
    <t xml:space="preserve">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t>
  </si>
  <si>
    <t xml:space="preserve">Obs / Comp / DS / DOC; PAR (0-20) / MOD (0-16); Acomodação Total (0-36); SOF, RC, CMO, RAS; UP / DC / AENA; IRC (0-12)</t>
  </si>
  <si>
    <t xml:space="preserve">fas_cr_adolescencia</t>
  </si>
  <si>
    <t xml:space="preserve">q_fas_cr_adolescencia</t>
  </si>
  <si>
    <t xml:space="preserve">https://correiaricardina-ui.github.io/questionarios/FAS_CR_Adolescencia.html</t>
  </si>
  <si>
    <t xml:space="preserve">FAS — Autorrelato Infância TOC</t>
  </si>
  <si>
    <t xml:space="preserve">7–10 anos</t>
  </si>
  <si>
    <t xml:space="preserve">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t>
  </si>
  <si>
    <t xml:space="preserve">fas_cr_infancia</t>
  </si>
  <si>
    <t xml:space="preserve">q_fas_cr_infancia</t>
  </si>
  <si>
    <t xml:space="preserve">https://correiaricardina-ui.github.io/questionarios/FAS_CR_Infancia.html</t>
  </si>
  <si>
    <t xml:space="preserve">FAS — Versão Parental (TOC)</t>
  </si>
  <si>
    <t xml:space="preserve">7–18 anos</t>
  </si>
  <si>
    <t xml:space="preserve">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t>
  </si>
  <si>
    <t xml:space="preserve">Obs / Comp (0-8 cada); DS (0-16) / DOC (-8 a +8); PAR (0-20) / MOD (0-16); Acomodação Total (0-36); SOF, RC, CMO; RAS (Total/DS); Categorias presentes</t>
  </si>
  <si>
    <t xml:space="preserve">fas_parental</t>
  </si>
  <si>
    <t xml:space="preserve">q_fas_parental</t>
  </si>
  <si>
    <t xml:space="preserve">https://correiaricardina-ui.github.io/questionarios/FAS_Parental.html</t>
  </si>
  <si>
    <t xml:space="preserve">FASA — Autorrelato Adolescência</t>
  </si>
  <si>
    <t xml:space="preserve">Funcionamento familiar / Ansiedade</t>
  </si>
  <si>
    <t xml:space="preserve">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t>
  </si>
  <si>
    <t xml:space="preserve">PAR (0-16); MOD (0-20); Acomodação Total (0-36); SOF, RC, CMO; UP / DC / AENA; IRC (0-12)</t>
  </si>
  <si>
    <t xml:space="preserve">fasa_cr_adolescencia</t>
  </si>
  <si>
    <t xml:space="preserve">q_fasa_cr_adolescencia</t>
  </si>
  <si>
    <t xml:space="preserve">https://correiaricardina-ui.github.io/questionarios/FASA_CR_Adolescencia.html</t>
  </si>
  <si>
    <t xml:space="preserve">FASA — Autorrelato Infância</t>
  </si>
  <si>
    <t xml:space="preserve">Funcionamento familiar / Ansiedade pediátrica</t>
  </si>
  <si>
    <t xml:space="preserve">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t>
  </si>
  <si>
    <t xml:space="preserve">fasa_cr_infancia</t>
  </si>
  <si>
    <t xml:space="preserve">q_fasa_cr_infancia</t>
  </si>
  <si>
    <t xml:space="preserve">https://correiaricardina-ui.github.io/questionarios/FASA_CR_Infancia.html</t>
  </si>
  <si>
    <t xml:space="preserve">FASA — Versão Parental</t>
  </si>
  <si>
    <t xml:space="preserve">2–18 anos</t>
  </si>
  <si>
    <t xml:space="preserve">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t>
  </si>
  <si>
    <t xml:space="preserve">PAR (0-16); MOD (0-20); Acomodação Total (0-36); SOF (item 10); RC (média 11-13); CMO (máx 11-13)</t>
  </si>
  <si>
    <t xml:space="preserve">fasa_parental</t>
  </si>
  <si>
    <t xml:space="preserve">q_fasa_parental</t>
  </si>
  <si>
    <t xml:space="preserve">https://correiaricardina-ui.github.io/questionarios/FASA_Parental.html</t>
  </si>
  <si>
    <t xml:space="preserve">FSSC-R</t>
  </si>
  <si>
    <t xml:space="preserve">Inventário de medos infantis com 5 fatores e 4 normas — Ollendick (1978/1983)</t>
  </si>
  <si>
    <t xml:space="preserve">Total; F1 Falhanço; F2 Desconhecido; F3 Animais/Fer.; F4 Perigo/Morte; F5 Médico; "Muito"</t>
  </si>
  <si>
    <t xml:space="preserve">fsscr</t>
  </si>
  <si>
    <t xml:space="preserve">q_fsscr</t>
  </si>
  <si>
    <t xml:space="preserve">https://correiaricardina-ui.github.io/questionarios/FSSC_R_v1.html</t>
  </si>
  <si>
    <t xml:space="preserve">GAI — Grelha de Automonitorização Interocetiva</t>
  </si>
  <si>
    <t xml:space="preserve">Paciente (jovem, em sessão)</t>
  </si>
  <si>
    <t xml:space="preserve">Instrumento de automonitorização interocetiva, autorrelato do jovem em sessão (variante de pais prevista). Regista a perceção do próprio corpo na última semana em 7 dimensões (fome, saciedade, sono, cansaço, trânsito intestinal, temperatura, concentração), cada uma cotada por disregulação (0=regulado … 3=mais preocupante), mais um bloco de preocupação com o corpo (lanugo, queda de cabelo, sensação de frio, evitamento de roupa, perceção de magreza, inchaço) e campo de texto livre. Dois índices: Eixo Somático-Regulatório (sono+cansaço+temperatura+concentração, 0–12) e Eixo Apetitivo-Corporal (fome+saciedade+trânsito + preocupação corporal). A dissociação entre eixos (somático regulado / apetitivo-corporal elevado) é o dado clínico central, para acompanhamento longitudinal. Marcadores nutricionais (lanugo, queda de cabelo, frio) são sinalizados à equipa médica, não cotados como gravidade psicológica. Instrumento ad-hoc, não validado psicometricamente — observação, não conclusão; complementa a entrevista clínica e triangula com hetero-relato. Ricardina Correia, 2026.</t>
  </si>
  <si>
    <t xml:space="preserve">Eixo Somático-Regulatório; Eixo Apetitivo-Corporal; Dimensões em alerta; Marcadores nutricionais</t>
  </si>
  <si>
    <t xml:space="preserve">gai</t>
  </si>
  <si>
    <t xml:space="preserve">q_gai</t>
  </si>
  <si>
    <t xml:space="preserve">https://correiaricardina-ui.github.io/questionarios/GAI_Automonitorizacao_Interocetiva_v1.html</t>
  </si>
  <si>
    <t xml:space="preserve">IIM — Adolescentes/Adultos</t>
  </si>
  <si>
    <t xml:space="preserve">Orientação Vocacional &amp; Inteligências</t>
  </si>
  <si>
    <t xml:space="preserve">Auto-relato adolescente/adulto de preferências e competências por inteligência (Gardner, 1983/1995). Aplicação clínica em orientação vocacional, autoconhecimento e identificação de domínios de eleição. Avalia AUTO-PERCEÇÃO — NÃO substitui provas de aptidão.</t>
  </si>
  <si>
    <t xml:space="preserve">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</si>
  <si>
    <t xml:space="preserve">iimadoladultos</t>
  </si>
  <si>
    <t xml:space="preserve">q_iim_adoladultos</t>
  </si>
  <si>
    <t xml:space="preserve">https://correiaricardina-ui.github.io/questionarios/IIM_AdolAdultos_v1.html</t>
  </si>
  <si>
    <t xml:space="preserve">IIM — Crianças</t>
  </si>
  <si>
    <t xml:space="preserve">8–12 anos</t>
  </si>
  <si>
    <t xml:space="preserve">Auto-relato infantil de preferências e competências por inteligência (Gardner, 1983/1995). Linguagem adaptada à criança. Avalia AUTO-PERCEÇÃO — não capacidade real medida. Orientação para autoconhecimento e identificação de áreas de força.</t>
  </si>
  <si>
    <t xml:space="preserve">iimcriancas</t>
  </si>
  <si>
    <t xml:space="preserve">q_iim_criancas</t>
  </si>
  <si>
    <t xml:space="preserve">https://correiaricardina-ui.github.io/questionarios/IIM_Criancas_v1.html</t>
  </si>
  <si>
    <t xml:space="preserve">IIM — Heterorrelato</t>
  </si>
  <si>
    <t xml:space="preserve">Mãe, Pai, Enc. Educação, Professor(a), Diretor(a) de Turma</t>
  </si>
  <si>
    <t xml:space="preserve">Mapear o perfil de auto-perceção de preferências e competências por inteligência (Gardner, 1983/1995) — versão preenchida por pais/professores. Orientação vocacional, autoconhecimento e identificação de áreas de força. NÃO substitui WISC-V/BAEM/MAT.</t>
  </si>
  <si>
    <t xml:space="preserve">iimhetero</t>
  </si>
  <si>
    <t xml:space="preserve">q_iim_hetero</t>
  </si>
  <si>
    <t xml:space="preserve">https://correiaricardina-ui.github.io/questionarios/IIM_Heterorrelato_v1.html</t>
  </si>
  <si>
    <t xml:space="preserve">IMC-C — Inventário de Maturidade na Carreira (Forma C)</t>
  </si>
  <si>
    <t xml:space="preserve">Jovem avaliado, Paciente</t>
  </si>
  <si>
    <t xml:space="preserve">Ensino Secundário</t>
  </si>
  <si>
    <t xml:space="preserve">Avaliar a maturidade/adaptabilidade vocacional: prontidão para decisões de carreira</t>
  </si>
  <si>
    <t xml:space="preserve">Preocupação; Curiosidade; Confiança; Consulta/Controlo; Escala Total</t>
  </si>
  <si>
    <t xml:space="preserve">imc_c</t>
  </si>
  <si>
    <t xml:space="preserve">q_imc_c</t>
  </si>
  <si>
    <t xml:space="preserve">https://correiaricardina-ui.github.io/questionarios/IMC_C.html</t>
  </si>
  <si>
    <t xml:space="preserve">IPP-R — Interesses e Preferências Profissionais</t>
  </si>
  <si>
    <t xml:space="preserve">≥14 anos</t>
  </si>
  <si>
    <t xml:space="preserve">Avaliar interesses e preferências profissionais em 15 campos vocacionais</t>
  </si>
  <si>
    <t xml:space="preserve">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t>
  </si>
  <si>
    <t xml:space="preserve">ippr</t>
  </si>
  <si>
    <t xml:space="preserve">q_ippr</t>
  </si>
  <si>
    <t xml:space="preserve">https://correiaricardina-ui.github.io/questionarios/IPP-R_v1.html</t>
  </si>
  <si>
    <t xml:space="preserve">ISAS — Inventário de Afirmações sobre Autolesão</t>
  </si>
  <si>
    <t xml:space="preserve">Comportamento / Autolesão (NSSI)</t>
  </si>
  <si>
    <t xml:space="preserve">Paciente/Adolescente, Adulto</t>
  </si>
  <si>
    <t xml:space="preserve">12–25 anos</t>
  </si>
  <si>
    <t xml:space="preserve">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t>
  </si>
  <si>
    <t xml:space="preserve">Caracterização (Sec. I); 13 funções (Sec. II); Intrapessoal (0-36); Interpessoal (0-42); TOTAL (0-78); Perfil funcional; Top 3 funções; Alertas críticos (AS/AP/IN)</t>
  </si>
  <si>
    <t xml:space="preserve">isas</t>
  </si>
  <si>
    <t xml:space="preserve">q_isas</t>
  </si>
  <si>
    <t xml:space="preserve">https://correiaricardina-ui.github.io/questionarios/ISAS_v1.html</t>
  </si>
  <si>
    <t xml:space="preserve">ISC-24 — Somatização</t>
  </si>
  <si>
    <t xml:space="preserve">Paciente, Criança avaliada, Jovem avaliado, Mãe, Pai, Enc. Educação</t>
  </si>
  <si>
    <t xml:space="preserve">Avalia presença e intensidade de sintomas somáticos nas últimas 2 semanas (24 itens; Ferreira, Martins, Monteiro &amp; Pereira, 2014 — adaptação portuguesa do CSI-24)</t>
  </si>
  <si>
    <t xml:space="preserve">Pontuação Total; Cardiopulmonar; Pseudoneurológico; Gastrointestinal; Dor</t>
  </si>
  <si>
    <t xml:space="preserve">isc24</t>
  </si>
  <si>
    <t xml:space="preserve">q_isc24</t>
  </si>
  <si>
    <t xml:space="preserve">https://correiaricardina-ui.github.io/questionarios/ISC24.html</t>
  </si>
  <si>
    <t xml:space="preserve">ISS-I / ESI — Inventário de Sintomas de Stress Infantil</t>
  </si>
  <si>
    <t xml:space="preserve">6–14 anos</t>
  </si>
  <si>
    <t xml:space="preserve">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t>
  </si>
  <si>
    <t xml:space="preserve">Reações Físicas (F); Reações Psicológicas (P); Reações Psic. Comp. Depressivo (D); Reações Psicofisiológicas (PF); Score Total (TOTAL)</t>
  </si>
  <si>
    <t xml:space="preserve">iss_esi</t>
  </si>
  <si>
    <t xml:space="preserve">q_iss_esi</t>
  </si>
  <si>
    <t xml:space="preserve">https://correiaricardina-ui.github.io/questionarios/ISS_ESI_v1.html</t>
  </si>
  <si>
    <t xml:space="preserve">IVP de Super — Inventário de Valores Profissionais</t>
  </si>
  <si>
    <t xml:space="preserve">Ensino Secundário / Adultos</t>
  </si>
  <si>
    <t xml:space="preserve">Avaliar os valores profissionais em 15 dimensões: Criatividade, Altruísmo, Estético, Estimulação Intelectual, Êxito, Independência, Prestígio, Direcção, Económico, Segurança, Ambiente, Rel. Superiores, Rel. Colegas, Variedade, Género de Vida</t>
  </si>
  <si>
    <t xml:space="preserve">Criatividade; Altruísmo; Estético; Estimulação Intelectual; Êxito; Independência; Prestígio; Direcção; Económico; Segurança; Ambiente; Relação com os Superiores; Relação com os Colegas; Variedade; Género de Vida</t>
  </si>
  <si>
    <t xml:space="preserve">ivp_super</t>
  </si>
  <si>
    <t xml:space="preserve">q_ivp_super</t>
  </si>
  <si>
    <t xml:space="preserve">https://correiaricardina-ui.github.io/questionarios/IVP_Super_v1.html</t>
  </si>
  <si>
    <t xml:space="preserve">JTCI — Inventário Júnior de Temperamento e Caráter</t>
  </si>
  <si>
    <t xml:space="preserve">9–18 anos</t>
  </si>
  <si>
    <t xml:space="preserve">Avalia temperamento (NS, HA, RD, P) e caráter (SD, CO) — 92 itens, autorrelato (Mondoni 2010 · Moreira et al. 2012)</t>
  </si>
  <si>
    <t xml:space="preserve">Procura de Novidade (NS); Evitamento do Dano (HA); Dependência da Recompensa (RD); Persistência (P); Autodirecionamento (SD); Cooperação (CO)</t>
  </si>
  <si>
    <t xml:space="preserve">jtci92</t>
  </si>
  <si>
    <t xml:space="preserve">q_jtci92</t>
  </si>
  <si>
    <t xml:space="preserve">https://correiaricardina-ui.github.io/questionarios/JTCI_92.html</t>
  </si>
  <si>
    <t xml:space="preserve">Kidcope — Adolescentes (13–18 anos)</t>
  </si>
  <si>
    <t xml:space="preserve">13–18 anos</t>
  </si>
  <si>
    <t xml:space="preserve">Avalia frequência (0–3) e eficácia percebida (0–4) de estratégias de coping; inclui flags de discrepância Frequência-Eficácia e perfil integrado A-E-D (Spirito, Stark &amp; Williams, 1988)</t>
  </si>
  <si>
    <t xml:space="preserve">Estilo Adaptativo; Estilo Evitativo; Estilo Disfuncional; Índice Global; Flags F-E; Perfil A-E-D</t>
  </si>
  <si>
    <t xml:space="preserve">kidcope_ad</t>
  </si>
  <si>
    <t xml:space="preserve">q_kidcope_ad</t>
  </si>
  <si>
    <t xml:space="preserve">https://correiaricardina-ui.github.io/questionarios/Kidcope_Adolescentes_v1.html</t>
  </si>
  <si>
    <t xml:space="preserve">Kidcope — Crianças (7–12 anos)</t>
  </si>
  <si>
    <t xml:space="preserve">Paciente, Criança avaliada</t>
  </si>
  <si>
    <t xml:space="preserve">7–12 anos</t>
  </si>
  <si>
    <t xml:space="preserve">Avalia estratégias de coping face a situações de stress (uso binário Sim/Não + eficácia 0–2); perfil integrado A-E-D com 27 combinações clínicas (Spirito, Stark &amp; Williams, 1988)</t>
  </si>
  <si>
    <t xml:space="preserve">Estilo Adaptativo; Estilo Evitativo; Estilo Disfuncional; Índice Global; Perfil A-E-D</t>
  </si>
  <si>
    <t xml:space="preserve">kidcope_cr</t>
  </si>
  <si>
    <t xml:space="preserve">q_kidcope_cr</t>
  </si>
  <si>
    <t xml:space="preserve">https://correiaricardina-ui.github.io/questionarios/Kidcope_Criancas_v1.html</t>
  </si>
  <si>
    <t xml:space="preserve">LDS — Desenvolvimento Linguagem</t>
  </si>
  <si>
    <t xml:space="preserve">18–35 meses</t>
  </si>
  <si>
    <t xml:space="preserve">Rastreio do desenvolvimento da linguagem — MacArthur adaptado</t>
  </si>
  <si>
    <t xml:space="preserve">Vocabulário; Comprimento Médio do Enunciado (MLU)</t>
  </si>
  <si>
    <t xml:space="preserve">lds</t>
  </si>
  <si>
    <t xml:space="preserve">q_lds</t>
  </si>
  <si>
    <t xml:space="preserve">https://correiaricardina-ui.github.io/questionarios/LDS_v2.html</t>
  </si>
  <si>
    <t xml:space="preserve">MABC-2 — Lista de Verificação</t>
  </si>
  <si>
    <t xml:space="preserve">Professor(a), Educador(a), Mãe, Pai, Enc. Educação</t>
  </si>
  <si>
    <t xml:space="preserve">5–12 anos</t>
  </si>
  <si>
    <t xml:space="preserve">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t>
  </si>
  <si>
    <t xml:space="preserve">Secção A — Estático/Previsível; Secção B — Dinâmico/Imprevisível; Total Motor (A+B); Secção C — Fatores não motores</t>
  </si>
  <si>
    <t xml:space="preserve">mabc2_checklist</t>
  </si>
  <si>
    <t xml:space="preserve">q_mabc2_checklist</t>
  </si>
  <si>
    <t xml:space="preserve">https://correiaricardina-ui.github.io/questionarios/MABC2_Checklist_v1.html</t>
  </si>
  <si>
    <t xml:space="preserve">MAP — Adolescência 12–14 anos</t>
  </si>
  <si>
    <t xml:space="preserve">12–14 anos</t>
  </si>
  <si>
    <t xml:space="preserve">Mapeamento parental sistémico — Adolescência 12–14 anos</t>
  </si>
  <si>
    <t xml:space="preserve">Funcionamento Parental; Rotinas; Práticas Educativas</t>
  </si>
  <si>
    <t xml:space="preserve">map_1214</t>
  </si>
  <si>
    <t xml:space="preserve">q_map_1214</t>
  </si>
  <si>
    <t xml:space="preserve">https://correiaricardina-ui.github.io/questionarios/MAP_ParentalAvaliacaoSistemica_1214_v1.html</t>
  </si>
  <si>
    <t xml:space="preserve">MAP — Adolescência 15–18 anos</t>
  </si>
  <si>
    <t xml:space="preserve">15–18 anos</t>
  </si>
  <si>
    <t xml:space="preserve">Mapeamento parental sistémico — Adolescência 15–18 anos</t>
  </si>
  <si>
    <t xml:space="preserve">map_1518</t>
  </si>
  <si>
    <t xml:space="preserve">q_map_1518</t>
  </si>
  <si>
    <t xml:space="preserve">https://correiaricardina-ui.github.io/questionarios/MAP_ParentalAvaliacaoSistemica_1518_v1.html</t>
  </si>
  <si>
    <t xml:space="preserve">MAP — Mapeamento Parental Sistémico</t>
  </si>
  <si>
    <t xml:space="preserve">Mapeamento sistémico do funcionamento parental</t>
  </si>
  <si>
    <t xml:space="preserve">map_parental</t>
  </si>
  <si>
    <t xml:space="preserve">q_map_parental</t>
  </si>
  <si>
    <t xml:space="preserve">https://correiaricardina-ui.github.io/questionarios/MAP_ParentalAvaliacaoSistemica_v1.html</t>
  </si>
  <si>
    <t xml:space="preserve">MAP — Primeira Infância</t>
  </si>
  <si>
    <t xml:space="preserve">Mapeamento parental sistémico — Primeira Infância</t>
  </si>
  <si>
    <t xml:space="preserve">map_pi</t>
  </si>
  <si>
    <t xml:space="preserve">q_map_pi</t>
  </si>
  <si>
    <t xml:space="preserve">https://correiaricardina-ui.github.io/questionarios/MAP_ParentalAvaliacaoSistemica_PI_v1.html</t>
  </si>
  <si>
    <t xml:space="preserve">MBI-SS — Escala de Burnout para Estudantes</t>
  </si>
  <si>
    <t xml:space="preserve">17+ anos</t>
  </si>
  <si>
    <t xml:space="preserve">Avaliar burnout académico: exaustão emocional, descrença e eficácia (Maroco &amp; Tecedeiro, 2009)</t>
  </si>
  <si>
    <t xml:space="preserve">Exaustão Emocional; Descrença; Eficácia Académica</t>
  </si>
  <si>
    <t xml:space="preserve">mbiss</t>
  </si>
  <si>
    <t xml:space="preserve">q_mbiss</t>
  </si>
  <si>
    <t xml:space="preserve">https://correiaricardina-ui.github.io/questionarios/MBI-SS_v1.html</t>
  </si>
  <si>
    <t xml:space="preserve">M-CHAT-R/F — Despiste Precoce de Autismo</t>
  </si>
  <si>
    <t xml:space="preserve">16–30 meses</t>
  </si>
  <si>
    <t xml:space="preserve">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t>
  </si>
  <si>
    <t xml:space="preserve">Etapa 1 (20 itens · score 0-20); Etapa 2 condicional (entrevista de seguimento); Comunicação social; Linguagem; Brincadeira simbólica; Comportamentos sensoriais; Comportamentos repetitivos</t>
  </si>
  <si>
    <t xml:space="preserve">m_chat_r_f</t>
  </si>
  <si>
    <t xml:space="preserve">q_m_chat_r_f</t>
  </si>
  <si>
    <t xml:space="preserve">https://correiaricardina-ui.github.io/questionarios/M-CHAT-R-F_v1.html</t>
  </si>
  <si>
    <t xml:space="preserve">MCP Breve — Mapeamento de Configuração Parental</t>
  </si>
  <si>
    <t xml:space="preserve">Mãe, Pai, Madrasta, Padrasto, Enc. Educação, Tutor(a) legal</t>
  </si>
  <si>
    <t xml:space="preserve">3–17 anos</t>
  </si>
  <si>
    <t xml:space="preserve">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t>
  </si>
  <si>
    <t xml:space="preserve">Coabitantes (S1); Distribuição funcional (S2); Autoridade educativa reconhecida (S3); Posição e bem-estar parental (S4); Média Autoridade; Média Bem-Estar</t>
  </si>
  <si>
    <t xml:space="preserve">mcp_breve</t>
  </si>
  <si>
    <t xml:space="preserve">q_mcp_breve</t>
  </si>
  <si>
    <t xml:space="preserve">https://correiaricardina-ui.github.io/questionarios/MCP_Breve.html</t>
  </si>
  <si>
    <t xml:space="preserve">MCP Completo — Mapeamento de Configuração Parental</t>
  </si>
  <si>
    <t xml:space="preserve">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t>
  </si>
  <si>
    <t xml:space="preserve">Coabitantes (S1); Distribuição funcional (S2); Autoridade educativa (S3); Relação afetiva por figura (S4); Resposta dos outros / Acomodação (S5); Posição e bem-estar parental (S6); Síntese clínica aberta (S7); Média Autoridade; Média Acomodação; Média Bem-Estar</t>
  </si>
  <si>
    <t xml:space="preserve">mcp_completo</t>
  </si>
  <si>
    <t xml:space="preserve">q_mcp_completo</t>
  </si>
  <si>
    <t xml:space="preserve">https://correiaricardina-ui.github.io/questionarios/MCP_Completo.html</t>
  </si>
  <si>
    <t xml:space="preserve">MDQ — Mood Disorder Questionnaire</t>
  </si>
  <si>
    <t xml:space="preserve">Adultos (≥18 anos)</t>
  </si>
  <si>
    <t xml:space="preserve">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t>
  </si>
  <si>
    <t xml:space="preserve">Soma P1 (sintomas); Co-ocorrência (P2); Impacto funcional (P3); Activação somática; Cognição acelerada; Expansividade hedónica; Pressão comunicacional; Disforia/Irritabilidade; Desregulação comportamental; Classificação; Alertas Diferenciais</t>
  </si>
  <si>
    <t xml:space="preserve">mdq</t>
  </si>
  <si>
    <t xml:space="preserve">q_mdq</t>
  </si>
  <si>
    <t xml:space="preserve">https://correiaricardina-ui.github.io/questionarios/MDQ_v1.html</t>
  </si>
  <si>
    <t xml:space="preserve">NEO PI-R — Inventário de Personalidade NEO Revisto</t>
  </si>
  <si>
    <t xml:space="preserve">Avaliação dos 5 grandes domínios de personalidade (N, E, O, A, C) e 30 facetas — 240 itens (Costa &amp; McCrae 1992 · Lima &amp; Simões 1997)</t>
  </si>
  <si>
    <t xml:space="preserve">Neuroticismo; Extroversão; Abertura à Experiência; Amabilidade; Conscienciosidade</t>
  </si>
  <si>
    <t xml:space="preserve">neopir</t>
  </si>
  <si>
    <t xml:space="preserve">q_neopir</t>
  </si>
  <si>
    <t xml:space="preserve">https://correiaricardina-ui.github.io/questionarios/NEO_PIR_v1.html</t>
  </si>
  <si>
    <t xml:space="preserve">OCI-CV-R — Sintomatologia Obsessivo-Compulsiva</t>
  </si>
  <si>
    <t xml:space="preserve">Criança/Adolescente, Paciente</t>
  </si>
  <si>
    <t xml:space="preserve">Rastreio de sintomatologia obsessivo-compulsiva pediátrica em 5 dimensões (Abramovitch et al., 2022) — auto-relato com 18 itens; janela do último mês</t>
  </si>
  <si>
    <t xml:space="preserve">VD — Verificação/Dúvida; OBS — Obsessões; LAV — Lavagem; ORD — Ordenação; NEUTR — Neutralização; Total</t>
  </si>
  <si>
    <t xml:space="preserve">ocicvr</t>
  </si>
  <si>
    <t xml:space="preserve">q_ocicvr</t>
  </si>
  <si>
    <t xml:space="preserve">https://correiaricardina-ui.github.io/questionarios/OCI_CV_R_v1.html</t>
  </si>
  <si>
    <t xml:space="preserve">OCI-R — Sintomatologia Obsessivo-Compulsiva (adultos)</t>
  </si>
  <si>
    <t xml:space="preserve">≥18 anos</t>
  </si>
  <si>
    <t xml:space="preserve">Rastreio de sintomatologia obsessivo-compulsiva em adultos em 6 dimensões (Foa et al., 2002 · versão PT: Cardoso, 2015) — auto-relato com 18 itens, escala 0-4; janela do último mês; corte ≥21 sugere provável POC</t>
  </si>
  <si>
    <t xml:space="preserve">Lavagem; Verificação; Ordem; Acumulação; Obsessões; Neutralização; Total</t>
  </si>
  <si>
    <t xml:space="preserve">ocir</t>
  </si>
  <si>
    <t xml:space="preserve">q_ocir</t>
  </si>
  <si>
    <t xml:space="preserve">https://correiaricardina-ui.github.io/questionarios/OCI_R_v1.html</t>
  </si>
  <si>
    <t xml:space="preserve">PAI — Adultos</t>
  </si>
  <si>
    <t xml:space="preserve">18+ anos</t>
  </si>
  <si>
    <t xml:space="preserve">Inventário de Avaliação da Personalidade — Adultos (344 itens, 22 escalas, normas PT Paulino et al. 2024)</t>
  </si>
  <si>
    <t xml:space="preserve">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t>
  </si>
  <si>
    <t xml:space="preserve">pai</t>
  </si>
  <si>
    <t xml:space="preserve">q_pai_adult</t>
  </si>
  <si>
    <t xml:space="preserve">https://correiaricardina-ui.github.io/questionarios/PAI_adult_final.html</t>
  </si>
  <si>
    <t xml:space="preserve">PAI-A</t>
  </si>
  <si>
    <t xml:space="preserve">Inventário de Avaliação da Personalidade — Adolescente (316 itens, 19 escalas, Morey 2007)</t>
  </si>
  <si>
    <t xml:space="preserve">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t>
  </si>
  <si>
    <t xml:space="preserve">paia</t>
  </si>
  <si>
    <t xml:space="preserve">q_pai_a</t>
  </si>
  <si>
    <t xml:space="preserve">https://correiaricardina-ui.github.io/questionarios/PAI_A_final.html</t>
  </si>
  <si>
    <t xml:space="preserve">PALS — Aluno (2.º e 3.º ciclo)</t>
  </si>
  <si>
    <t xml:space="preserve">10–14 anos</t>
  </si>
  <si>
    <t xml:space="preserve">Avaliar padrões adaptativos/maladaptativos de motivação académica, eficácia, estratégias e clima familiar — versão adaptada à pré-adolescência (Midgley et al., 2000)</t>
  </si>
  <si>
    <t xml:space="preserve">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</si>
  <si>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palsstudent23c</t>
  </si>
  <si>
    <t xml:space="preserve">q_pals_student_23c</t>
  </si>
  <si>
    <t xml:space="preserve">https://correiaricardina-ui.github.io/questionarios/PALS_Student_2-3ciclo_v1.html</t>
  </si>
  <si>
    <t xml:space="preserve">PALS — Aluno (Secundário)</t>
  </si>
  <si>
    <t xml:space="preserve">14–18 anos</t>
  </si>
  <si>
    <t xml:space="preserve">Avaliar padrões adaptativos/maladaptativos de motivação académica, eficácia, estratégias e clima familiar — inclui foco vocacional (Midgley et al., 2000)</t>
  </si>
  <si>
    <t xml:space="preserve">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</si>
  <si>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palsstudentsec</t>
  </si>
  <si>
    <t xml:space="preserve">q_pals_student_sec</t>
  </si>
  <si>
    <t xml:space="preserve">https://correiaricardina-ui.github.io/questionarios/PALS_Student_Secundario_v1.html</t>
  </si>
  <si>
    <t xml:space="preserve">PALS — Aluno 2.º/3.º Ciclo (Reduzido)</t>
  </si>
  <si>
    <t xml:space="preserve">Versão breve (46 itens) do PALS Aluno 2.º/3.º ciclo — mesmas 18 subescalas, 5 índices e 7 perfis da versão completa, linguagem adaptada à pré-adolescência (Midgley et al., 2000)</t>
  </si>
  <si>
    <t xml:space="preserve">palsstudent23cred</t>
  </si>
  <si>
    <t xml:space="preserve">q_pals_student_23c_red</t>
  </si>
  <si>
    <t xml:space="preserve">https://correiaricardina-ui.github.io/questionarios/PALS_Student_2-3ciclo_Reduzido_v1.html</t>
  </si>
  <si>
    <t xml:space="preserve">PALS — Aluno Secundário (Reduzido)</t>
  </si>
  <si>
    <t xml:space="preserve">Versão breve (46 itens) do PALS Aluno Secundário — mesmas 18 subescalas, 5 índices e 8 perfis da versão completa, inclui foco vocacional (Midgley et al., 2000)</t>
  </si>
  <si>
    <t xml:space="preserve">palsstudentsecred</t>
  </si>
  <si>
    <t xml:space="preserve">q_pals_student_sec_red</t>
  </si>
  <si>
    <t xml:space="preserve">https://correiaricardina-ui.github.io/questionarios/PALS_Student_Secundario_Reduzido_v1.html</t>
  </si>
  <si>
    <t xml:space="preserve">PALS — Parent</t>
  </si>
  <si>
    <t xml:space="preserve">Mapear orientações motivacionais parentais, pressão academica e clima familiar de eficácia/afeto face à escola (Midgley et al., 2000)</t>
  </si>
  <si>
    <t xml:space="preserve">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</si>
  <si>
    <t xml:space="preserve">palsparent</t>
  </si>
  <si>
    <t xml:space="preserve">q_pals_parent</t>
  </si>
  <si>
    <t xml:space="preserve">https://correiaricardina-ui.github.io/questionarios/PALS_Parent_v1.html</t>
  </si>
  <si>
    <t xml:space="preserve">PALS — Parent (Reduzido)</t>
  </si>
  <si>
    <t xml:space="preserve">Versão breve (21 itens) do PALS Parent — mesmas 8 subescalas, 9 índices clínicos e 7 perfis da versão completa, com menor tempo de administração (Midgley et al., 2000)</t>
  </si>
  <si>
    <t xml:space="preserve">palsparentred</t>
  </si>
  <si>
    <t xml:space="preserve">q_pals_parent_red</t>
  </si>
  <si>
    <t xml:space="preserve">https://correiaricardina-ui.github.io/questionarios/PALS_Parent_Reduzido_v1.html</t>
  </si>
  <si>
    <t xml:space="preserve">PALS — Teacher</t>
  </si>
  <si>
    <t xml:space="preserve">Mapear estruturas de meta da sala, abordagens à instrução e eficácia/afeto docente (Midgley et al., 2000)</t>
  </si>
  <si>
    <t xml:space="preserve">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</si>
  <si>
    <t xml:space="preserve">palsteacher</t>
  </si>
  <si>
    <t xml:space="preserve">q_pals_teacher</t>
  </si>
  <si>
    <t xml:space="preserve">https://correiaricardina-ui.github.io/questionarios/PALS_Teacher_v1.html</t>
  </si>
  <si>
    <t xml:space="preserve">PALS — Teacher (Reduzido)</t>
  </si>
  <si>
    <t xml:space="preserve">Versão breve (20 itens) do PALS Teacher — mesmas 7 subescalas, 5 índices e 6 perfis da versão completa (Midgley et al., 2000)</t>
  </si>
  <si>
    <t xml:space="preserve">palsteacherred</t>
  </si>
  <si>
    <t xml:space="preserve">q_pals_teacher_red</t>
  </si>
  <si>
    <t xml:space="preserve">https://correiaricardina-ui.github.io/questionarios/PALS_Teacher_Reduzido_v1.html</t>
  </si>
  <si>
    <t xml:space="preserve">PPGR-J — Pressão Percebida em Guarda-Redes Jovens</t>
  </si>
  <si>
    <t xml:space="preserve">Atleta, Jovem avaliado, Paciente</t>
  </si>
  <si>
    <t xml:space="preserve">≥ 12 anos (guarda-redes)</t>
  </si>
  <si>
    <t xml:space="preserve">Avalia a vivência multidimensional da pressão de desempenho em guarda-redes jovens (Correia, 2026 — clínico-exploratório, sem validação psicométrica formal)</t>
  </si>
  <si>
    <t xml:space="preserve">AAC — Ativação Ansiogénica; MEF — Medo do Erro; PFE — Pressão Externa; APP — Autoexigência; EEIP — Exposição/Identidade; RPRM — Recuperação Pós-Erro; Score Total (TOTAL); Normalizado 0-100</t>
  </si>
  <si>
    <t xml:space="preserve">ppgrj</t>
  </si>
  <si>
    <t xml:space="preserve">q_ppgrj</t>
  </si>
  <si>
    <t xml:space="preserve">https://correiaricardina-ui.github.io/questionarios/PPGRJ_v1.html</t>
  </si>
  <si>
    <t xml:space="preserve">PS2 — Acompanhamento Escolar</t>
  </si>
  <si>
    <t xml:space="preserve">3–14:11 anos</t>
  </si>
  <si>
    <t xml:space="preserve">Avalia padrões de processamento sensorial em contexto escolar — versão professor</t>
  </si>
  <si>
    <t xml:space="preserve">Procura; Evitamento; Sensibilidade; Registo; Auditivo; Visual; Tátil; Movimento; Comportamento; Fator Escolar 1; Fator Escolar 2; Fator Escolar 3; Fator Escolar 4</t>
  </si>
  <si>
    <t xml:space="preserve">ps2escola</t>
  </si>
  <si>
    <t xml:space="preserve">q_ps2escola</t>
  </si>
  <si>
    <t xml:space="preserve">https://correiaricardina-ui.github.io/questionarios/PS2_Escola_v1.html</t>
  </si>
  <si>
    <t xml:space="preserve">PS2 — Questionário do Cuidador</t>
  </si>
  <si>
    <t xml:space="preserve">Mãe, Pai, Enc. Educação, Cuidador(a)</t>
  </si>
  <si>
    <t xml:space="preserve">Avalia padrões de processamento sensorial em casa — versão cuidadores</t>
  </si>
  <si>
    <t xml:space="preserve">Procura; Evitamento; Sensibilidade; Registo; Auditivo; Visual; Tátil; Movimento; Posição Corporal; Oral; Conduta; Socioemocional; Atenção</t>
  </si>
  <si>
    <t xml:space="preserve">ps2pais</t>
  </si>
  <si>
    <t xml:space="preserve">q_ps2pais</t>
  </si>
  <si>
    <t xml:space="preserve">https://correiaricardina-ui.github.io/questionarios/PS2_Pais_v1.html</t>
  </si>
  <si>
    <t xml:space="preserve">PSI-4 adap — Escala de Avaliação do Stress Parental</t>
  </si>
  <si>
    <t xml:space="preserve">Parentalidade &amp; Stress Parental</t>
  </si>
  <si>
    <t xml:space="preserve">Mãe, Pai, Enc. Educação, Cuidador</t>
  </si>
  <si>
    <t xml:space="preserve">Pais/cuidadores de crianças 0–~12 anos</t>
  </si>
  <si>
    <t xml:space="preserve">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t>
  </si>
  <si>
    <t xml:space="preserve">Mal-estar Parental (MP); Interação Disfuncional Pais-Criança (ID); Criança Difícil (CD); Stress Total</t>
  </si>
  <si>
    <t xml:space="preserve">psi4adap</t>
  </si>
  <si>
    <t xml:space="preserve">q_psi4adap</t>
  </si>
  <si>
    <t xml:space="preserve">https://correiaricardina-ui.github.io/questionarios/PSI4_adap.html</t>
  </si>
  <si>
    <t xml:space="preserve">QACSE-C — Competências Socioemocionais (Complementar à BAS-3)</t>
  </si>
  <si>
    <t xml:space="preserve">10–17 anos</t>
  </si>
  <si>
    <t xml:space="preserve">Cobrir as cinco dimensões CASEL ausentes da BAS-3 — auto-relato, complementar (Coelho &amp; Sousa, 2016)</t>
  </si>
  <si>
    <t xml:space="preserve">Autoconsciência Emocional (ACE); Regulação Emocional (RE); Tomada de Perspetiva (TP); Resolução Assertiva de Conflitos (RAC); Tomada de Decisão Responsável (TDR)</t>
  </si>
  <si>
    <t xml:space="preserve">qacse_c</t>
  </si>
  <si>
    <t xml:space="preserve">q_qacse_c</t>
  </si>
  <si>
    <t xml:space="preserve">https://correiaricardina-ui.github.io/questionarios/QACSE_C_v1.html</t>
  </si>
  <si>
    <t xml:space="preserve">QACSE-R — Competências Socioemocionais (reduzida)</t>
  </si>
  <si>
    <t xml:space="preserve">10–16 anos</t>
  </si>
  <si>
    <t xml:space="preserve">Avaliar competências socioemocionais — auto-relato, versão reduzida (Coelho &amp; Sousa, 2020)</t>
  </si>
  <si>
    <t xml:space="preserve">Autocontrolo (AC); Competências Relacionais (CR); Isolamento Social (IS); Ansiedade Social (AS)</t>
  </si>
  <si>
    <t xml:space="preserve">qacse_r</t>
  </si>
  <si>
    <t xml:space="preserve">q_qacse_r</t>
  </si>
  <si>
    <t xml:space="preserve">https://correiaricardina-ui.github.io/questionarios/QACSE_R_v1.html</t>
  </si>
  <si>
    <t xml:space="preserve">QC Coparentalidade — Mãe</t>
  </si>
  <si>
    <t xml:space="preserve">Mãe</t>
  </si>
  <si>
    <t xml:space="preserve">Adultos</t>
  </si>
  <si>
    <t xml:space="preserve">Avalia cooperação, triangulação e conflito coparental — versão mãe</t>
  </si>
  <si>
    <t xml:space="preserve">Cooperação; Triangulação; Conflito</t>
  </si>
  <si>
    <t xml:space="preserve">qc_mae</t>
  </si>
  <si>
    <t xml:space="preserve">q_qc_mae</t>
  </si>
  <si>
    <t xml:space="preserve">https://correiaricardina-ui.github.io/questionarios/QC_Mae.html</t>
  </si>
  <si>
    <t xml:space="preserve">QC Coparentalidade — Pai</t>
  </si>
  <si>
    <t xml:space="preserve">Pai</t>
  </si>
  <si>
    <t xml:space="preserve">Avalia cooperação, triangulação e conflito coparental — versão pai</t>
  </si>
  <si>
    <t xml:space="preserve">qc_pai</t>
  </si>
  <si>
    <t xml:space="preserve">q_qc_pai</t>
  </si>
  <si>
    <t xml:space="preserve">https://correiaricardina-ui.github.io/questionarios/QC_Pai.html</t>
  </si>
  <si>
    <t xml:space="preserve">QEA — Esquemas para Adolescentes</t>
  </si>
  <si>
    <t xml:space="preserve">10–25 anos</t>
  </si>
  <si>
    <t xml:space="preserve">Avalia 18 esquemas precoces mal-adaptativos em adolescentes — auto-relato (Santos, Rijo &amp; Pinto-Gouveia, 2009); ponto de corte clínico: média ≥ 3,5</t>
  </si>
  <si>
    <t xml:space="preserve">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t>
  </si>
  <si>
    <t xml:space="preserve">qea</t>
  </si>
  <si>
    <t xml:space="preserve">q_qea</t>
  </si>
  <si>
    <t xml:space="preserve">https://correiaricardina-ui.github.io/questionarios/QEA_questionario.html</t>
  </si>
  <si>
    <t xml:space="preserve">QEDP</t>
  </si>
  <si>
    <t xml:space="preserve">Avalia envolvimento e desenvolvimento parental</t>
  </si>
  <si>
    <t xml:space="preserve">Demandingness; Autonomia; Percepcao</t>
  </si>
  <si>
    <t xml:space="preserve">qedp</t>
  </si>
  <si>
    <t xml:space="preserve">q_qedp</t>
  </si>
  <si>
    <t xml:space="preserve">https://correiaricardina-ui.github.io/questionarios/QEDP_v2.html</t>
  </si>
  <si>
    <t xml:space="preserve">QEE — Questionário Ecológico Escolar</t>
  </si>
  <si>
    <t xml:space="preserve">Professor(a), Diretor(a) de Turma</t>
  </si>
  <si>
    <t xml:space="preserve">Caracterização clínica multi-informador do funcionamento emocional, social e adaptativo em contexto escolar (versão clínica revista, enquadramento bioecológico de Bronfenbrenner + lógica ASEBA). 40 itens fechados + 4 qualitativos.</t>
  </si>
  <si>
    <t xml:space="preserve">Integração e Pertença Social (IPS); Sensibilidade Relacional (SR); Sintomas Internalizantes (SI); Reatividade Comportamental (RC); Pressão de Desempenho e Perfeccionismo (PDP); Funcionamento Académico Adaptativo (FAA); Autorregulação e Coping Adaptativo (ACA); Fatores Protetores Contextuais (FPC); Índice Global de Preocupação Clínica (IGPC)</t>
  </si>
  <si>
    <t xml:space="preserve">qeeescola</t>
  </si>
  <si>
    <t xml:space="preserve">q_qee_escola</t>
  </si>
  <si>
    <t xml:space="preserve">https://correiaricardina-ui.github.io/questionarios/QEE_Escola_v1.html</t>
  </si>
  <si>
    <t xml:space="preserve">QEP — Questionário Ecológico Parental</t>
  </si>
  <si>
    <t xml:space="preserve">Caracterização clínica multi-informador do funcionamento emocional, social e adaptativo (versão clínica revista, paralela ao QEE — enquadramento bioecológico + lógica ASEBA). 40 itens fechados + 4 qualitativos.</t>
  </si>
  <si>
    <t xml:space="preserve">Integração Social e Pertença (IPS); Sensibilidade Relacional (SR); Sintomas Internalizantes (SI); Reatividade Comportamental (RC); Pressão de Desempenho e Perfeccionismo (PDP); Funcionamento Adaptativo Geral (FAG); Autorregulação e Coping Adaptativo (ACA); Fatores Protetores Familiares (FPF); Índice Global de Preocupação Clínica (IGPC)</t>
  </si>
  <si>
    <t xml:space="preserve">qeppais</t>
  </si>
  <si>
    <t xml:space="preserve">q_qep_pais</t>
  </si>
  <si>
    <t xml:space="preserve">https://correiaricardina-ui.github.io/questionarios/QEP_Pais_v1.html</t>
  </si>
  <si>
    <t xml:space="preserve">RAADS-R</t>
  </si>
  <si>
    <t xml:space="preserve">Avalia sintomas de PEA em adultos — auto-relato (Ritvo et al., 2011)</t>
  </si>
  <si>
    <t xml:space="preserve">Social; Linguagem; Sensoriomotora; Circunscrita; Total</t>
  </si>
  <si>
    <t xml:space="preserve">raadsr</t>
  </si>
  <si>
    <t xml:space="preserve">q_raadsr</t>
  </si>
  <si>
    <t xml:space="preserve">https://correiaricardina-ui.github.io/questionarios/RAADS_R_v1.html</t>
  </si>
  <si>
    <t xml:space="preserve">RBS-R — Comportamentos Repetitivos, Revista</t>
  </si>
  <si>
    <t xml:space="preserve">Mãe, Pai, Enc. Educação, Cuidador, Professor(a), Clínico</t>
  </si>
  <si>
    <t xml:space="preserve">3–70 anos (heteroavaliação)</t>
  </si>
  <si>
    <t xml:space="preserve">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t>
  </si>
  <si>
    <t xml:space="preserve">Estereotipias Motoras; Comportamentos Autoagressivos; Comportamentos Compulsivos; Comportamentos Ritualísticos; Rigidez Cognitiva / Sameness; Interesses Restritos; Total</t>
  </si>
  <si>
    <t xml:space="preserve">rbsr</t>
  </si>
  <si>
    <t xml:space="preserve">q_rbsr</t>
  </si>
  <si>
    <t xml:space="preserve">https://correiaricardina-ui.github.io/questionarios/RBS_R.html</t>
  </si>
  <si>
    <t xml:space="preserve">RCADS-25 — Pais/Cuidadores</t>
  </si>
  <si>
    <t xml:space="preserve">Avalia ansiedade e depressão em crianças e adolescentes — versão para pais (25 itens)</t>
  </si>
  <si>
    <t xml:space="preserve">Depressão Major (T) (MDD_T); Ansiedade Total (T) (ANX_T); Score Total (T) (Total_T); Fobia Social (SP); Ansiedade de Separação (SAD); Ansiedade Generalizada (GAD); Perturbação de Pânico (PD); Obsessivo-Compulsivo (OCD)</t>
  </si>
  <si>
    <t xml:space="preserve">rcads_25cg</t>
  </si>
  <si>
    <t xml:space="preserve">q_rcads_25cg</t>
  </si>
  <si>
    <t xml:space="preserve">https://correiaricardina-ui.github.io/questionarios/RCADS25_Pais_v2.html</t>
  </si>
  <si>
    <t xml:space="preserve">RCADS-25 — Youth (Self-Report)</t>
  </si>
  <si>
    <t xml:space="preserve">Avalia ansiedade e depressão em crianças e adolescentes — versão de auto-avaliação (25 itens)</t>
  </si>
  <si>
    <t xml:space="preserve">rcads_25y</t>
  </si>
  <si>
    <t xml:space="preserve">q_rcads_25y</t>
  </si>
  <si>
    <t xml:space="preserve">https://correiaricardina-ui.github.io/questionarios/RCADS25_Youth_v2.html</t>
  </si>
  <si>
    <t xml:space="preserve">RCADS-47 — Pais/Cuidadores</t>
  </si>
  <si>
    <t xml:space="preserve">Avalia ansiedade e depressão em crianças e adolescentes — versão para pais (47 itens)</t>
  </si>
  <si>
    <t xml:space="preserve">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</si>
  <si>
    <t xml:space="preserve">rcads_47cg</t>
  </si>
  <si>
    <t xml:space="preserve">q_rcads_47cg</t>
  </si>
  <si>
    <t xml:space="preserve">https://correiaricardina-ui.github.io/questionarios/RCADS47_Pais_v2.html</t>
  </si>
  <si>
    <t xml:space="preserve">RCADS-47 — Youth (Self-Report)</t>
  </si>
  <si>
    <t xml:space="preserve">Avalia ansiedade e depressão em crianças e adolescentes — versão de auto-avaliação (47 itens)</t>
  </si>
  <si>
    <t xml:space="preserve">rcads_47y</t>
  </si>
  <si>
    <t xml:space="preserve">q_rcads_47y</t>
  </si>
  <si>
    <t xml:space="preserve">https://correiaricardina-ui.github.io/questionarios/RCADS47_Youth_v2.html</t>
  </si>
  <si>
    <t xml:space="preserve">RSES — Auto-Estima de Rosenberg</t>
  </si>
  <si>
    <t xml:space="preserve">12–20 anos</t>
  </si>
  <si>
    <t xml:space="preserve">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t>
  </si>
  <si>
    <t xml:space="preserve">Auto-estima global</t>
  </si>
  <si>
    <t xml:space="preserve">rses</t>
  </si>
  <si>
    <t xml:space="preserve">q_rses</t>
  </si>
  <si>
    <t xml:space="preserve">https://correiaricardina-ui.github.io/questionarios/RSES_v1.html</t>
  </si>
  <si>
    <t xml:space="preserve">SCARED-R — Criança</t>
  </si>
  <si>
    <t xml:space="preserve">Avaliação de perturbações de ansiedade — versão autorrelato</t>
  </si>
  <si>
    <t xml:space="preserve">Pânico; Ansiedade Generalizada; Separação; Fobia Social; Fobia Específica; Obsessivo-Compulsiva; Stress Pós-Traumático; Total</t>
  </si>
  <si>
    <t xml:space="preserve">scared_r_crianca</t>
  </si>
  <si>
    <t xml:space="preserve">q_scared_r_crianca</t>
  </si>
  <si>
    <t xml:space="preserve">https://correiaricardina-ui.github.io/questionarios/SCARED_R_Crianca.html</t>
  </si>
  <si>
    <t xml:space="preserve">SCARED-R — Pais/Cuid.</t>
  </si>
  <si>
    <t xml:space="preserve">Avaliação de perturbações de ansiedade — versão pais/cuidadores</t>
  </si>
  <si>
    <t xml:space="preserve">scared_r_pais</t>
  </si>
  <si>
    <t xml:space="preserve">q_scared_r_pais</t>
  </si>
  <si>
    <t xml:space="preserve">https://correiaricardina-ui.github.io/questionarios/SCARED_R_Pais.html</t>
  </si>
  <si>
    <t xml:space="preserve">SDS — Self-Directed Search (Holland)</t>
  </si>
  <si>
    <t xml:space="preserve">≥13 anos</t>
  </si>
  <si>
    <t xml:space="preserve">Avaliar interesses profissionais RIASEC e gerar Código de Holland para orientação vocacional</t>
  </si>
  <si>
    <t xml:space="preserve">Realista (R); Investigador (I); Artístico (A); Social (S); Empreendedor (E); Convencional (C); Código Holland</t>
  </si>
  <si>
    <t xml:space="preserve">sds_holland</t>
  </si>
  <si>
    <t xml:space="preserve">q_sds_holland</t>
  </si>
  <si>
    <t xml:space="preserve">https://correiaricardina-ui.github.io/questionarios/SDS_Holland.html</t>
  </si>
  <si>
    <t xml:space="preserve">SEQ-C — Autoeficácia para Crianças</t>
  </si>
  <si>
    <t xml:space="preserve">7.º–12.º ano</t>
  </si>
  <si>
    <t xml:space="preserve">Avalia crenças de autoeficácia em três domínios: académico, social e emocional (Nogueira, 2003)</t>
  </si>
  <si>
    <t xml:space="preserve">AE Académica; AE Social; AE Emocional; AE Global</t>
  </si>
  <si>
    <t xml:space="preserve">seqc</t>
  </si>
  <si>
    <t xml:space="preserve">q_seqc</t>
  </si>
  <si>
    <t xml:space="preserve">https://correiaricardina-ui.github.io/questionarios/SEQC_v2.html</t>
  </si>
  <si>
    <t xml:space="preserve">SNAP-IV — Escala de Sintomas de PHDA (Versão Reduzida, DSM-IV)</t>
  </si>
  <si>
    <t xml:space="preserve">Mãe, Pai, Enc. Educação, Professor(a)</t>
  </si>
  <si>
    <t xml:space="preserve">5–11 anos</t>
  </si>
  <si>
    <t xml:space="preserve">Rastreio dimensional dos sintomas de PHDA por heteroavaliação (pais ou professores), 18 itens em escala 0–3 (Não ocorre=0, Um pouco=1, Frequente=2, Muito frequente=3). Métrica = média por item nas dimensões Desatenção (itens 1–9), Hiperatividade-Impulsividade (itens 10–18) e Combinada/PHDA (itens 1–18). O tipo de informante (Pais / Professores) determina os pontos de corte de rastreio de Swanson et al. e as bandas graduadas de Bussing et al. (2008). Resultado exploratório — limiares heurísticos internacionais, sem normas portuguesas; não constitui diagnóstico (a formulação de PHDA exige avaliação multimodal e multi-informante, DSM-5-TR / CID-11). Versão portuguesa: Octávio Moura (2006, 2012).</t>
  </si>
  <si>
    <t xml:space="preserve">Desatenção (itens 1–9); Hiperatividade-Impulsividade (itens 10–18); Combinada / PHDA (itens 1–18)</t>
  </si>
  <si>
    <t xml:space="preserve">snapiv</t>
  </si>
  <si>
    <t xml:space="preserve">q_snapiv</t>
  </si>
  <si>
    <t xml:space="preserve">https://correiaricardina-ui.github.io/questionarios/SNAP_IV_v1.html</t>
  </si>
  <si>
    <t xml:space="preserve">Sociograma · Mapa Social</t>
  </si>
  <si>
    <t xml:space="preserve">Criança/Adolescente, Pais, Mãe, Pai, Enc. Educação, Professor, Diretor de Turma</t>
  </si>
  <si>
    <t xml:space="preserve">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t>
  </si>
  <si>
    <t xml:space="preserve">Apoio emocional; Pertença e escolha mútua; Distância/Exclusão; Self vs Other; Mapa ecológico; Adultos de referência</t>
  </si>
  <si>
    <t xml:space="preserve">sociograma</t>
  </si>
  <si>
    <t xml:space="preserve">q_sociograma</t>
  </si>
  <si>
    <t xml:space="preserve">https://correiaricardina-ui.github.io/questionarios/SOCIOGRAMA_RC_v1.html</t>
  </si>
  <si>
    <t xml:space="preserve">SPAS — Pais</t>
  </si>
  <si>
    <t xml:space="preserve">3–13 anos</t>
  </si>
  <si>
    <t xml:space="preserve">Avalia ansiedade social em crianças — versão pais</t>
  </si>
  <si>
    <t xml:space="preserve">Ansiedade Generalizada (AG); Ansiedade Social (AS); Ansiedade de Separação (SEP); Medos de Dano Físico (MDF); Obsessivo-Compulsivo (POC); Score Total (Total)</t>
  </si>
  <si>
    <t xml:space="preserve">spas_pais</t>
  </si>
  <si>
    <t xml:space="preserve">q_spas_pais</t>
  </si>
  <si>
    <t xml:space="preserve">https://correiaricardina-ui.github.io/questionarios/SPAS_Pais.html</t>
  </si>
  <si>
    <t xml:space="preserve">SPAS — Professor</t>
  </si>
  <si>
    <t xml:space="preserve">Avalia ansiedade social em crianças — versão professor/educador</t>
  </si>
  <si>
    <t xml:space="preserve">spas_prof</t>
  </si>
  <si>
    <t xml:space="preserve">q_spas_prof</t>
  </si>
  <si>
    <t xml:space="preserve">https://correiaricardina-ui.github.io/questionarios/SPAS_Educador.html</t>
  </si>
  <si>
    <t xml:space="preserve">SPPA — Como é que eu sou? + Importância (Adolescentes)</t>
  </si>
  <si>
    <t xml:space="preserve">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t>
  </si>
  <si>
    <t xml:space="preserve">Escolar; Social; Atlética; Aparência Física; Laboral; Romântica; Comportamento; Amizades Íntimas; Autoestima Global; Importância por área; Discrepâncias C−I</t>
  </si>
  <si>
    <t xml:space="preserve">sppa</t>
  </si>
  <si>
    <t xml:space="preserve">q_sppa</t>
  </si>
  <si>
    <t xml:space="preserve">https://correiaricardina-ui.github.io/questionarios/SPPA.html</t>
  </si>
  <si>
    <t xml:space="preserve">SPPC — Como é que eu sou + Importância (Crianças)</t>
  </si>
  <si>
    <t xml:space="preserve">3.º–8.º ano (normas 9–14 anos)</t>
  </si>
  <si>
    <t xml:space="preserve">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t>
  </si>
  <si>
    <t xml:space="preserve">Competência Escolar; Competência Social; Competência Desportiva; Aparência Física; Comportamento; Autoestima Global; Importância por área; Discrepâncias C−I; Comparação criança–professor</t>
  </si>
  <si>
    <t xml:space="preserve">sppc</t>
  </si>
  <si>
    <t xml:space="preserve">q_sppc</t>
  </si>
  <si>
    <t xml:space="preserve">https://correiaricardina-ui.github.io/questionarios/SPPC_Bateria.html</t>
  </si>
  <si>
    <t xml:space="preserve">SPPC — Escala de Avaliação do Professor (Crianças)</t>
  </si>
  <si>
    <t xml:space="preserve">3.º–8.º ano</t>
  </si>
  <si>
    <t xml:space="preserve">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t>
  </si>
  <si>
    <t xml:space="preserve">Competência Escolar; Competência Social; Competência Desportiva; Aparência Física; Comportamento; Comparação criança–professor</t>
  </si>
  <si>
    <t xml:space="preserve">sppc_professor</t>
  </si>
  <si>
    <t xml:space="preserve">q_sppc_professor</t>
  </si>
  <si>
    <t xml:space="preserve">https://correiaricardina-ui.github.io/questionarios/SPPC_Professor.html</t>
  </si>
  <si>
    <t xml:space="preserve">SPPCS — Perfil de Autoperceção para Estudantes Universitários</t>
  </si>
  <si>
    <t xml:space="preserve">Ensino superior (17–23 anos)</t>
  </si>
  <si>
    <t xml:space="preserve">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t>
  </si>
  <si>
    <t xml:space="preserve">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t>
  </si>
  <si>
    <t xml:space="preserve">sppcs</t>
  </si>
  <si>
    <t xml:space="preserve">q_sppcs</t>
  </si>
  <si>
    <t xml:space="preserve">https://correiaricardina-ui.github.io/questionarios/SPPCS_v1.html</t>
  </si>
  <si>
    <t xml:space="preserve">SPP-LD — Como Eu Sou + Importância (DAE)</t>
  </si>
  <si>
    <t xml:space="preserve">3.º–8.º ano (8–15 anos)</t>
  </si>
  <si>
    <t xml:space="preserve">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t>
  </si>
  <si>
    <t xml:space="preserve">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t>
  </si>
  <si>
    <t xml:space="preserve">sppld</t>
  </si>
  <si>
    <t xml:space="preserve">q_sppld</t>
  </si>
  <si>
    <t xml:space="preserve">https://correiaricardina-ui.github.io/questionarios/SPPLD_Bateria.html</t>
  </si>
  <si>
    <t xml:space="preserve">SRS-2 — Pais/Cuid.</t>
  </si>
  <si>
    <t xml:space="preserve">Avalia responsividade social — versão pais/cuidadores</t>
  </si>
  <si>
    <t xml:space="preserve">Consciência Social (PERC); Cognição Social (COG); Comunicação Social (COM); Motivação Social (MOT); Maneirismos/Interesses Restritos e Repetitivos (PRR); Índice de Comunicação e Interação Social (DSM-5) (CIS); Score Total (Total)</t>
  </si>
  <si>
    <t xml:space="preserve">srs2_pais</t>
  </si>
  <si>
    <t xml:space="preserve">q_srs2_pais</t>
  </si>
  <si>
    <t xml:space="preserve">https://correiaricardina-ui.github.io/questionarios/SRS2_IE_Pais_v1.html</t>
  </si>
  <si>
    <t xml:space="preserve">SRS-2 — Professor</t>
  </si>
  <si>
    <t xml:space="preserve">Avalia responsividade social — versão professor</t>
  </si>
  <si>
    <t xml:space="preserve">srs2_prof</t>
  </si>
  <si>
    <t xml:space="preserve">q_srs2_prof</t>
  </si>
  <si>
    <t xml:space="preserve">https://correiaricardina-ui.github.io/questionarios/SRS2_IE_Prof_v1.html</t>
  </si>
  <si>
    <t xml:space="preserve">STAIC C-2 (A-Traço)</t>
  </si>
  <si>
    <t xml:space="preserve">Rastreio de ansiedade-traço (auto-relato) — Spielberger et al. (1973) / Dias &amp; Gonçalves (1999)</t>
  </si>
  <si>
    <t xml:space="preserve">Total; Z-Spielberger; Z-Biaggio; Z-D&amp;G PT</t>
  </si>
  <si>
    <t xml:space="preserve">staicc2</t>
  </si>
  <si>
    <t xml:space="preserve">q_staicc2</t>
  </si>
  <si>
    <t xml:space="preserve">https://correiaricardina-ui.github.io/questionarios/STAIC_C2_v1.html</t>
  </si>
  <si>
    <t xml:space="preserve">STAXI-NA — Inventário de Expressão de Raiva Estado-Traço (Crianças e Adolescentes)</t>
  </si>
  <si>
    <t xml:space="preserve">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t>
  </si>
  <si>
    <t xml:space="preserve">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t>
  </si>
  <si>
    <t xml:space="preserve">staxina</t>
  </si>
  <si>
    <t xml:space="preserve">q_staxi_na</t>
  </si>
  <si>
    <t xml:space="preserve">https://correiaricardina-ui.github.io/questionarios/STAXI_NA_v1.html</t>
  </si>
  <si>
    <t xml:space="preserve">SWAN</t>
  </si>
  <si>
    <t xml:space="preserve">Pais, Mãe, Pai, Enc. Educação, Professor(a)</t>
  </si>
  <si>
    <t xml:space="preserve">Avaliar sintomas de PHDA em contexto dimensional</t>
  </si>
  <si>
    <t xml:space="preserve">Desatenção; Hiperatividade-Impulsividade</t>
  </si>
  <si>
    <t xml:space="preserve">swan</t>
  </si>
  <si>
    <t xml:space="preserve">q_swan</t>
  </si>
  <si>
    <t xml:space="preserve">https://correiaricardina-ui.github.io/questionarios/SWAN_v1.html</t>
  </si>
  <si>
    <t xml:space="preserve">TAS-20</t>
  </si>
  <si>
    <t xml:space="preserve">Avaliar alexitimia (dificuldade em identificar e descrever emoções)</t>
  </si>
  <si>
    <t xml:space="preserve">Dificuldade em Identificar Sentimentos (F1); Dificuldade em Descrever Sentimentos (F2); Pensamento Orientado para o Exterior (F3); Total</t>
  </si>
  <si>
    <t xml:space="preserve">tas20</t>
  </si>
  <si>
    <t xml:space="preserve">q_tas20</t>
  </si>
  <si>
    <t xml:space="preserve">https://correiaricardina-ui.github.io/questionarios/TAS20_v7.html</t>
  </si>
  <si>
    <t xml:space="preserve">UCLA-PTSD Adaptado — Rastreio de PSPT Pediátrica</t>
  </si>
  <si>
    <t xml:space="preserve">Trauma &amp; Stress</t>
  </si>
  <si>
    <t xml:space="preserve">7–11 anos (estendível 3–18)</t>
  </si>
  <si>
    <t xml:space="preserve">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t>
  </si>
  <si>
    <t xml:space="preserve">Exposição (Critério A); Evento Índice; Intrusão (B); Evitamento (C); Cognição/humor (D); Ativação (E); Dissociação (especificador); Duração e Início (F, H); Interferência funcional (G); Total sintomático; Banda; Padrão T1–T5; Regra DSM-5-TR</t>
  </si>
  <si>
    <t xml:space="preserve">ucla_ptsd_adaptado</t>
  </si>
  <si>
    <t xml:space="preserve">q_ucla_ptsd_adaptado</t>
  </si>
  <si>
    <t xml:space="preserve">https://correiaricardina-ui.github.io/questionarios/UCLA_PTSD_Adaptado.html</t>
  </si>
  <si>
    <t xml:space="preserve">CSHQ-PT — Hábitos de Sono da Criança (Pais)</t>
  </si>
  <si>
    <t xml:space="preserve">Sono</t>
  </si>
  <si>
    <t xml:space="preserve">2–10 anos</t>
  </si>
  <si>
    <t xml:space="preserve">Rastreio dos hábitos e problemas de sono por heteroavaliação parental (33 itens, escala de frequência). Cotação em 8 subescalas + Índice de Perturbação do Sono (IPS). Ponto de corte da validação portuguesa: IPS ≥ 48 = rastreio positivo (Silva et al., 2013). Rastreio, não diagnóstico.</t>
  </si>
  <si>
    <t xml:space="preserve">Resistência em ir para a cama; Início do sono; Duração do sono; Ansiedade associada ao sono; Despertares noturnos; Parassónias; Perturbação respiratória do sono; Sonolência diurna; Índice de Perturbação do Sono (IPS)</t>
  </si>
  <si>
    <t xml:space="preserve">cshq_pt_pais</t>
  </si>
  <si>
    <t xml:space="preserve">q_cshq_pt_pais</t>
  </si>
  <si>
    <t xml:space="preserve">https://correiaricardina-ui.github.io/questionarios/CSHQ_PT_Pais_v1.html</t>
  </si>
  <si>
    <t xml:space="preserve">SSR-PT — Auto-Relato sobre o Sono</t>
  </si>
  <si>
    <t xml:space="preserve">Auto-relato dos hábitos e problemas de sono (itens cotados 4–26, escala de frequência). Cotação em 7 subescalas + Total SSR. Cut-off Total &gt; 41 = perturbação global do sono (Owens et al., 2000). Rastreio, não diagnóstico; integrar com relato parental (ex. CSHQ-PT).</t>
  </si>
  <si>
    <t xml:space="preserve">Resistência ao Deitar; Início do Sono; Duração do Sono; Ansiedade do Sono; Despertares Noturnos; Parassónias; Sonolência Diurna; Total SSR</t>
  </si>
  <si>
    <t xml:space="preserve">ssr_pt</t>
  </si>
  <si>
    <t xml:space="preserve">q_ssr_pt</t>
  </si>
  <si>
    <t xml:space="preserve">https://correiaricardina-ui.github.io/questionarios/SSR_PT_v1.html</t>
  </si>
  <si>
    <t xml:space="preserve">TS-OC · Parte I — Gravidade de Tiques (YGTSS)</t>
  </si>
  <si>
    <t xml:space="preserve">Mãe, Pai, Enc. Educação, Paciente</t>
  </si>
  <si>
    <t xml:space="preserve">Lista de sintomas de tiques + escala de gravidade (Yale Global Tic Severity Scale; Leckman et al., 1989). Cotação descritiva das dimensões motora e fónica em duas janelas — Atual (últimos 7 dias) e Pior fase — com Total de Tiques (0–50), Comprometimento (0–50) e Pontuação Global (0–100). Aplicação com apoio familiar; cotação final confirmada pelo/a psicólogo/a em entrevista. Rastreio/monitorização, não diagnóstico.</t>
  </si>
  <si>
    <t xml:space="preserve">Subtotal Motor; Subtotal Fónico; Total de Tiques; Comprometimento; Pontuação Global YGTSS</t>
  </si>
  <si>
    <t xml:space="preserve">tsoc_ygtss</t>
  </si>
  <si>
    <t xml:space="preserve">q_tsoc_ygtss</t>
  </si>
  <si>
    <t xml:space="preserve">https://correiaricardina-ui.github.io/questionarios/TSOC_YGTSS_v1.html</t>
  </si>
  <si>
    <t xml:space="preserve">A-DES — Escala de Experiências Dissociativas em Adolescentes</t>
  </si>
  <si>
    <t xml:space="preserve">Rastreio dimensional de experiências dissociativas por auto-relato do adolescente (30 itens, escala 0–10). Métrica = média global + 5 domínios (Amnésia; Despersonalização/Desrealização; Absorção; Alteração de Identidade; Transversal). Ponto de corte orientador: média ≥ 4,0 = dissociação clinicamente significativa; 3,0–3,9 = moderada. Instrumento de rastreio/orientação, não diagnóstico — integrar sempre com entrevista clínica, observação e história de vida.</t>
  </si>
  <si>
    <t xml:space="preserve">Amnésia; Despersonalização/Desrealização; Absorção; Alteração de Identidade; Transversal; Média Global A-DES</t>
  </si>
  <si>
    <t xml:space="preserve">ades</t>
  </si>
  <si>
    <t xml:space="preserve">q_ades</t>
  </si>
  <si>
    <t xml:space="preserve">https://correiaricardina-ui.github.io/questionarios/A_DES_v1.html</t>
  </si>
  <si>
    <t xml:space="preserve">ACE-Q — Experiências Adversas na Infância · Autorrelato (Adolescente)</t>
  </si>
  <si>
    <t xml:space="preserve">Rastreio de experiências adversas na infância por autorrelato do adolescente (18 itens, escala de frequência 0–2). Adaptação clínica da ACE-Q (Felitti et al., 1998) / ACE-IQ (WHO, 2010) para 6 domínios. Pontuação total 0–36 com bandas orientadoras (0–8 baixa; 9–18 moderada; &gt;18 elevada) e classificação por domínio. Instrumento de rastreio/orientação, não diagnóstico — integrar sempre com entrevista clínica e história de vida. Os domínios e a pontuação não são visíveis ao respondente.</t>
  </si>
  <si>
    <t xml:space="preserve">Relações familiares e ambiente emocional; Instabilidade familiar; Experiências de perda; Experiências de insegurança ou ameaça; Experiências sociais difíceis; Experiência emocional interna</t>
  </si>
  <si>
    <t xml:space="preserve">aceq_adol</t>
  </si>
  <si>
    <t xml:space="preserve">q_aceq_adol</t>
  </si>
  <si>
    <t xml:space="preserve">https://correiaricardina-ui.github.io/questionarios/ACE-Q_Adolescente.html</t>
  </si>
  <si>
    <t xml:space="preserve">ACE-Q — Experiências Adversas na Infância · Cuidador</t>
  </si>
  <si>
    <t xml:space="preserve">Rastreio de experiências adversas na infância por relato do cuidador (15 itens, escala de frequência 0–2). Adaptação clínica da ACE-Q (Felitti et al., 1998) e da versão pediátrica PEARLS (Brar et al., 2021) para 6 domínios. Pontuação total 0–30 com bandas orientadoras (0–6 baixa exposição; 7–14 moderada; ≥15 significativa) e classificação por domínio. Instrumento de rastreio/orientação, não diagnóstico — integrar sempre com entrevista clínica e história de vida. Os domínios e a pontuação não são visíveis ao respondente.</t>
  </si>
  <si>
    <t xml:space="preserve">Ambiente emocional familiar; Instabilidade familiar; Experiências de perda; Segurança e proteção; Experiências sociais difíceis; Eventos stressantes significativos</t>
  </si>
  <si>
    <t xml:space="preserve">aceq_cuid</t>
  </si>
  <si>
    <t xml:space="preserve">q_aceq_cuid</t>
  </si>
  <si>
    <t xml:space="preserve">https://correiaricardina-ui.github.io/questionarios/ACE-Q_Cuidador.html</t>
  </si>
  <si>
    <t xml:space="preserve">Entrevista adaptada CAARMS — Experiências Psicóticas Atenuadas, Dissociação e Funcionamento</t>
  </si>
  <si>
    <t xml:space="preserve">Psicóloga (aplicação clínica)</t>
  </si>
  <si>
    <t xml:space="preserve">Adolescentes / jovens</t>
  </si>
  <si>
    <t xml:space="preserve">Entrevista semiestruturada aplicada pela psicóloga (Avaliação Fenomenológica de Experiências Psicóticas Atenuadas, Dissociação e Funcionamento Subjetivo). Adaptação inspirada (Via B) nos domínios do CAARMS (Yung, McGorry et al., 2005), com formulação original em português europeu — NÃO constitui reprodução do CAARMS. Orientadora e descritiva, não diagnóstica: não classifica risco (UHR/APS/BLIPS). 10 domínios com cotação estruturada 0/1/2 (típico–preservado / intermédio / marcado–ausente); campos vazios cotam 0. A aplicação regista as respostas fluidas ditas pelo próprio, a cotação de cada item e observações qualitativas; o painel apresenta o perfil por domínio, o Índice Global de Alteração Dimensional (IGAD = média dos 10 índices; IGAD bruto = soma/54×100) e um painel de sinalização (11 marcadores Alto/Médio). Bandas orientadoras do IGAD: &lt;34 Mínima / 34–66 Moderada / ≥67 Elevada. Instrumento orientativo, a integrar sempre com entrevista clínica, observação e história de vida. Os domínios e a pontuação não são visíveis ao respondente.</t>
  </si>
  <si>
    <t xml:space="preserve">Experiências percetivas atípicas; Pensamento, fluência e organização cognitiva; Ideias de referência, desconfiança e hipervigilância; Self, corpo e experiências dissociativas; Experiência emocional e afetividade; Funcionamento global e esforço subjetivo; Narrativa subjetiva e organização do discurso; Qualidade de contacto e presença relacional; Insight, significado e medos implícitos; Coerência interna e continuidade do self; IGAD (Índice Global de Alteração Dimensional)</t>
  </si>
  <si>
    <t xml:space="preserve">caarms_adap</t>
  </si>
  <si>
    <t xml:space="preserve">q_caarms_adap</t>
  </si>
  <si>
    <t xml:space="preserve">https://correiaricardina-ui.github.io/questionarios/Entrevista_CAARMS_adap.html</t>
  </si>
  <si>
    <t xml:space="preserve">Prova «O Cuidar e a Integridade do Corpo»</t>
  </si>
  <si>
    <t xml:space="preserve">Idade escolar (≈ 6–11 anos)</t>
  </si>
  <si>
    <t xml:space="preserve">Prova projetiva integrada de story-stems abertos (instrumento original de Ricardina Correia, 2026), de aplicação exclusiva pela psicóloga, para avaliação idiográfica e qualitativa do cuidar, da integridade corporal, do coping e das figuras cuidadoras em idade escolar (≈6–11 anos). Administração não-diretiva: não nomear «medo/dor/doença/hospital» antes da criança; sondas condicionais só se o tema emergir; registo do verbatim, hesitações, evitamentos e pedidos de tranquilização; desenho opcional. Leitura descritiva (não-normativa, não-cotação): posicionamento 1 (adaptativo) → 5 (vulnerabilidade) nos eixos, mais reparação relacional no desfecho. Instrumento orientativo, a integrar sempre com entrevista clínica, observação e história de vida. Os eixos e o posicionamento não são visíveis ao respondente.</t>
  </si>
  <si>
    <t xml:space="preserve">Integridade corporal; Cuidado e dependência; Coping / resolução (padrão predominante + secundário); Figuras cuidadoras (+ reparação relacional no desfecho)</t>
  </si>
  <si>
    <t xml:space="preserve">cuidar_corpo</t>
  </si>
  <si>
    <t xml:space="preserve">q_cuidar_corpo</t>
  </si>
  <si>
    <t xml:space="preserve">https://correiaricardina-ui.github.io/questionarios/Prova_Cuidar_Integridade_Corpo_v1.html</t>
  </si>
  <si>
    <t xml:space="preserve">CSAS — Escala de Ansiedade de Separação para Crianças (Criança)</t>
  </si>
  <si>
    <t xml:space="preserve">8–11 anos</t>
  </si>
  <si>
    <t xml:space="preserve">Autorrelato de sintomas de ansiedade de separação (20 itens, 4 fatores). Corte total ≥ 68 orientativo (norma espanhola, não portuguesa; Méndez et al., 2014).</t>
  </si>
  <si>
    <t xml:space="preserve">Preocupação com a separação (cognitivo); Mal-estar da separação (psicofisiológico); Oposição à separação (comportamental); Calma na separação (fator positivo, invertido no cálculo — itens 3, 8, 12, 15, 19); Total (20–100)</t>
  </si>
  <si>
    <t xml:space="preserve">csas</t>
  </si>
  <si>
    <t xml:space="preserve">q_csas</t>
  </si>
  <si>
    <t xml:space="preserve">https://correiaricardina-ui.github.io/questionarios/CSAS_v1.html</t>
  </si>
  <si>
    <t xml:space="preserve">CSAS-P — Escala de Ansiedade de Separação para Crianças · Versão Pais</t>
  </si>
  <si>
    <t xml:space="preserve">Heterorrelato parental de ansiedade de separação (20 itens, 4 fatores). Sem ponto de corte; leitura principal por fator (z vs norma parental espanhola, não portuguesa; Méndez et al., 2022).</t>
  </si>
  <si>
    <t xml:space="preserve">Preocupação; Oposição; Calma (fator positivo/protetor — leitura inversa); Mal-estar (norma com efeito de chão — ler com cautela); Total orientativo = Preocupação + Oposição + Mal-estar + (30 − Calma)</t>
  </si>
  <si>
    <t xml:space="preserve">csas_p</t>
  </si>
  <si>
    <t xml:space="preserve">q_csas_p</t>
  </si>
  <si>
    <t xml:space="preserve">https://correiaricardina-ui.github.io/questionarios/CSAS_P_v1.html</t>
  </si>
  <si>
    <t xml:space="preserve">SGRS — Sohn Grayson Rating Scale</t>
  </si>
  <si>
    <t xml:space="preserve">Mãe, Pai, Enc. Educação, Professor(a), Educador(a), Psicóloga</t>
  </si>
  <si>
    <t xml:space="preserve">Rastreio e sistematização da observação de comportamentos associados a PEA de alto funcionamento (Sohn &amp; Grayson, 2005). 58 itens · 6 domínios · Likert 1–4 (1 = Não é verdade · 2 = Raramente · 3 = Às vezes · 4 = Frequentemente) · SEM itens invertidos · amplitude 58–232 (o mínimo é 58 e não 0). Admite pais, professor e clínico em paralelo — o painel calcula a concordância inter-informantes (amplitude entre médias/item: ≥1,00 discrepância assinalável · ≥0,50 ligeira). Total bruto só é válido com 58/58 itens; com omissos apresenta estimativa prorrateada (média/item × 58), rotulada como exploratória. NÃO existem normas portuguesas — versão portuguesa é tradução de trabalho, sem adaptação transcultural nem validação psicométrica. Bandas globais dos autores (58–89 Muito baixa · 90–118 Baixa · 119–149 Média a moderada · 150–177 Moderada a alta · 178–207 Alta a muito alta · 208–232 Muito alta), sem derivação empírica publicada nem estudos independentes de fidelidade/validade/sensibilidade/especificidade. Classificação por domínio = convenção descritiva sem base normativa (média/item: 1,00–1,74 mínima · 1,75–2,49 ligeira · 2,50–3,24 moderada · 3,25–4,00 elevada) — PENDENTE DE RATIFICAÇÃO. Instrumento de rastreio: não estabelece nem exclui diagnóstico de PEA e não substitui avaliação diagnóstica multimodal. Terminologia original («Síndrome de Asperger», «PDD de alto funcionamento») é anterior ao DSM-5-TR/CID-11 — reportar em nomenclatura atual (PEA com especificadores de gravidade). Cautelas: Discurso e Linguagem pesa 38 % dos itens (22/58); Comportamento Motor tem só 2 itens (média instável); itens G02 (memorização) e L13 (vocabulário) descrevem competências mas são cotados na mesma direção.</t>
  </si>
  <si>
    <t xml:space="preserve">Comportamento Social (14 itens; 14–56) — amizades, iniciativa de jogo, jogo imaginativo e repetitivo, contacto ocular, expressões faciais/linguagem corporal, multidões, perspetiva do outro, compreensão e expressão emocional, espaço pessoal, regras de jogo; Comportamento (8 itens; 8–32) — medos incomuns, interesses obsessivos/ritualismo, pensamento dicotómico, hábitos alimentares, comportamentos persistentes, rigidez a mudanças/transições, perfecionismo, ansiedade; Discurso e Linguagem (22 itens; 22–88) — uso peculiar de palavras, não pedir explicação/ajuda, humor e provocações, iniciar e manter conversa recíproca, interesse pelo outro, discurso adultificado, comentários embaraçosos, perguntas e tópicos obsessivos, vocabulário, linguagem social, pronomes, prosódia/volume, linguagem em scripts, literalidade, ideia principal, rituais verbais, gestos, manutenção do tópico; Cognição (7 itens; 7–28) — conceitos abstratos, memorização, motricidade fina, literalidade do comportamento dos outros, generalização da aprendizagem, distratibilidade, atenção sustentada; Perceção Sensorial (5 itens; 5–20) — sensibilidade invulgar a ruídos, cheiros, paladares, texturas e toque; Comportamento Motor (2 itens; 2–8) — movimentos repetidos/estereotipados, dificuldades motoras; Pontuação Global (58–232) — bandas de probabilidade dos autores.</t>
  </si>
  <si>
    <t xml:space="preserve">sgrs</t>
  </si>
  <si>
    <t xml:space="preserve">q_sgrs</t>
  </si>
  <si>
    <t xml:space="preserve">https://correiaricardina-ui.github.io/questionarios/SGRS_v1.html</t>
  </si>
  <si>
    <t xml:space="preserve">AIS-8 — Escala de Insónia de Atenas</t>
  </si>
  <si>
    <t xml:space="preserve">Rastreio de insónia clinicamente significativa e monitorização da evolução (Soldatos, Dikeos &amp; Paparrigopoulos, 2000, 2003). Autorrelato, 8 itens, escala ordinal 0–3, período de referência: último mês. Estrutura em dois blocos: itens 1–5 sono noturno (AIS-5) e itens 6–8 consequências diurnas. Todos os itens directos — sem itens invertidos e sem ponderações; total = soma dos 8 itens (0–24). Ponto de corte total ≥ 6 (sensibilidade 93%, especificidade 85%, 90% de classificação correta; regressão logística contra diagnóstico CID-10 de insónia não orgânica, amostra clínica adulta grega — NÃO validado em adolescentes). Bandas descritivas de gravidade de Okajima et al. (2020), critério ISI, amostra comunitária adulta japonesa — estatuto descritivo/exploratório. NÃO existem normas portuguesas e a formulação PT-PT dos itens não corresponde a uma versão portuguesa validada: comparações com dados normativos internacionais exigem reserva. Instrumento de rastreio e monitorização — não estabelece diagnóstico isoladamente: um resultado abaixo do ponto de corte não exclui perturbação do sono e um resultado acima não a confirma. Em adolescentes, integrar sempre com hábitos, rotinas e higiene do sono, ansiedade e ruminação pré-sono, impacto escolar e emocional, e discrepâncias pais ↔ autorrelato; quando indicado, complementar com diário de sono e avaliação médica.</t>
  </si>
  <si>
    <t xml:space="preserve">Índice noturno — AIS-5 (itens 1–5; 0–15) — sintomatologia noturna: dificuldade em adormecer (indução), despertares durante a noite (manutenção), acordar mais cedo do que desejado (despertar final), duração total do sono e qualidade global do sono; Índice diurno (itens 6–8; 0–9) — repercussão diurna: sensação de bem-estar durante o dia, funcionamento diário (atenção, energia, desempenho) e sonolência durante o dia; Total AIS-8 (0–24) — soma directa dos 8 itens; Banda descritiva de gravidade — 0–5 Ausência de insónia · 6–9 Insónia ligeira · 10–15 Insónia moderada · 16–24 Insónia grave (Okajima et al., 2020; leitura exploratória em adolescentes); Rastreio (ponto de corte ≥ 6) — positivo/negativo face ao ponto de corte de Soldatos et al. (2003). Indicadores auxiliares descritivos, sem estatuto diagnóstico: nº de itens com resposta ≥ 2 (extensão da sintomatologia) e nº de itens com resposta = 3 (intensidade máxima referida); perfil dimensional por comparação da % do máximo entre índice noturno e índice diurno (diferença ≥ 20 pontos percentuais = predomínio relativo).</t>
  </si>
  <si>
    <t xml:space="preserve">ais8</t>
  </si>
  <si>
    <t xml:space="preserve">q_ais8</t>
  </si>
  <si>
    <t xml:space="preserve">https://correiaricardina-ui.github.io/questionarios/AIS_8_v1.html</t>
  </si>
  <si>
    <t xml:space="preserve">GAD-7 — Escala de Ansiedade Generalizada</t>
  </si>
  <si>
    <t xml:space="preserve">Rastreio da gravidade sintomática de ansiedade generalizada e monitorização da evolução (Spitzer, Kroenke, Williams &amp; Löwe, 2006). Autorrelato, 7 itens, escala ordinal 0–3, período de referência: últimos 14 dias; aplicação individual ou coletiva em 2–3 minutos; heteroaplicação admissível em caso de limitação de literacia, registando-se essa condição. Instrumento UNIDIMENSIONAL: total = soma directa dos 7 itens (0–21), sem subescalas, sem itens invertidos e sem ponderações (ACP em Sousa et al., 2015; AFE em Leite &amp; Faro, 2022, 62,8% de variância explicada) — os agrupamentos de conteúdo são meramente descritivos e não têm estatuto psicométrico. Ponto de corte operacional ≥ 10 (Spitzer et al., 2006: sensibilidade 89%, especificidade 82%). Bandas de gravidade descritiva 0–4 · 5–9 · 10–14 · 15–21 da amostra original norte-americana, replicadas na literatura subsequente. NÃO EXISTEM NORMAS PORTUGUESAS (percentis ou pontuações padronizadas): os limiares 5/10/15 são bandas descritivas e não limiares diagnósticos — «Ansiedade grave» descreve intensidade sintomática, não é atribuição nosológica. A validação portuguesa de referência (Sousa et al., 2015; artigo em acesso aberto CC-BY) foi conduzida em amostra clínica psiquiátrica adulta (78,8% mulheres, idade média 52,2 anos) — a generalização a populações não clínicas, a outros escalões etários e a contexto pediátrico exige prudência; Gonçalves (2019, validação portuguesa 6–16 anos) reporta prevalência com base num valor superior a 11, não coincidente com o corte adulto de 10. Instrumento de RASTREIO: não constitui, por si, instrumento de diagnóstico e não substitui a entrevista clínica nem o exame do estado mental — um total elevado é inespecífico e sobrepõe-se a sintomatologia depressiva (r = 0,450 com a subescala de depressão da HADS) e um total baixo não exclui perturbação de ansiedade. Estatuto de acesso: VIA A — instrumento legalmente acessível, reproduzido com atribuição (família PHQ/GAD, autorização expressa de reprodução, tradução e distribuição).</t>
  </si>
  <si>
    <t xml:space="preserve">Total GAD-7 (0–21) — soma directa dos 7 itens; instrumento unidimensional, NÃO calcula subescalas. Banda de gravidade descritiva — 0–4 Ansiedade mínima (sintomatologia ansiosa ausente ou residual no período de referência) · 5–9 Ansiedade leve (intensidade ligeira, abaixo do limiar de rastreio) · 10–14 Ansiedade moderada (intensidade moderada, acima do limiar de rastreio) · 15–21 Ansiedade grave (intensidade elevada, acima do limiar de rastreio) — limiares de Spitzer et al. (2006), NÃO são normas portuguesas. Rastreio (ponto de corte ≥ 10) — positivo/negativo face ao ponto de corte operacional, editável. Validade do protocolo — regra de dados em falta (decisão interna documentada; a escala original não a define): itens não respondidos são excluídos do denominador e NUNCA cotados como zero (0 é resposta substantiva, «Nunca»); com 6 itens respondidos o total é estimado por prorata — ARRED(soma ÷ n × 7; 0) — e sinalizado como estimativa; com menos de 6 o protocolo é inválido e não é gerada interpretação. Indicadores auxiliares descritivos, sem estatuto diagnóstico: % da pontuação máxima; nº de itens com pontuação ≥ 2 (sintoma referido em mais de metade dos dias); item de pontuação mais elevada (o primeiro, em caso de empate). Agrupamentos de conteúdo MERAMENTE DESCRITIVOS (sem estatuto de subescala; sem cotação própria): apreensão/tensão nervosa (item 1); cognitivo — incontrolabilidade da preocupação (item 2); cognitivo — preocupação excessiva e multifocal (item 3); somático — tensão/dificuldade de relaxamento (item 4); somático-motor — inquietação (item 5); irritabilidade (item 6); apreensão antecipatória (item 7). Nota: a versão em uso omite o item 8 canónico (dificuldade causada pelos problemas), que não é cotado mas informa a apreciação da incapacidade funcional.</t>
  </si>
  <si>
    <t xml:space="preserve">gad7</t>
  </si>
  <si>
    <t xml:space="preserve">q_gad7</t>
  </si>
  <si>
    <t xml:space="preserve">https://correiaricardina-ui.github.io/questionarios/GAD7_v1.html</t>
  </si>
  <si>
    <t xml:space="preserve">SMQ — Questionário de Mutismo Seletivo (Pais)</t>
  </si>
  <si>
    <t xml:space="preserve">Quantificação da frequência de fala por contexto, da interferência funcional associada e monitorização da mudança em resposta a intervenção (Bergman, Keller, Piacentini &amp; Bergman, 2008). Relato parental, 23 itens. Itens 1–17: escala ordinal de frequência 0–3 (Nunca · Raramente · Frequentemente · Sempre), período de referência: últimas duas semanas; itens 18–23: escala de interferência/desconforto 0–3 (Nada · Um pouco · Moderadamente · Muito), que NÃO integra a pontuação de sintomas. ATENÇÃO — ESCALA INVERSA: pontuações mais BAIXAS indicam MENOR frequência de fala e, portanto, MAIOR gravidade sintomática. Métrica primária: média por escala (0–3); métrica secundária: soma prorrateada (média × nº nominal de itens). Os itens 12 e 17 admitem legitimamente «Não aplicável» (ausência de ama/cuidador; ausência de atividades extraescolares) e são excluídos de numerador e denominador. NÃO é instrumento de diagnóstico e não gera pontos de corte diagnósticos; não existem normas portuguesas — todos os limiares utilizados são exploratórios. Não discrimina de forma fiável o mutismo seletivo da perturbação de ansiedade social isolada.</t>
  </si>
  <si>
    <t xml:space="preserve">Escola (itens 1–6; média 0–3; N mín. 5 de 6; referência DT ≥ 2,50) — frequência de fala com colegas, professores e perante a turma. · Casa/Família (itens 7–12; N mín. 4 de 6; referência DT ≥ 2,50) — fala com familiares coabitantes e não coabitantes, ao telefone e com cuidadores; é estruturalmente a subescala menos afetada, pelo que valores baixos exigem reformulação da hipótese. · Social (itens 13–17; N mín. 3 de 5; referência DT ≈ 2,00, estruturalmente MAIS BAIXA — comparar contra 2,50 produziria sobreidentificação sistemática) — fala com desconhecidos, profissionais de saúde, funcionários e em atividades extraescolares. · TOTAL SMQ (itens 1–17; N mín. 13 de 17; invalidado se qualquer subescala não for cotada). · Escala de sintomas em métrica de soma (0–51) — rastreio: ≤ 14 positivo com especificidade máxima · ≤ 38 positivo (sensibilidade 100%, especificidade 74,3%) · &gt; 38 negativo. ADVERTÊNCIA: o corte de 13 citado na literatura secundária refere-se à cotação INVERTIDA do estudo neerlandês e NÃO se aplica à cotação original — o equivalente correto é 38. · Interferência funcional na criança (itens 18–21; N mín. 3 de 4). · Desconforto da criança (item 22). · Desconforto do cuidador (item 23). · Índice global de interferência (itens 18–23; soma 0–18; escala autónoma, α = 0,81). · IDC — Índice de Discrepância Contextual (média Casa/Família − média Escola; construção própria; interpretável apenas com média Escola &lt; 2,00; a classificação «Restrição extensiva ao contexto familiar» com média Casa &lt; 1,50 tem precedência sobre a magnitude do IDC). · Discrepância Social − Escola. · Concordância inter-informante na subescala Escola (calculada automaticamente a partir da versão Professores do mesmo código: &lt; 0,50 elevada · 0,50–0,99 moderada · ≥ 1,00 discrepância relevante). Bandas descritivas da média (0–3): 0–0,49 Fala ausente ou quase ausente · 0,50–0,99 Fala muito reduzida · 1,00–1,49 Fala reduzida · 1,50–1,99 Fala inconsistente · 2,00–2,49 Fala frequente · 2,50–3,00 Fala consistente.</t>
  </si>
  <si>
    <t xml:space="preserve">smq_pais</t>
  </si>
  <si>
    <t xml:space="preserve">q_smq_pais</t>
  </si>
  <si>
    <t xml:space="preserve">https://correiaricardina-ui.github.io/questionarios/SMQ_Pais_v1.html</t>
  </si>
  <si>
    <t xml:space="preserve">SMQ — Questionário de Mutismo Seletivo (Professores)</t>
  </si>
  <si>
    <t xml:space="preserve">Quantificação da frequência de fala do aluno em contexto escolar e da interferência percebida pelo professor, com utilização preferencial na monitorização da mudança (Bergman, Keller, Piacentini &amp; Bergman, 2008). Relato do professor/educador, 11 itens. Itens 1–6: escala ordinal de frequência 0–3 (Nunca · Raramente · Frequentemente · Sempre), período de referência: últimas duas semanas — conteúdos item a item idênticos aos itens 1–6 da versão parental, o que torna a comparação inter-informante metodologicamente limpa; itens a–e: escala de interferência/desconforto 0–3. ATENÇÃO — ESCALA INVERSA: pontuações mais BAIXAS indicam MENOR frequência de fala e MAIOR gravidade. LIMITE DE ALCANCE: esta versão contém 6 itens de frequência e 5 de interferência, diferindo do School Speech Questionnaire publicado — os resultados das duas versões NÃO são permutáveis, e o rastreio por métrica de soma (≤ 38/51) aplica-se exclusivamente à versão parental de 17 itens. Sozinha não estabelece o padrão situacional que define o mutismo seletivo (Critério A do DSM-5-TR), por observar um único contexto: exige a versão parental ao lado.</t>
  </si>
  <si>
    <t xml:space="preserve">Escola — professor (itens 1–6; média 0–3; soma prorrateada 0–18; N mín. 5 de 6; referência DT ≥ 2,50, aplicada por analogia à cotação escolar por professor) — fala com colegas próximos e com a maioria dos colegas, resposta a questões do professor, iniciativa de questionar, fala com professores e funcionários, e fala em grupo ou perante a turma. Âncoras clínicos: nas amostras clínicas de mutismo seletivo os valores de base situam-se consistentemente abaixo de 1,00 e, após intervenção, tipicamente entre 1 e 2; Bergman et al. (2008) reportaram valores ≥ 2,50 num pequeno grupo referenciado por outras perturbações de ansiedade (n = 18), o que sustenta a especificidade desta subescala. · Interferência funcional percebida (itens a–c; N mín. 2 de 3) — interferência na escola, nas situações sociais e na vida do aluno em geral. · Desconforto do aluno (item d). · Desconforto do próprio professor (item e) — reportado separadamente por não constituir o mesmo constructo. · Concordância inter-informante na subescala Escola (calculada automaticamente a partir da versão Pais do mesmo código; o professor observa o contexto diretamente, o relato parental sobre a escola é indireto: &lt; 0,50 concordância elevada · 0,50–0,99 moderada · ≥ 1,00 discrepância relevante). NOTA: os itens de interferência NÃO são sobreponíveis entre versões (a parental tem 4 itens funcionais, incluindo relações familiares; esta tem 3), pelo que apenas a subescala Escola é comparada entre informantes. Bandas descritivas da média (0–3): 0–0,49 Fala ausente ou quase ausente · 0,50–0,99 Fala muito reduzida · 1,00–1,49 Fala reduzida · 1,50–1,99 Fala inconsistente · 2,00–2,49 Fala frequente · 2,50–3,00 Fala consistente.</t>
  </si>
  <si>
    <t xml:space="preserve">smq_prof</t>
  </si>
  <si>
    <t xml:space="preserve">q_smq_prof</t>
  </si>
  <si>
    <t xml:space="preserve">https://correiaricardina-ui.github.io/questionarios/SMQ_Professores_v1.html</t>
  </si>
  <si>
    <t xml:space="preserve">QCVE-P — Comportamento Verbal em Contexto Escolar (Professor)</t>
  </si>
  <si>
    <t xml:space="preserve">Professor(a), Educador(a), Diretor(a) de Turma</t>
  </si>
  <si>
    <t xml:space="preserve">Mede a frequência do comportamento verbal do/a aluno/a em contexto escolar, desagregada por interlocutor e por grau de exposição comunicativa, na avaliação e no seguimento do mutismo seletivo. Instrumento ORIGINAL de Ricardina Correia (2026), Via B, inspirado no modelo estrutural do School Speech Questionnaire (Bergman, Piacentini &amp; McCracken, 2002) — não é tradução nem adaptação autorizada, e não é permutável com o SMQ. Informante: docente com contacto regular. Janela: último mês. 8 a 12 minutos. ATENÇÃO: sem normas portuguesas — bandas exploratórias, de ancoragem analógica; instrumento de gravidade e de mudança, NÃO de diagnóstico.</t>
  </si>
  <si>
    <t xml:space="preserve">E1 — Comunicação verbal com pares (itens 1–4; média 0–3). E2 — Comunicação verbal com adultos da escola (itens 5–8; média 0–3). E3 — Comunicação verbal em situações de exposição (itens 9–12; média 0–3). Total ECV — média das três médias de subescala (0–3); ESCALA INVERSA: mais baixo = menos fala = maior gravidade; bandas 0,00–0,50 ausente ou vestigial · 0,51–1,00 muito restrito · 1,01–1,75 restrito · 1,76–2,49 parcialmente estabelecido · 2,50–3,00 ajustado ao contexto. IRV — Índice de Restrição Verbal (3 − Total ECV), orientado à gravidade. ICNV — Índice de Comunicação Não Verbal (itens 13–16; média 0–3), índice AUTÓNOMO, nunca somado à ECV. IIF — Índice de Interferência Funcional (itens 17–20; média 0–3), escala de direção INVERTIDA e índice AUTÓNOMO, nunca somado à ECV. Bloco contextual (Parte IV) não cotado, mas condicionante da validade da leitura. «SO» excluído do numerador e do denominador; subescala válida com ≥3 de 4 itens; com exactamente 3 marca estimativa exploratória; com ≤2 é INVÁLIDA e nunca cotada a zero.</t>
  </si>
  <si>
    <t xml:space="preserve">qcvep_prof</t>
  </si>
  <si>
    <t xml:space="preserve">q_qcvep_prof</t>
  </si>
  <si>
    <t xml:space="preserve">https://correiaricardina-ui.github.io/questionarios/QCVEP_Prof_v1.html</t>
  </si>
  <si>
    <t xml:space="preserve">CBQ-SF — Children’s Behavior Questionnaire (Forma Breve)</t>
  </si>
  <si>
    <t xml:space="preserve">3–7 anos</t>
  </si>
  <si>
    <t xml:space="preserve">Avalia o temperamento infantil em 15 escalas e 3 dimensões, por hétero-relato do cuidador principal (94 itens, Likert 1–7 com opção NA). Sem normas portuguesas — leitura descritiva e ipsativa, sem valor diagnóstico autónomo.</t>
  </si>
  <si>
    <t xml:space="preserve">Extroversão / Surgência (dimensão, Modelo A: NA + AE + EIP + IM + SG − TI). Afetividade Negativa (IF + DE + ME + TR − SLR). Controlo por Esforço (FA + CI + BIP + SP). Extroversão variante restrita, 4 escalas (Putnam &amp; Rothbart, 2006). Modelo B português (Lopes, 2011), complementar: Extroversão PT, Afetividade Negativa PT, Controlo por Esforço PT. 15 escalas: Nível de Atividade (7 itens); Irritação / Frustração (6); Aproximação / Entusiasmo (6); Foco Atencional (6); Desconforto (6); Sensibilidade / Limiar de Resposta (6); Medo (6); Elevada Intensidade de Prazer (6); Impulsividade (6); Controlo Inibido (6); Baixa Intensidade de Prazer (8); Sensibilidade Percetiva (6); Tristeza (7); Timidez (6); Sorrisos / Gargalhadas (6). Cotação por MÉDIA na métrica 1–7 (ponto neutro = 4); NA e omissos excluídos do denominador. SEM normas portuguesas: bandas descritivas, leitura preferencial por perfil ipsativo intraindividual.</t>
  </si>
  <si>
    <t xml:space="preserve">cbqsf</t>
  </si>
  <si>
    <t xml:space="preserve">q_cbqsf</t>
  </si>
  <si>
    <t xml:space="preserve">https://correiaricardina-ui.github.io/questionarios/CBQ_SF_v1.html</t>
  </si>
  <si>
    <t xml:space="preserve">QRF-C — Questionário de Relação Fraterna (Criança)</t>
  </si>
  <si>
    <t xml:space="preserve">8–16 anos</t>
  </si>
  <si>
    <t xml:space="preserve">Descreve a perceção da criança sobre a relação com um irmão específico e sobre a parcialidade parental percebida (43 itens, autorrelato, métrica 1–5). Instrumento ORIGINAL de Ricardina Correia (Via B), inspirado no modelo estrutural de Furman &amp; Buhrmester (1985): NÃO é o SRQ, não é tradução do SRQ e não é equivalente ao SRQ. SEM aferição portuguesa e SEM estudo psicométrico próprio — não existem normas, percentis, pontuações T nem pontos de corte clínicos; todas as bandas são descritivas e ancoradas na métrica de resposta. Leituras válidas: discrepância intradiádica (os dois irmãos respondem sobre a mesma relação), discrepância entre informadores e medida repetida intraindividual. Uma aplicação = uma díade: com dois irmãos, atribuir dois protocolos.</t>
  </si>
  <si>
    <t xml:space="preserve">Calor / Proximidade (dimensão: Companheirismo + Intimidade + Afeto e conduta prossocial + Admiração dirigida; exige 3 das 4 escalas). Conflito (Discussão + Antagonismo + Competição; exige 2 das 3). Estatuto / Poder relativo (diferencial com sinal preservado: média de Cuidado prestado e Dominância exercida menos média de Cuidado recebido e Dominância sofrida; amplitude −4 a +4, positivo = polo no próprio; exige as 4 escalas). Intensidade do estatuto (média das quatro escalas do bloco II). Rivalidade (máximo das magnitudes de parcialidade percebida; amplitude 0 a 2; média retida como auxiliar). Parcialidade percebida — Figura parental 1 (direção = média dos itens menos 3, amplitude −2 a +2; magnitude = valor absoluto). Parcialidade percebida — Figura parental 2 (idem). Configuração da parcialidade (sem parcialidade relevante / unifigural / bifigural). Assimetria interparental (direção Figura 1 menos direção Figura 2). Legitimidade do tratamento diferencial — Figura 1 (moderador autónomo, fora das dimensões). Legitimidade do tratamento diferencial — Figura 2 (idem). Satisfação com a relação fraterna (âncora avaliativa global). Importância atribuída à relação fraterna (âncora avaliativa global). Índices de controlo: invariância de resposta (desvio-padrão zero = protocolo não interpretável), variabilidade reduzida, tendência de resposta extrema e centralização no ponto médio.</t>
  </si>
  <si>
    <t xml:space="preserve">qrfc</t>
  </si>
  <si>
    <t xml:space="preserve">q_qrfc</t>
  </si>
  <si>
    <t xml:space="preserve">https://correiaricardina-ui.github.io/questionarios/QRFC_v1.html</t>
  </si>
  <si>
    <t xml:space="preserve">QCF-P — Questionário de Comportamento Fraterno (Parental)</t>
  </si>
  <si>
    <t xml:space="preserve">Descreve o comportamento observável de cada filho em relação aos irmãos e o tratamento diferencial relatado pelo progenitor (29 itens por filho, até 4 filhos descritos lado a lado no mesmo protocolo, métrica de frequência 1–5). Contrapartida parental do QRF-C. Instrumento ORIGINAL de Ricardina Correia (Via B), inspirado na estrutura de seis fatores do Sibling Inventory of Behavior: NÃO é o SIB, não é tradução do SIB e não é equivalente ao SIB. SEM aferição portuguesa e SEM estudo psicométrico próprio — não existem normas, percentis, pontuações T nem pontos de corte clínicos. NENHUM VALOR DESCREVE A QUALIDADE DO EXERCÍCIO PARENTAL: descreve o comportamento relatado dos filhos entre si e a estrutura da descrição feita por este informador. Um progenitor por protocolo: numa família com dois progenitores, uma ronda completa são dois protocolos, preenchidos separadamente e sem consulta mútua. Mínimo de dois filhos identificados.</t>
  </si>
  <si>
    <t xml:space="preserve">Companheirismo (itens 1–4). Empatia (5–8). Ensino / Tutoria (9–12). Rivalidade (13–16) — atenção: aqui designa comportamento rivalitário observado, e não a parcialidade parental percebida do QRF-C; a contrapartida real é a Competição (E11). Agressão (17–20). Evitamento (21–24) — sem contrapartida no QRF-C. Polo positivo e Polo negativo (índices auxiliares descritivos, não fatores: o modelo de dois fatores não ajusta no referencial de origem, CFI = 0,607). Tratamento diferencial (25–27, sem prorating): direção com sinal preservado (−2 a +2, positivo = este filho recebe mais do que os irmãos) e magnitude, a partir de atenção, carinho e permissividade. Perceção estimada pelo progenitor (item 28) e Legitimidade estimada (item 29). Índice de simetria descritiva entre filhos (média das seis amplitudes máx−mín). Coerência espelho (só com exatamente dois filhos). Perfil de fratria (onde o diferencial se concentra). Convergência com o QRF-C, sempre por diferença e nunca por soma, incluindo triangulação relatado · percebido · estimado. Índices de controlo: invariância, variabilidade reduzida, tendência extrema, centralização e indiferenciação entre colunas.</t>
  </si>
  <si>
    <t xml:space="preserve">qcfp</t>
  </si>
  <si>
    <t xml:space="preserve">q_qcfp</t>
  </si>
  <si>
    <t xml:space="preserve">https://correiaricardina-ui.github.io/questionarios/QCFP_v1.html</t>
  </si>
  <si>
    <t xml:space="preserve">CAPS-22 — Escala de Perfecionismo de Crianças e Adolescentes (Autorrelato)</t>
  </si>
  <si>
    <t xml:space="preserve">Avalia o perfecionismo auto-orientado e o perfecionismo socialmente prescrito por autorrelato da criança ou adolescente (22 itens, escala 1–5, administração assistida com leitura dos itens em voz alta; 10 a 15 minutos). Flett, Hewitt, Boucher, Davidson &amp; Munro (1997/2001) e Flett et al. (2016) — Via A, distribuição oficial pelos autores (Perfectionism and Psychotherapy Lab, UBC). O articulado utilizado é TRADUÇÃO TÉCNICA DE TRABALHO a partir da versão oficial de 22 itens e NÃO a versão validada de Bento, Pereira, Saraiva &amp; Macedo (2014), cuja amostra abrangeu apenas adolescentes de 14 a 18 anos. NÃO existem pontos de corte clínicos publicados para a CAPS, em nenhuma versão, nem normas portuguesas para idade escolar: as bandas são DESCRITIVAS e derivam de norma comunitária canadiana de 6–12 anos, sem estudo de invariância de medida para a população portuguesa. Norma primária por sexo, norma mista sempre calculada em paralelo. Tolerância de 2 omissões por subescala com prorrateio automático; acima disso o índice é declarado INVÁLIDO. Confirmar sempre a compreensão dos itens invertidos 3, 9 e 18 por reformulação da criança. Advertência desenvolvimental: em idade escolar precoce um SPP baixo ou médio NÃO permite excluir um sistema de expectativas ativo — um SPP elevado é achado forte e interpretável, um SPP não elevado é inconclusivo.</t>
  </si>
  <si>
    <t xml:space="preserve">Perfecionismo auto-orientado, SOP (itens 1, 2, 4, 6, 7, 9*, 11, 14, 16, 18*, 20, 22; amplitude 12–60; norma por sexo e norma mista; z, T, percentil e banda descritiva). Perfecionismo socialmente prescrito, SPP (itens 3*, 5, 8, 10, 12, 13, 15, 17, 19, 21; amplitude 10–50; norma por sexo e norma mista). Total (todos os 22 itens; amplitude 22–110; sem norma publicada). SOP prorrateado (10 itens diretos prorrateados a 12; itens invertidos tratados como omissão; índice secundário sem norma própria). SPP prorrateado (9 itens diretos prorrateados a 10). SOP prorrateado excluindo também o item 4 (9 itens; índice exploratório: o item 4 apresenta correlação item-total corrigida inferior a .30). Forma curta SOP-SF (itens 1, 2, 7, 16; amplitude 4–20; tolerância zero; comparável ao SOP-PR na métrica de resposta). Forma curta SPP-SF (itens 5, 8, 13, 15, 21; amplitude 5–25; tolerância zero; comparável ao SPP-PR). Índice R — discriminação entre resposta coerente e resposta literal aos itens invertidos, por proximidade a duas predições concorrentes (Δ observado versus Δ predito sob não processamento da negação; zona de indeterminação quando a média dos itens diretos se situa entre 2,75 e 3,25; estado NÃO APLICÁVEL quando todos os invertidos estão omissos). Verificações determinísticas de validade: resposta uniforme (desvio-padrão intra-protocolo igual a zero), resposta concentrada em extremos (≥ 90% em 1 ou 5) e omissões acima da tolerância. Configuração SOP × SPP (SOP elevado / SPP não elevado; SOP e SPP elevados; SPP elevado / SOP não elevado; nenhuma dimensão elevada), com leitura descritiva associada. Bandas descritivas comuns a todos os índices normalizados: marcadamente abaixo do esperado (z &lt; −1), abaixo do esperado (−1 a −0,5), dentro do esperado (−0,5 a 1), acima do esperado (1 a 1,5), elevado (1,5 a 2), muito elevado (z ≥ 2). * item invertido, cotação 6 − bruto.</t>
  </si>
  <si>
    <t xml:space="preserve">caps22</t>
  </si>
  <si>
    <t xml:space="preserve">q_caps22</t>
  </si>
  <si>
    <t xml:space="preserve">https://correiaricardina-ui.github.io/questionarios/CAPS22_Crianca_v1.html</t>
  </si>
  <si>
    <t xml:space="preserve">CAPS-PR — Perfecionismo da Criança (Heterorrelato Parental)</t>
  </si>
  <si>
    <t xml:space="preserve">Recolhe a descrição parental do perfecionismo da criança (9 itens, escala 1–5, tolerância zero a omissões), com correspondência item a item à CAPS-22 para triangulação na métrica de resposta. Bento Teixeira, Pereira &amp; Macedo (2025), Psychologica, 68, e068004 — Via A, publicação em acesso aberto; articulado em tradução técnica de trabalho, harmonizada com a da CAPS-22. A referência (M/DP) provém de uma subamostra de reteste de conveniência (n = 64, 83% mães, duas escolas privadas de Coimbra) e NÃO CONSTITUI NORMA; as bandas não são equiparáveis às do CAPS-criança. Os valores da tabela principal do artigo foram descartados por inconsistência de desvio-padrão. ESTATUTO DO INDICADOR: o SPP-PR NÃO é indicador do perfecionismo socialmente prescrito da criança — correlaciona-se com o perfecionismo do próprio informante (r = .472 com o seu SOP; r = .376 com o seu SPP) e não com o SPP autorrelatado pela criança (r = .127, n.s.). Apenas o SOP-PR é lido como observação do comportamento da criança. Cada progenitor preenche um protocolo independente, sem consulta mútua: respostas combinadas anulam o valor da comparação entre informantes.</t>
  </si>
  <si>
    <t xml:space="preserve">Perfecionismo socialmente prescrito relatado pelo progenitor, SPP-PR (itens 1 a 5; amplitude 5–25; referência provisória M = 13,52, DP = 4,58, n = 64) — indicador do informante e não da criança. Perfecionismo auto-orientado observado pelo progenitor, SOP-PR (itens 6 a 9; amplitude 4–20; referência provisória M = 13,86, DP = 3,31) — único índice do instrumento lido como observação do comportamento da criança. Total (PR) (amplitude 9–45; referência provisória M = 27,38, DP = 6,50; compósito de leitura apenas descritiva). POMP por índice (percentagem da amplitude máxima possível), para comparação entre formas de comprimento diferente. Correspondência item a item com a CAPS-22 — PR1↔13, PR2↔15, PR3↔8, PR4↔21, PR5↔5 (bloco SPP); PR6↔1, PR7↔2, PR8↔7, PR9↔16 (bloco SOP) — permitindo comparar criança e progenitor na métrica de resposta: SOP-PR ÷ 4 versus SOP-SF ÷ 4 e SPP-PR ÷ 5 versus SPP-SF ÷ 5, com Δ inferior a 1 ponto a indicar convergência dentro da mesma categoria de resposta. Bandas descritivas: marcadamente abaixo do esperado, abaixo do esperado, dentro do esperado, acima do esperado, elevado, muito elevado — calculadas sobre referência provisória, nunca sobre norma.</t>
  </si>
  <si>
    <t xml:space="preserve">caps_pr</t>
  </si>
  <si>
    <t xml:space="preserve">q_caps_pr</t>
  </si>
  <si>
    <t xml:space="preserve">https://correiaricardina-ui.github.io/questionarios/CAPS_PR_Pais_v1.html</t>
  </si>
  <si>
    <t xml:space="preserve">PDRA-9/C — Perfil Diferencial da Restrição Alimentar (Criança)</t>
  </si>
  <si>
    <t xml:space="preserve">8–14 anos</t>
  </si>
  <si>
    <t xml:space="preserve">Traça o perfil diferencial das três apresentações da ARFID em autorrelato: evitação por propriedades sensoriais, desinteresse/apetite reduzido e receio de consequências aversivas (9 itens, 3 por dimensão, escala 0–3). Instrumento ORIGINAL de construção inspirada (Via B): NÃO é a NIAS (Zickgraf &amp; Ellis, 2018), não é tradução da NIAS e os resultados não são comparáveis com dados obtidos com a NIAS. Sem normas portuguesas e sem estudo psicométrico próprio. Cotação em Índice de Endossamento (IE, 0–100 %); a saída primária é a CONFIGURAÇÃO (quantas e quais dimensões salientes), não o nível absoluto. Total calculado mas NÃO interpretado como gravidade. Limiares racionais e exploratórios (saliência 40 %, tendência 12 pp, dominância 23 pp), não pontos de corte. Regra de precedência: o índice de dominância só é leitura diferencial com uma única dimensão saliente. Sem prorrateio — um omisso invalida a dimensão. ASSIMETRIA PROBATÓRIA: uma não-elevação documenta a não-endossação por aquele informante, não a ausência do fenómeno. Sustenta o diferencial ENTRE apresentações da ARFID; não discrimina ARFID de outras perturbações alimentares. Aplicar SEMPRE antes da Forma P.</t>
  </si>
  <si>
    <t xml:space="preserve">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t>
  </si>
  <si>
    <t xml:space="preserve">pdra9_c</t>
  </si>
  <si>
    <t xml:space="preserve">q_pdra9_c</t>
  </si>
  <si>
    <t xml:space="preserve">https://correiaricardina-ui.github.io/questionarios/PDRA9_C_v1.html</t>
  </si>
  <si>
    <t xml:space="preserve">PDRA-9/P — Perfil Diferencial da Restrição Alimentar (Parental)</t>
  </si>
  <si>
    <t xml:space="preserve">Traça o perfil diferencial das três apresentações da ARFID em heterorrelato parental (9 itens, 3 por dimensão, escala 0–5, referência: últimos 3 meses). Instrumento ORIGINAL de construção inspirada (Via B): NÃO é a NIAS (Zickgraf &amp; Ellis, 2018) nem tradução da NIAS. Sem normas portuguesas e sem estudo psicométrico próprio. Mesma arquitetura de cotação da Forma C. O par C+P produz o ÍNDICE DE DIVERGÊNCIA por dimensão (limiar 25 pp), que é a informação mais sensível do instrumento: na dimensão do receio o conteúdo antecipatório é experiência interna e o heterorrelato parental subestima-o de forma sistemática, pelo que a direção criança &gt; progenitor é teoricamente esperada e constitui informação clínica, não erro de medida. ASSIMETRIA PROBATÓRIA máxima nesta forma na dimensão do receio: um valor baixo documenta a não-observabilidade do receio pelo progenitor, não a sua ausência.</t>
  </si>
  <si>
    <t xml:space="preserve">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 Índice de divergência entre informantes (Forma P menos Forma C), calculado por dimensão</t>
  </si>
  <si>
    <t xml:space="preserve">pdra9_p</t>
  </si>
  <si>
    <t xml:space="preserve">q_pdra9_p</t>
  </si>
  <si>
    <t xml:space="preserve">https://correiaricardina-ui.github.io/questionarios/PDRA9_P_v1.html</t>
  </si>
  <si>
    <t xml:space="preserve">GCSA — Grelha de Caracterização da Seletividade Alimentar</t>
  </si>
  <si>
    <t xml:space="preserve">Documenta a fenomenologia da seletividade alimentar, o perfil sensorial extra-alimentar, o impacto participativo e a acomodação familiar (98 itens: 86 em escala de frequência 0–3 e 12 dicotómicos). Instrumento de construção INTERNA (Via C): os itens dos seis blocos de observação foram redigidos de raiz em português europeu a partir dos domínios cobertos pela Escala de Avaliação do Comportamento Alimentar (LABIRINTO), sem reprodução literal de itens, instruções ou material protegido; o sistema de cotação, o modelo interpretativo e a estrutura dimensional são construções originais. SEM aferição normativa, SEM pontuação clínica e SEM pontos de corte. Cotação em dois descritores complementares por subdimensão, ambos 0–100: índice de densidade (intensidade média dos indicadores) e índice de saliência (proporção de indicadores estabelecidos como padrão, descritor primário). As bandas do índice de saliência (0–20, 20–40, 40–65, 65–100) organizam a leitura e NÃO classificam gravidade. SEM índice global: a média das 15 subdimensões achata perfis com elevação isolada, pelo que a saída primária é a CONFIGURAÇÃO relativa entre domínios. Prorrateio de omissos até 20 % por subdimensão; acima do limiar a dimensão é devolvida como não interpretável, e subdimensões com menos de 5 itens não admitem qualquer omisso. Dimensões com 2 ou 3 itens (3B, 4C, 6B, 7A, 7B) têm granularidade grosseira: ler sempre com a contagem absoluta de itens salientes. Nenhum valor é devolvido à família — para quem preenche, a grelha mantém-se o registo qualitativo que declara ser. Cada progenitor preenche um protocolo independente: a grelha convida ao registo de leituras divergentes em vez do consenso prévio, e a divergência é tratada como dado clínico, não como erro de preenchimento.</t>
  </si>
  <si>
    <t xml:space="preserve">Exigência de propriedades sensoriais, 3A (marca, temperatura, cor, consistência, ponto de cozedura); Aversão ao contacto e à mistura, 3B (alimentos que se tocam, texturas na mesma garfada); Recusa por categoria e restrição de repertório, 3C (carne, peixe, fruta, legumes, categorias inteiras); Rigidez ritualística, 4A (disposição no prato, lugar fixo, utensílios fixos); Desregulação comportamental à mesa, 4B (cuspir, não permanecer sentado, irritabilidade); Resposta aversiva física, 4C (vómito às refeições, enjoo ao ver comida diferente); Hiper-reatividade e evitação sensorial, 6A (ruído, cheiro, toque, textura, luz — extra-alimentar); Procura sensorial, 6B (mastigar objetos, movimento intenso, pressão profunda) — ortogonal a 6A, nunca somada; Dificuldade instrumental, 7A (talheres, entornar, necessidade de ajuda física); Dependência regulatória, 7B (presença e atenção do adulto durante a refeição); Restrição participativa, 8A (refeitório, visitas de estudo, festas, casa de outros, restaurantes, comida de terceiros, atividades abandonadas); Acomodação — participação direta, ACO-P (refeição diferente, compra específica, remoção do prato, alimentação assistida); Acomodação — modificação de rotinas, ACO-R (horários, ementa, compras, saídas e férias); Acomodação — facilitação da evitação, ACO-E (supressão da oferta de alimentos novos, evitação de contextos); Consequências da não acomodação, ACO-C (resposta da criança à não cedência e cedência subsequente do adulto); Marcadores de preservação, 3D (sabores intensos aceites, apetite e prazer no que aceita) — reportado em separado, indicador de recurso terapêutico; Impacto no cuidador, ACO-D (preocupação, tensão às refeições, discordância entre adultos) — reportado em separado, informação de planeamento; Competência mastigatória, M-COMP e Segurança na deglutição, M-SEG (bloco 02) — relato médico, contagem descritiva sem índice; Sintomatologia digestiva funcional, D-FUNC e Diagnósticos estabelecidos, D-DIAG (bloco 05) — relato médico, contagem descritiva sem índice; Sinalizadores clínicos: segurança na deglutição, ingestão de não alimentos, crescimento e peso, preocupação com a imagem corporal, receio de consequências aversivas; Descritores de configuração do perfil: dimensões interpretáveis, dimensões na banda superior, dimensões sem indicadores salientes, índice de saliência máximo e mínimo, amplitude e dimensão predominante; Índice de divergência entre informantes, por subdimensão e por contagem de itens divergentes</t>
  </si>
  <si>
    <t xml:space="preserve">gcsa</t>
  </si>
  <si>
    <t xml:space="preserve">q_gcsa</t>
  </si>
  <si>
    <t xml:space="preserve">https://correiaricardina-ui.github.io/questionarios/GCSA_v1.html</t>
  </si>
  <si>
    <t xml:space="preserve">GCSA — Diário de Alimentação de Sete Dias</t>
  </si>
  <si>
    <t xml:space="preserve">Registo prospetivo de sete dias das refeições e do repertório alimentar aceite, preenchido no próprio dia (35 slots: 7 dias × 5 refeições, mais o repertório). Módulo de diário da GCSA, e a fonte de informação quantitativa mais robusta do instrumento, por não assentar em estimativa retrospetiva. Produz nove indicadores descritivos de amplitude e de concentração do repertório. A literatura refere com frequência repertórios inferiores a vinte alimentos como marcador de seletividade significativa: esse valor NÃO é operacionalizado como limiar, por não existirem normas portuguesas para amplitude de repertório nesta faixa etária e por a sua conversão em ponto de corte contrariar o estatuto declarado do instrumento. Os indicadores são apresentados como contagens, para leitura clínica integrada. Enviar sempre em conjunto com a grelha principal, pedindo que seja a última secção a preencher, e incluir pelo menos um dia de fim de semana e, se possível, um dia com refeição fora de casa.</t>
  </si>
  <si>
    <t xml:space="preserve">Refeições com registo, de 35 possíveis; Refeições com recusa registada; Taxa de recusa, em percentagem das refeições com registo; Refeições fora de casa; Alimentos distintos aceites ao longo dos sete dias (amplitude do repertório); Núcleo estável: alimentos presentes em quatro ou mais dias (componente rígida e previsível do repertório); Proporção do repertório em núcleo estável (grau de concentração; proporção elevada com repertório reduzido caracteriza padrão de rotação fixa); Média de alimentos distintos por dia com registo (variedade diária efetiva, distinta da amplitude acumulada); Distribuição de alimentos distintos por dia, com distinção entre dia de escola e fim de semana</t>
  </si>
  <si>
    <t xml:space="preserve">gcsa_diario</t>
  </si>
  <si>
    <t xml:space="preserve">q_gcsa_diario</t>
  </si>
  <si>
    <t xml:space="preserve">https://correiaricardina-ui.github.io/questionarios/GCSA_Diario_v1.html</t>
  </si>
  <si>
    <t xml:space="preserve">SIAS · SPS — Escalas de Ansiedade Social</t>
  </si>
  <si>
    <t xml:space="preserve">Próprio</t>
  </si>
  <si>
    <t xml:space="preserve">14–99 anos</t>
  </si>
  <si>
    <t xml:space="preserve">Distingue a ansiedade de INTERAÇÃO social (SIAS, 19 itens, amplitude 0–76; itens 8 e 10 invertidos, valor cotado = 4 menos valor bruto) da ansiedade de ESCRUTÍNIO ou desempenho (SPS, 20 itens, amplitude 0–80; nenhum item invertido), em autorrelato numa escala 0–4 (0 = não é nada característico da minha maneira de ser; 4 = extremamente característico). As duas escalas são sempre aplicadas em conjunto e partilham a mesma aba do Sheet. O RESULTADO PRINCIPAL é a média por item de cada escala e o CONTRASTE entre ambas (SPS menos SIAS, amplitude −4 a +4), que documenta a dissociação intraindividual entre os dois eixos; os totais são secundários. A leitura privilegia a média por item por ser independente do número de itens: a SIAS circula em versões de 19 e de 20 itens, com amplitudes diferentes (0–76 e 0–80), pelo que os totais publicados não são directamente comparáveis entre si. SEM normas portuguesas e SEM pontos de corte nacionais. Os marcadores internacionais são indicativos, apresentam dispersão considerável entre estudos (SIAS 34 a 43; SPS 24 a 27), derivam integralmente de amostras ADULTAS e NÃO são interpretáveis em respondentes com menos de 18 anos; abaixo dos 14 anos estas escalas não são o instrumento indicado. Limite de 2 omissos por escala (convenção operacional, cerca de 10 por cento dos itens, sem base empírica publicada): acima do limite a média e o contraste são devolvidos como não interpretáveis, nunca como zero. A atribuição de um padrão de leitura ao contraste é CLÍNICA e não está automatizada. Todo o apuramento é descritivo; a interpretação clínica é da exclusiva responsabilidade do psicólogo responsável pela avaliação.</t>
  </si>
  <si>
    <t xml:space="preserve">Ansiedade em situações de interação social, SIAS (média por item 0–4; total 0–76) — falar com figuras de autoridade, manter contacto visual, falar de si próprio, conversar com pessoas pouco conhecidas, discordar, interagir em grupo; Ansiedade de escrutínio ou fobia social, SPS (média por item 0–4; total 0–80) — ser observado a escrever, a comer, a beber, a andar na rua, receio de corar, de tremer, de perder o controlo, de atrair as atenções, falar à frente de outros; Contraste entre as médias por item (SPS menos SIAS, −4 a +4) — saída primária do instrumento, documenta a dissociação entre os dois eixos; Estado do protocolo por escala (completo; omissos dentro do limite de 2; omissos acima do limite, não interpretável); Posição descritiva face aos marcadores internacionais — SIAS 34 (Brown et al., 1997) e 43 (uso corrente na literatura); SPS 24 (Heimberg et al., 1992) e 27 (Peters, 2000); Grelha de leitura do contraste — escrutínio circunscrito; ansiedade social generalizada; ansiedade não organizada no eixo social; padrão atípico a reavaliar — leitura clínica, NÃO automatizada</t>
  </si>
  <si>
    <t xml:space="preserve">sias_sps</t>
  </si>
  <si>
    <t xml:space="preserve">q_sias_sps</t>
  </si>
  <si>
    <t xml:space="preserve">https://correiaricardina-ui.github.io/questionarios/SIAS_SPS_v1.html</t>
  </si>
  <si>
    <t xml:space="preserve">BAI — Inventário de Ansiedade de Beck</t>
  </si>
  <si>
    <t xml:space="preserve">Próprio, Mãe, Pai</t>
  </si>
  <si>
    <t xml:space="preserve">13–99 anos</t>
  </si>
  <si>
    <t xml:space="preserve">Mede a intensidade dos sintomas de ansiedade sentidos durante a última semana, incluindo o dia de hoje, em autorrelato de 21 itens numa escala 0–3 (0 = absolutamente não; 1 = levemente, não me incomodou muito; 2 = moderadamente, foi muito desagradável mas pude suportar; 3 = gravemente, dificilmente pude suportar). Total 0–63, com limiares de Beck e Steer (1990/1993): 0–7 mínima, 8–15 ligeira, 16–25 moderada, 26–63 grave. A validação portuguesa (Quintão, Delgado e Prieto, 2013) confirma estrutura UNIDIMENSIONAL, pelo que apenas o total tem cotação normativa; os quatro agrupamentos de sintomas são exploratórios, as alocações de itens divergem entre estudos e são apresentados em escala descritiva azul, sem juízo de gravidade. O instrumento sobrerrepresenta deliberadamente a componente SOMÁTICA da ansiedade, o que o torna útil para discriminar ansiedade de depressão mas insuficiente como medida isolada de ansiedade cognitiva ou de preocupação. É de autopreenchimento e mede a ansiedade de QUEM PREENCHE: aplicado a um progenitor, o resultado descreve o progenitor e não a criança; o código do paciente identifica o processo, não o sujeito da medida. Entre aplicações, apenas diferenças iguais ou superiores a 7 pontos constituem mudança fiável (índice de mudança fiável, Seggar et al., 2002); variações menores situam-se dentro do erro de medida. Instrumento proprietário (© Beck / Psychological Corporation), tradução portuguesa autorizada. Resultado isolado não é diagnóstico.</t>
  </si>
  <si>
    <t xml:space="preserve">Total BAI (0–63) — única saída com cotação normativa; limiares 0–7 mínima, 8–15 ligeira, 16–25 moderada, 26–63 grave; Agrupamento subjetivo, 7 itens (0–21) — incapaz de relaxar, medo que aconteça o pior, aterrorizado, nervoso, medo de perder o controlo, medo de morrer, assustado; Agrupamento neurofisiológico, 6 itens (0–18) — tremores nas pernas e nas mãos, trémulo, sem equilíbrio, sensação de sufocação, dificuldade de respirar; Agrupamento autonómico, 4 itens (0–12) — palpitação ou aceleração do coração, sensação de calor, indigestão ou desconforto abdominal, rosto afogueado; Agrupamento de pânico, 4 itens (0–12) — dormência ou formigamento, atordoado ou tonto, sensação de desmaio, suor não devido ao calor; Comparação longitudinal pelo índice de mudança fiável (diferença igual ou superior a 7 pontos entre aplicações)</t>
  </si>
  <si>
    <t xml:space="preserve">bai</t>
  </si>
  <si>
    <t xml:space="preserve">q_bai</t>
  </si>
  <si>
    <t xml:space="preserve">https://correiaricardina-ui.github.io/questionarios/BAI_v1.html</t>
  </si>
  <si>
    <t xml:space="preserve">BDI-II — Inventário de Depressão de Beck II</t>
  </si>
  <si>
    <t xml:space="preserve">Mede a gravidade dos sintomas depressivos sentidos durante as duas últimas semanas, incluindo o dia de hoje, em autorrelato de 21 grupos de afirmações cotados 0–3. Total 0–63, com limiares de Beck, Steer e Brown (1996): 0–13 mínima, 14–19 ligeira, 20–28 moderada, 29–63 grave. Versão portuguesa de Quelhas Martins e Coelho (Faculdade de Medicina do Porto, 2000). Numa amostra comunitária portuguesa a média foi 11,01 (desvio-padrão 9,15; N = 2401; Oliveira-Brochado, Simões e Paúl, 2014): referência DESCRITIVA de enquadramento, nunca convertida em percentil nem em score padronizado. O ITEM 9 (pensamentos ou desejos suicidas) constitui sinalizador clínico próprio: qualquer cotação igual ou superior a 1 exige avaliação directa de ideação e risco, independentemente do total, e é registada em coluna separada no Sheet para permitir filtragem. Os grupos 16 (sono) e 18 (apetite) têm 7 opções cotadas 0-1-1-2-2-3-3, em que aumento e diminuição pontuam igual mas são clinicamente opostos: o sistema guarda a opção assinalada e não apenas a pontuação. As duas dimensões bifatoriais não têm cotação normativa própria e existem modelos factoriais alternativos, pelo que são apresentadas em escala descritiva azul. Assume o formulário BDI-II, cujos itens e ordem diferem do BDI original. É de autopreenchimento e mede a depressão de QUEM PREENCHE: aplicado a um progenitor, o resultado descreve o progenitor e não a criança. Instrumento proprietário (© Beck / Psychological Corporation). Resultado isolado não é diagnóstico.</t>
  </si>
  <si>
    <t xml:space="preserve">Total BDI-II (0–63) — única saída com cotação normativa; limiares 0–13 mínima, 14–19 ligeira, 20–28 moderada, 29–63 grave; Dimensão cognitivo-afetiva, itens 1 a 13 (0–39) — tristeza, pessimismo, fracassos passados, perda de prazer, sentimentos de culpa, sentimentos de punição, autodepreciação, autocriticismo, pensamentos ou desejos suicidas, choro, agitação, perda de interesse, indecisão; Dimensão somática, itens 14 a 21 (0–24) — sentimentos de inutilidade, perda de energia, alterações no padrão de sono, irritabilidade, alterações no apetite, dificuldades de concentração, cansaço ou fadiga, perda de interesse sexual; Predomínio relativo entre as duas dimensões (cognitivo-afetivo, somático ou equilibrado) — descritor de configuração, sem cotação normativa própria; Sinalizador clínico — item 9, pensamentos ou desejos suicidas: qualquer cotação igual ou superior a 1 exige avaliação directa de ideação e risco, independentemente do total; Referência comunitária portuguesa para enquadramento descritivo: média 11,01, desvio-padrão 9,15 (Oliveira-Brochado, Simões e Paúl, 2014)</t>
  </si>
  <si>
    <t xml:space="preserve">bdi2</t>
  </si>
  <si>
    <t xml:space="preserve">q_bdi2</t>
  </si>
  <si>
    <t xml:space="preserve">https://correiaricardina-ui.github.io/questionarios/BDI2_v1.html</t>
  </si>
  <si>
    <t xml:space="preserve">PSWQ — Questionário de Preocupação do Estado da Pensilvânia</t>
  </si>
  <si>
    <t xml:space="preserve">18–99 anos</t>
  </si>
  <si>
    <t xml:space="preserve">Mede a preocupação enquanto TRAÇO — intensidade, generalização e incontrolabilidade — em autorrelato de 16 itens numa escala 1–5; não avalia o conteúdo temático da preocupação. Itens 1, 3, 8, 10 e 11 invertidos, pelo que o mínimo empírico do total é 36 e o máximo 60. Âncora normativa primária: comunidade portuguesa de Oliveira et al. (2021). Critério c de significância clínica 57,40 → 58; mudança fiável a partir de 8 pontos (RCI 95% = 7,93). Os cortes internacionais 45/62/65 são apenas marcadores comparativos, nunca critério de classificação. Mede a preocupação de QUEM PREENCHE; validado para adultos (≥ 18 anos) — em idade pediátrica usar o PSWQ-C.</t>
  </si>
  <si>
    <t xml:space="preserve">Total PSWQ (16–80; mínimo empírico 36, máximo empírico 60) — z e percentil face à comunidade portuguesa de Oliveira et al. (2021), n = 256, M = 50,91, DP = 9,86; Banda descritiva de posicionamento normativo (marcadamente abaixo, abaixo, dentro do intervalo médio comunitário, acima, marcadamente acima da média comunitária); Escala Positiva PSWQ-11, 11 itens diretos (11–55) — norma de Freitas (2017), n = 90, M = 34,79, DP = 8,74; Bloco de itens invertidos em métrica bruta, F2b, 5 itens (5–25) — norma de Freitas (2017), M = 12,06, DP = 4,11; valores mais BAIXOS indicam maior preocupação; Bloco de itens invertidos em métrica cotada, F2c (5–25) — 30 − F2b, apenas para conferência da soma; Média por item (1,00–5,00); Posicionamento comparativo noutras distribuições de referência (clínica portuguesa, comunidade portuguesa secundária, não clínica dos EUA, Perturbação de Ansiedade Generalizada agregada); Sinalizador clínico — critério c de Jacobson &amp; Truax (57,40 → 58); Sinalizador de aplicabilidade — alerta etário automático abaixo dos 18 anos; Indicador exploratório de coerência entre blocos, |z(F1) + z(F2b)|, limiar 2,00; Monitorização longitudinal pelo índice de mudança fiável (Δ ≥ 8 pontos; RCI 95% = 7,93)</t>
  </si>
  <si>
    <t xml:space="preserve">pswq</t>
  </si>
  <si>
    <t xml:space="preserve">q_pswq</t>
  </si>
  <si>
    <t xml:space="preserve">https://correiaricardina-ui.github.io/questionarios/PSWQ_v1.html</t>
  </si>
  <si>
    <t xml:space="preserve">BRIEF-A — Autorrelato</t>
  </si>
  <si>
    <t xml:space="preserve">18–90 anos</t>
  </si>
  <si>
    <t xml:space="preserve">Avalia o funcionamento executivo no quotidiano do adulto em 75 itens, numa escala de frequência de três pontos (Nunca = 1; Às vezes = 2; Frequentemente = 3), reportada ao último mês. RECOLHE EXCLUSIVAMENTE PONTUAÇÕES BRUTAS, por resposta e por escala: nove escalas clínicas, os índices BRI, MI e GEC, e as duas escalas de validade. Por decisão clínica NÃO converte para T-score nem para percentil — a leitura normativa, que depende da idade e do sexo, é feita manualmente nas tabelas do manual a partir da folha de cotação exportada em PDF, que traz as colunas T e Percentil em branco. Os itens 10, 27, 38, 48 e 59 pertencem à escala de Infrequência e não entram em nenhuma escala clínica (70 itens clínicos + 5 de validade). No painel, escalas e índices são apresentados em escala descritiva azul, com a posição do valor bruto dentro da amplitude possível; o vermelho fica reservado aos dois sinalizadores binários de validade. T ≥ 65 é o limiar tradicionalmente considerado clinicamente elevado no BRIEF-A, mas essa leitura só existe depois da conversão manual. Instrumento proprietário (Roth, Isquith e Gioia, 2005; PAR). Resultado isolado não é diagnóstico. Versão de AUTORRELATO: descreve o funcionamento executivo tal como o próprio o relata.</t>
  </si>
  <si>
    <t xml:space="preserve">Inibição (8 itens, 8–24); Flexibilidade (6 itens, 6–18); Controlo Emocional (10 itens, 10–30); Automonitorização (6 itens, 6–18); Iniciativa (8 itens, 8–24); Memória de Trabalho (8 itens, 8–24); Planificação/Organização (10 itens, 10–30); Monitorização da Tarefa (6 itens, 6–18); Organização de Materiais (8 itens, 8–24); BRI — Índice de Regulação Comportamental (Inibição + Flexibilidade + Controlo Emocional + Automonitorização; 30 itens, 30–90); MI — Índice de Metacognição (Iniciativa + Memória de Trabalho + Planificação/Organização + Monitorização da Tarefa + Organização de Materiais; 40 itens, 40–120); GEC — Composto Executivo Global (BRI + MI; 70 itens, 70–210); Infrequência — escala de validade (5 itens: 10, 27, 38, 48 e 59; 0–5; 0–2 aceitável, ≥3 sinaliza padrão de resposta infrequente); Inconsistência — escala de validade (10 pares de itens equivalentes: 2–41, 25–49, 28–42, 33–72, 34–63, 44–61, 46–56, 52–75, 60–74, 64–70; soma das diferenças absolutas, 0–20; 0–7 aceitável, ≥8 sinaliza inconsistência)</t>
  </si>
  <si>
    <t xml:space="preserve">brief_a_auto</t>
  </si>
  <si>
    <t xml:space="preserve">q_brief_a_auto</t>
  </si>
  <si>
    <t xml:space="preserve">https://correiaricardina-ui.github.io/questionarios/BRIEF_A_Autorrelato_v1.html</t>
  </si>
  <si>
    <t xml:space="preserve">BRIEF-A — Informante</t>
  </si>
  <si>
    <t xml:space="preserve">Mãe, Pai, Outro</t>
  </si>
  <si>
    <t xml:space="preserve">Avalia o funcionamento executivo no quotidiano do adulto em 75 itens, numa escala de frequência de três pontos (Nunca = 1; Às vezes = 2; Frequentemente = 3), reportada ao último mês. RECOLHE EXCLUSIVAMENTE PONTUAÇÕES BRUTAS, por resposta e por escala: nove escalas clínicas, os índices BRI, MI e GEC, e as duas escalas de validade. Por decisão clínica NÃO converte para T-score nem para percentil — a leitura normativa, que depende da idade e do sexo, é feita manualmente nas tabelas do manual a partir da folha de cotação exportada em PDF, que traz as colunas T e Percentil em branco. Os itens 10, 27, 38, 48 e 59 pertencem à escala de Infrequência e não entram em nenhuma escala clínica (70 itens clínicos + 5 de validade). No painel, escalas e índices são apresentados em escala descritiva azul, com a posição do valor bruto dentro da amplitude possível; o vermelho fica reservado aos dois sinalizadores binários de validade. T ≥ 65 é o limiar tradicionalmente considerado clinicamente elevado no BRIEF-A, mas essa leitura só existe depois da conversão manual. Instrumento proprietário (Roth, Isquith e Gioia, 2005; PAR). Resultado isolado não é diagnóstico. Versão de INFORMANTE: preenchida por alguém que conhece bem a pessoa avaliada (cônjuge, familiar, amigo ou cuidador), paralela ao autorrelato item a item, para triangulação entre a descrição do próprio e a do informante.</t>
  </si>
  <si>
    <t xml:space="preserve">brief_a_inf</t>
  </si>
  <si>
    <t xml:space="preserve">q_brief_a_inf</t>
  </si>
  <si>
    <t xml:space="preserve">https://correiaricardina-ui.github.io/questionarios/BRIEF_A_Informante_v1.html</t>
  </si>
  <si>
    <t xml:space="preserve">ESS — Escala de Sonolência de Epworth</t>
  </si>
  <si>
    <t xml:space="preserve">Rastreio da sonolência diurna excessiva por autorrelato (Johns, 1991; versão portuguesa CEISUC/LEPS, 2001). 8 itens, escala ordinal 0–3, todos directos — sem itens invertidos e sem ponderações; total = soma simples (0–24). Mede a propensão média para ADORMECER em situações quotidianas de baixa e média ativação, tomando como referência o modo de vida habitual no período recente: não mede fadiga, cansaço subjetivo, sonolência momentânea no ato de resposta nem qualidade do sono. Coexistem três sistemas interpretativos e nenhum foi suprimido: Sistema A como referência primária (0–7 sonolência normal · 8–10 sonolência média · 11–15 sonolência excessiva moderada · 16–24 sonolência excessiva grave); critério dicotómico impresso no formulário da versão portuguesa, total ≥ 10; bandas de Johns (0–5 · 6–10 · 11–12 · 13–15 · 16–24). Os dois primeiros divergem EXCLUSIVAMENTE na pontuação 10, em que o Sistema A mantém «Sonolência média» e o critério português é positivo — divergência assinalada automaticamente e não resolvida pelo sistema (anomalia A-01); a escolha da referência a reportar é clínica. NÃO existem normas portuguesas por idade e sexo: não são gerados percentis nem T-scores (anomalia A-04). Validada para ADULTOS (≥ 18 anos) — abaixo dos 18 usar a ESS-CHAD (Janssen et al., 2017); o painel emite alerta etário automático. Instrumento de autopreenchimento: mede a sonolência de QUEM PREENCHE, pelo que aplicada a um progenitor descreve o progenitor e não a criança — o código do paciente identifica o processo, não o sujeito da medida. Completude: 8/8 itens para protocolo válido (R3); com 6 ou 7 itens gera estimativa pró-rateada [(soma / n) × 8, arredondada], exploratória e não comparável a normas (R4); abaixo de 6 itens não produz pontuação (R5); o item 8 (ao volante) pressupõe a condição de condutor e, em não condutores, fica em branco com pró-rateio e comparabilidade «Limitada» (R6). Medida de RASTREIO: não diagnostica apneia obstrutiva do sono, narcolepsia, hipersonolência idiopática nem privação crónica de sono, e não substitui a avaliação médica do sono nem o estudo polissonográfico — uma pontuação baixa não exclui patologia do sono e uma pontuação elevada não estabelece a sua etiologia.</t>
  </si>
  <si>
    <t xml:space="preserve">Pontuação total ESS (0–24) — única saída com cotação; instrumento unidimensional, sem subescalas; Classificação pelo Sistema A, referência primária (0–7 sonolência normal · 8–10 sonolência média · 11–15 sonolência excessiva moderada · 16–24 sonolência excessiva grave); Critério dicotómico da versão portuguesa CEISUC/LEPS (2001), coincidente com o critério original de Johns (1991) — total ≥ 10 indica sonolência diurna excessiva; Bandas de referência de Johns, Sistema C (0–5 normal baixa · 6–10 normal elevada · 11–12 excessiva ligeira · 13–15 excessiva moderada · 16–24 excessiva grave), reportadas em paralelo para rastreabilidade bibliográfica; Concordância entre sistemas — assinala a divergência única na pontuação 10 (anomalia A-01), sem a resolver; Natureza da pontuação — distinção entre valor observado (8/8 itens) e estimativa pró-rateada (6–7 itens), esta última não comparável a normas; Validade do protocolo — regras R3 (8/8 válido), R4 (6–7 itens, pró-rateio), R5 (&lt; 6 itens, sem pontuação) e R6 (item 8 não aplicável a não condutores); Comparabilidade normativa — «Aplicável» apenas com protocolo completo e item 8 aplicável, caso contrário «Limitada» ou «Não aplicável»; Agrupamento descritivo exploratório G1, situações de baixa ativação (itens 1–5; 0–15) — estritamente descritivo, sem normas nem pontos de corte (R7), não reportar como subescala; Agrupamento descritivo exploratório G2, situações de ativação intermédia a elevada (itens 6–8; 0–9) — estritamente descritivo, sem normas nem pontos de corte (R7), não reportar como subescala; Diferencial G2 − G1 (médias por item) — valor positivo indica propensão a adormecer também em situações de maior ativação; indicador descritivo, sem ponto de corte; Indicadores de padrão — pontuação máxima num item, número de itens cotados em 3, em ≥ 2 e em 0; Sinalizador descritivo de contexto de veículo (soma dos itens 4 e 8 ≥ 4, de um máximo de 6) — orienta a entrevista quanto a segurança rodoviária e não constitui juízo sobre aptidão para conduzir; Sinalizador de aplicabilidade etária — alerta automático quando a idade de quem responde é inferior a 18 anos.</t>
  </si>
  <si>
    <t xml:space="preserve">ess</t>
  </si>
  <si>
    <t xml:space="preserve">q_ess</t>
  </si>
  <si>
    <t xml:space="preserve">https://correiaricardina-ui.github.io/questionarios/ESS_Epworth_v1.html</t>
  </si>
  <si>
    <t xml:space="preserve">STOP-BANG — Rastreio de Risco de Apneia Obstrutiva do Sono</t>
  </si>
  <si>
    <t xml:space="preserve">Rastreio do RISCO de síndrome de apneia obstrutiva do sono por acumulação de oito fatores binários — quatro sintomáticos (bloco STOP: ressonar, cansaço ou sonolência diurna, apneias observadas, hipertensão arterial) e quatro objetivos (bloco BANG: índice de massa corporal, idade, perímetro cervical, sexo). Total 0–8, soma simples e sem ponderações. ⚠ NÃO é um formulário auto-administrado: o STOP-BANG é um instrumento PROPRIETÁRIO (Frances Chung e University Health Network, Toronto; www.stopbang.ca) e a ficha foi construída em VIA A-RESTRITA — reproduz apenas as designações dos domínios do acrónimo e os critérios operacionais objetivos, que constituem factos clínicos e não expressão protegida, e NÃO reproduz os enunciados dos itens. A ampla circulação pública do questionário não equivale a licença de redistribuição, e a publicação da validação portuguesa (Reis et al., 2015) não transfere direitos sobre o instrumento. Opera em complemento do formulário original em uso no serviço, do qual o profissional transcreve as quatro respostas do bloco STOP; os quatro indicadores do bloco BANG são derivados automaticamente dos dados clínicos brutos (idade, sexo, peso, altura, perímetro cervical), com os critérios IMC &gt; 35 kg/m², idade &gt; 50 anos, perímetro cervical acima do limiar e sexo masculino. O perímetro cervical é cotado por DOIS critérios em paralelo: o critério português, &gt; 40 cm e indiferenciado por sexo (Reis et al., 2015, e versão original de 2008), que constitui a pontuação PRINCIPAL, e o critério da versão atual do detentor, masculino ≥ 43 cm e feminino ≥ 41 cm, que funciona como verificação de concordância — a divergência entre os dois totais é assinalada e NÃO é resolvida automaticamente, cabendo ao clínico a escolha do critério a reportar. Classificação em dois níveis: bandas do documento-fonte (0–2 risco baixo · 3–4 risco intermédio · ≥ 5 risco elevado) e, sobre estas, o refinamento da faixa intermédia de Chung, Abdullah &amp; Liao (Chest, 2016), que reclassifica como risco elevado as pontuações 3–4 com STOP ≥ 2 e pelo menos um de IMC, perímetro cervical ou sexo masculino positivos. As probabilidades previstas provêm de regressão logística numa amostra portuguesa de clínica do sono (Reis et al., 2015) e existem publicadas apenas para as pontuações 3 a 6 (qualquer grau) e 6 a 8 (forma grave); as restantes apresentam «n.d.», sem qualquer interpolação — e, tratando-se de uma população com prevalência de base elevada, a sua transposição para rastreio comunitário ou cuidados de saúde primários SOBRESTIMA o risco. ⚠ Validado exclusivamente em população ADULTA (≥ 18 anos): os critérios «idade &gt; 50» e «IMC &gt; 35» carecem de significado em idade pediátrica, onde os preditores de apneia obstrutiva são distintos (hipertrofia adenoamigdalina como fator dominante); o ficheiro bloqueia a introdução de idades inferiores a 18 anos. ⚠ Índice FORMATIVO de acumulação de fatores de risco e não escala reflexiva de um construto latente: os oito indicadores são causas do estatuto de risco e não manifestações de uma dimensão comum, pelo que os coeficientes de consistência interna (alfa, ómega) e a análise fatorial dos itens são metodologicamente inaplicáveis, e não existem subescalas — STOP e BANG são blocos de contagem. ⚠ Instrumento de RASTREIO: sensibilidade elevada (93,4% para IAH ≥ 5 no ponto de corte ≥ 3) e especificidade baixa (48,9% no mesmo corte), pelo que se destina a EXCLUIR com segurança e não a confirmar — uma classificação de risco elevado indica probabilidade acrescida e justifica referenciação para avaliação especializada, não estabelecendo por si o diagnóstico, que exige estudo do sono.</t>
  </si>
  <si>
    <t xml:space="preserve">Pontuação total pelo critério português (0–8) — saída principal; soma dos oito indicadores binários, sem ponderações; Subtotal do bloco STOP, itens 1–4, indicadores sintomáticos (0–4) — bloco de contagem, NÃO subescala; Subtotal do bloco BANG, itens 5–8, indicadores objetivos (0–4) — bloco de contagem, NÃO subescala; Cotação item a item — Ressonar (S), Cansaço ou sonolência diurna (T), Apneias observadas (O), Hipertensão arterial (P), Índice de massa corporal (B), Idade (A), Perímetro cervical (N), Sexo (G); Índice de massa corporal derivado automaticamente do peso e da altura (kg/m²), com o critério operacional &gt; 35; Cotação paralela do perímetro cervical — critério português &gt; 40 cm indiferenciado por sexo (principal) e critério da University Health Network, masculino ≥ 43 cm e feminino ≥ 41 cm (verificação); Pontuação total pelo critério UHN (0–8) — cálculo paralelo, exclusivamente para verificação de concordância; Concordância entre critérios de perímetro cervical — assinala a divergência quando os dois totais diferem, sem a resolver; Nível 1 · Banda de risco do documento-fonte (0–2 risco baixo · 3–4 risco intermédio · ≥ 5 risco elevado); Nível 2 · Classificação final com refinamento da faixa intermédia (Chung, Abdullah &amp; Liao, 2016) — pontuação 3–4 com STOP ≥ 2 e IMC, perímetro cervical ou sexo masculino positivos passa a «Risco elevado (reclassificado)»; Classificação paralela pelo critério UHN — mesmas bandas aplicadas ao total do critério diferenciado por sexo; Probabilidade prevista de SAOS de qualquer grau (Reis et al., 2015) — publicada apenas para as pontuações 3 a 6 (64%, 80%, 90%, 95%); restantes «n.d.», sem interpolação; Probabilidade prevista de SAOS grave, IAH ≥ 30 (Reis et al., 2015) — publicada apenas para as pontuações 6 a 8 (46%, 61%, 73%); restantes «n.d.», sem interpolação; Elegibilidade etária — sinalizador de bloqueio automático abaixo dos 18 anos, por o instrumento não estar validado em idade pediátrica; Estado do protocolo — a cotação só é produzida com a totalidade dos dados clínicos objetivos e das quatro respostas do bloco STOP.</t>
  </si>
  <si>
    <t xml:space="preserve">stopbang</t>
  </si>
  <si>
    <t xml:space="preserve">q_stopbang</t>
  </si>
  <si>
    <t xml:space="preserve">https://correiaricardina-ui.github.io/questionarios/STOPBANG_v1.html</t>
  </si>
  <si>
    <t xml:space="preserve">EII-27 · Forma A — Escala de Intolerância à Incerteza (versão longa, adultos)</t>
  </si>
  <si>
    <t xml:space="preserve">Mede a INTOLERÂNCIA À INCERTEZA — o conjunto de crenças negativas segundo as quais a ambiguidade é inaceitável, ameaçadora e geradora de sofrimento, independentemente da probabilidade objetiva de um desfecho negativo. Autorrelato de 27 itens numa escala 1–5 (1 = nada característico de mim → 5 = totalmente característico de mim), TODOS no sentido directo: não existe um único item invertido. Total 27–135, com estrutura bifatorial de Sexton &amp; Dugas (2009) — F1 «a incerteza tem implicações negativas comportamentais e auto-referentes» (15 itens, 15–75) e F2 «a incerteza é injusta e estraga tudo» (12 itens, 12–60). Sendo a versão de 12 itens um subconjunto ESTRITO desta (itens 7, 8, 9, 10, 11, 12, 15, 18, 19, 20, 21 e 25), uma só administração devolve também as três escalas curtas derivadas — EII-12 Total, Ansiedade Prospetiva e Ansiedade Inibitória. Construto TRANSDIAGNÓSTICO, central no modelo cognitivo da ansiedade generalizada de Dugas e Ladouceur e associado à perturbação obsessivo-compulsiva, à ansiedade social, ao pânico, à ansiedade de doença, às perturbações do comportamento alimentar e à sintomatologia depressiva; não constitui, em si, critério de diagnóstico de qualquer entidade do DSM-5-TR ou da CID-11. ⚠ Tradução técnica de trabalho para português europeu (Via A), SEM retroversão independente, SEM painel de peritos, SEM pré-teste cognitivo e SEM estudo psicométrico em amostra nacional: fidelidade, validade e estrutura fatorial não estão verificadas nesta versão. ⚠ NÃO existem normas portuguesas e NÃO são aplicados pontos de corte — toda a leitura é feita em POMP, percentagem da amplitude teórica, com bandas descritivas por quintis que situam a pontuação no intervalo possível do instrumento e NÃO medem gravidade clínica. ⚠ Instrumento desenvolvido e normalizado em população ADULTA: a Forma J é adaptação de registo linguístico para os 12–17 anos, sem estudo de equivalência de medida, pelo que as pontuações das duas formas não são comparáveis entre si e a forma deve manter-se constante ao longo do acompanhamento do mesmo caso</t>
  </si>
  <si>
    <t xml:space="preserve">Total EII-27 (27–135) — pontuação global de intolerância à incerteza; reportada em POMP e banda descritiva, sem norma e sem ponto de corte; Fator 1 — a incerteza tem implicações negativas comportamentais e auto-referentes (15 itens, 15–75; itens 1, 2, 3, 9, 12, 13, 14, 15, 16, 17, 20, 22, 23, 24, 25); inclui o eixo auto-referente (competência pessoal, comparação social, confiança em si) que NÃO está representado na versão curta; Fator 2 — a incerteza é injusta e estraga tudo (12 itens, 12–60; itens 4, 5, 6, 7, 8, 10, 11, 18, 19, 21, 26, 27); EII-12 Total derivada (12–60) — calculada automaticamente a partir dos itens 7, 8, 9, 10, 11, 12, 15, 18, 19, 20, 21 e 25 da versão longa; Ansiedade Prospetiva derivada (7 itens, 7–35) — orientação apreensiva para o futuro: necessidade de antecipação, de previsibilidade e de informação completa; Ansiedade Inibitória derivada (5 itens, 5–25) — paralisação da ação, adiamento e evitamento perante a ambiguidade; POMP por escala (0–100) — (pontuação − mínimo) ÷ (máximo − mínimo) × 100; métrica comum que permite comparar escalas de amplitudes diferentes, transformação linear e integralmente reversível,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e NUNCA comparativa entre sujeitos; Tratamento de omissões por prorrateamento — máximo de 2 omissões no total da EII-27, 1 em F1, F2, EII-12 Total e Ansiedade Prospetiva, e 0 na Ansiedade Inibitória (escala demasiado curta para imputação); dentro do limite a pontuação é prorrateada pela média dos itens respondidos da própria escala, acima do limite a escala é declarada NÃO COTÁVEL sem qualquer estimativa, escala a escala; Controlo de qualidade do protocolo — desvio-padrão dos itens cotados, com sinalizador de padrão de resposta invariante (desvio-padrão nulo) que exige ponderar a validade do protocolo antes de qualquer leitura; Tabela de normas parametrizável — a partir do momento em que sejam introduzidas médias e desvios-padrão de referência aplicáveis, o sistema passa a calcular scores z e percentis estimados; até lá essas saídas permanecem vazias por construção, em vez de apresentarem valores sem fundamento</t>
  </si>
  <si>
    <t xml:space="preserve">eii27_a</t>
  </si>
  <si>
    <t xml:space="preserve">q_eii27_a</t>
  </si>
  <si>
    <t xml:space="preserve">https://correiaricardina-ui.github.io/questionarios/EII27_A_v1.html</t>
  </si>
  <si>
    <t xml:space="preserve">EII-27 · Forma J — Escala de Intolerância à Incerteza (versão longa, adolescentes)</t>
  </si>
  <si>
    <t xml:space="preserve">12–17 anos</t>
  </si>
  <si>
    <t xml:space="preserve">eii27_j</t>
  </si>
  <si>
    <t xml:space="preserve">q_eii27_j</t>
  </si>
  <si>
    <t xml:space="preserve">https://correiaricardina-ui.github.io/questionarios/EII27_J_v1.html</t>
  </si>
  <si>
    <t xml:space="preserve">EII-12 · Forma A — Escala de Intolerância à Incerteza (versão curta, adultos)</t>
  </si>
  <si>
    <t xml:space="preserve">Versão curta da Escala de Intolerância à Incerteza (Carleton, Norton &amp; Asmundson, 2007), destinada a rastreio, a monitorização repetida ao longo do acompanhamento e a protocolos extensos ou com adolescentes, em que a carga de resposta é uma preocupação. Autorrelato de 12 itens numa escala 1–5, TODOS no sentido directo — não existe um único item invertido. Total 12–60, com duas subescalas: Ansiedade Prospetiva (7 itens, 7–35), que descreve a orientação apreensiva para o futuro e a necessidade de antecipação, de previsibilidade e de informação completa, e Ansiedade Inibitória (5 itens, 5–25), que descreve a paralisação da ação, o adiamento e o evitamento perante a ambiguidade. Parte da literatura recomenda a leitura PREFERENCIAL do total, sustentando a existência de um fator geral robusto, pelo que a leitura por subescalas deve ser tomada como complementar e intra-individual. Tempo de aplicação de 3 a 5 minutos. ⚠ Tradução técnica de trabalho para português europeu (Via A), SEM retroversão independente e SEM estudo psicométrico em amostra nacional. ⚠ NÃO existem normas portuguesas e NÃO são aplicados pontos de corte — toda a leitura é feita em POMP e bandas descritivas por quintis da amplitude teórica, que situam a pontuação no intervalo possível do instrumento e NÃO medem gravidade clínica. ⚠ Desenvolvida e normalizada em população ADULTA: a Forma J é adaptação de registo linguístico para os 12–17 anos, sem estudo de equivalência de medida, e as pontuações das duas formas não são comparáveis entre si. ⚠ Administrada isoladamente, esta versão pode apresentar propriedades distintas das obtidas quando derivada da EII-27, por efeito de contexto de resposta: em monitorização longitudinal, manter sempre a mesma via de obtenção e não alternar entre a versão curta e a longa a meio do acompanhamento</t>
  </si>
  <si>
    <t xml:space="preserve">Total EII-12 (12–60) — saída principal, com leitura preferencial sobre as subescalas; reportado em POMP e banda descritiva, sem norma e sem ponto de corte; Ansiedade Prospetiva (7 itens, 7–35) — orientação apreensiva para o futuro: necessidade de antecipação, de previsibilidade e de informação completa; procura de informação, planeamento e verificação; Ansiedade Inibitória (5 itens, 5–25) — paralisação da ação, adiamento e evitamento perante a ambiguidade; POMP por escala (0–100) — (pontuação − mínimo) ÷ (máximo − mínimo) × 100; métrica comum que permite comparar escalas de amplitudes diferentes,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Tratamento de omissões por prorrateamento — máximo de 1 omissão no total e na Ansiedade Prospetiva e 0 na Ansiedade Inibitória; acima do limite a escala é declarada NÃO COTÁVEL, sem qualquer estimativa; Controlo de qualidade do protocolo — desvio-padrão dos itens cotados, com sinalizador de padrão de resposta invariante</t>
  </si>
  <si>
    <t xml:space="preserve">eii12_a</t>
  </si>
  <si>
    <t xml:space="preserve">q_eii12_a</t>
  </si>
  <si>
    <t xml:space="preserve">https://correiaricardina-ui.github.io/questionarios/EII12_A_v1.html</t>
  </si>
  <si>
    <t xml:space="preserve">EII-12 · Forma J — Escala de Intolerância à Incerteza (versão curta, adolescentes)</t>
  </si>
  <si>
    <t xml:space="preserve">eii12_j</t>
  </si>
  <si>
    <t xml:space="preserve">q_eii12_j</t>
  </si>
  <si>
    <t xml:space="preserve">https://correiaricardina-ui.github.io/questionarios/EII12_J_v1.html</t>
  </si>
  <si>
    <t xml:space="preserve">CAARS–S:L — Conners’ Adult ADHD Rating Scales (forma longa, auto-relato)</t>
  </si>
  <si>
    <t xml:space="preserve">Avalia a sintomatologia de Perturbação de Hiperatividade e Défice de Atenção no ADULTO através da forma longa das Conners’ Adult ADHD Rating Scales (Conners, Erhardt &amp; Sparrow, 1999; Multi-Health Systems Inc.). 66 itens numa escala 0–3 (0 = nada, nunca → 3 = muito, muito frequentemente), TODOS no sentido directo — não existe um único item invertido. Devolve oito resultados brutos: quatro escalas factoriais (A Problemas de Desatenção/Memória, B Hiperatividade/Inquietação, C Impulsividade/Labilidade Emocional, D Problemas com o Autoconceito), as duas listas de sintomas do DSM-IV (E Desatenção, F Hiperatividade-Impulsividade) e as suas derivadas (G Sintomas Totais de PHDA = E + F, H Índice de PHDA), mais o Índice de Inconsistência. ⚠ A conversão de resultado bruto em T-score NÃO é feita pela plataforma: as tabelas normativas são propriedade do editor (MHS) e a leitura faz-se nas folhas de perfil oficiais, pelo SEXO e IDADE DA PESSOA AVALIADA — nunca do observador. O T é introduzido manualmente no painel clínico do questionário, onde activa as bandas descritivas (45 · 56 · 60 · 65 · 70) e a interpretação; sem T introduzido o painel apresenta apenas resultados brutos e percentagem do máximo, em paleta azul e sem juízo de gravidade. ⚠ As bandas são convenções interpretativas, NÃO pontos de corte diagnósticos: o DSM-5-TR exige início antes dos 12 anos, presença em pelo menos dois contextos e interferência funcional. ⚠ Nenhuma das formas é padrão-ouro face à outra — a divergência entre auto-relato e heterorrelato é dado clínico a interpretar, não critério de validade. ⚠ Índice de Inconsistência ≥ 8 exige prudência interpretativa quanto à consistência do protocolo. ⚠ Instrumento sob licença (MHS): utilização reservada a quem detenha protocolo oficial e o manual. Forma de AUTO-RELATO: é a própria pessoa avaliada que descreve o seu funcionamento recente.</t>
  </si>
  <si>
    <t xml:space="preserve">A — Problemas de Desatenção/Memória (12 itens, RB 0–36): esquecimento, desorganização, dificuldade em iniciar e concluir tarefas, má estimativa do tempo | B — Hiperatividade/Inquietação (12 itens, RB 0–36): inquietação motora e interna, procura de estimulação, dificuldade em permanecer parado | C — Impulsividade/Labilidade Emocional (12 itens, RB 0–36): dizer e agir sem pensar, irritabilidade, oscilações de humor, baixa tolerância à frustração | D — Problemas com o Autoconceito (6 itens, RB 0–18): insegurança, baixa confiança nas próprias capacidades, peso dos fracassos anteriores | E — Sintomas de Desatenção do DSM-IV (9 itens, RB 0–27): correspondência item a item com o critério A1 | F — Sintomas de Hiperatividade-Impulsividade do DSM-IV (9 itens, RB 0–27): correspondência item a item com o critério A2 | G — Sintomas Totais de PHDA do DSM-IV (18 itens, RB 0–54): derivada por soma de E + F, sem itens próprios | H — Índice de PHDA (12 itens, RB 0–36): itens que melhor discriminam adultos com e sem o diagnóstico; escala de rastreio | Índice de Inconsistência (0–24): soma dos diferenciais absolutos em 8 pares de itens de conteúdo equivalente (11-49, 40-44, 20-25, 13-27, 30-47, 19-23, 6-37, 26-63); ≥ 8 exige prudência interpretativa | Grupo normativo derivado da idade da pessoa avaliada — 1: 18–29 · 2: 30–39 · 3: 40–49 · 4: ≥ 50 anos; as folhas de perfil são ainda separadas por sexo (M1–M4 / F1–F4) | Bandas descritivas por T-score, comuns às duas formas — Abaixo da média (&lt; 45) · Média (45–55) · Ligeiramente atípico (56–59) · Ligeiramente elevado (60–64) · Elevado (65–69) · Muito elevado (≥ 70) | Seis itens pertencem simultaneamente a duas escalas (19, 23, 26, 27, 40 e 63): 72 atribuições item→escala para 66 itens — soma de controlo do protocolo de cotação</t>
  </si>
  <si>
    <t xml:space="preserve">caars_sl</t>
  </si>
  <si>
    <t xml:space="preserve">q_caars_sl</t>
  </si>
  <si>
    <t xml:space="preserve">https://correiaricardina-ui.github.io/questionarios/CAARS_SL_v1.html</t>
  </si>
  <si>
    <t xml:space="preserve">CAARS–O:L — Conners’ Adult ADHD Rating Scales (forma longa, heterorrelato)</t>
  </si>
  <si>
    <t xml:space="preserve">Cônjuge/Parceiro(a), Familiar, Mãe, Pai, Outro familiar</t>
  </si>
  <si>
    <t xml:space="preserve">Avalia a sintomatologia de Perturbação de Hiperatividade e Défice de Atenção no ADULTO através da forma longa das Conners’ Adult ADHD Rating Scales (Conners, Erhardt &amp; Sparrow, 1999; Multi-Health Systems Inc.). 66 itens numa escala 0–3 (0 = nada, nunca → 3 = muito, muito frequentemente), TODOS no sentido directo — não existe um único item invertido. Devolve oito resultados brutos: quatro escalas factoriais (A Problemas de Desatenção/Memória, B Hiperatividade/Inquietação, C Impulsividade/Labilidade Emocional, D Problemas com o Autoconceito), as duas listas de sintomas do DSM-IV (E Desatenção, F Hiperatividade-Impulsividade) e as suas derivadas (G Sintomas Totais de PHDA = E + F, H Índice de PHDA), mais o Índice de Inconsistência. ⚠ A conversão de resultado bruto em T-score NÃO é feita pela plataforma: as tabelas normativas são propriedade do editor (MHS) e a leitura faz-se nas folhas de perfil oficiais, pelo SEXO e IDADE DA PESSOA AVALIADA — nunca do observador. O T é introduzido manualmente no painel clínico do questionário, onde activa as bandas descritivas (45 · 56 · 60 · 65 · 70) e a interpretação; sem T introduzido o painel apresenta apenas resultados brutos e percentagem do máximo, em paleta azul e sem juízo de gravidade. ⚠ As bandas são convenções interpretativas, NÃO pontos de corte diagnósticos: o DSM-5-TR exige início antes dos 12 anos, presença em pelo menos dois contextos e interferência funcional. ⚠ Nenhuma das formas é padrão-ouro face à outra — a divergência entre auto-relato e heterorrelato é dado clínico a interpretar, não critério de validade. ⚠ Índice de Inconsistência ≥ 8 exige prudência interpretativa quanto à consistência do protocolo. ⚠ Instrumento sob licença (MHS): utilização reservada a quem detenha protocolo oficial e o manual. Forma de HETERORRELATO: responde um observador que convive com a pessoa avaliada (cônjuge, progenitor, irmão(ã) ou outro). O tempo e a frequência de contacto são registados no próprio questionário porque um contacto limitado, ou restrito a um único contexto, reduz a validade do perfil.</t>
  </si>
  <si>
    <t xml:space="preserve">caars_ol</t>
  </si>
  <si>
    <t xml:space="preserve">q_caars_ol</t>
  </si>
  <si>
    <t xml:space="preserve">https://correiaricardina-ui.github.io/questionarios/CAARS_OL_v1.html</t>
  </si>
  <si>
    <t xml:space="preserve">EIFP — Escala de Interferência Funcional Pediátrica (Formas C e P)</t>
  </si>
  <si>
    <t xml:space="preserve">Funcionamento &amp; Interferência Funcional</t>
  </si>
  <si>
    <t xml:space="preserve">Criança/Jovem,Mãe,Pai,Enc. Educação</t>
  </si>
  <si>
    <t xml:space="preserve">Mede a INTERFERÊNCIA FUNCIONAL atribuída ao problema-alvo em três domínios de vida da criança ou adolescente, na janela dos ÚLTIMOS 7 DIAS. Instrumento ORIGINAL em português europeu (adaptação inspirada, Via B), construído a partir do enquadramento conceptual e da estrutura psicométrica da Child Sheehan Disability Scale (CSDS/CSDS-P; Whiteside, 2009), SEM reprodução de itens, instruções ou ancoragens protegidas. Duas formas na mesma aba: EIFP-C, autorrelato a partir dos 7 anos, 3 itens 0–10 (total 0–30), e EIFP-P, heterorrelato do cuidador, 5 itens 0–10 (total 0–50) em duas subescalas — Subescala I, interferência na vida da criança (2 itens, 0–20), e Subescala II, interferência na vida do cuidador e da família (3 itens, 0–30). O domínio familiar aparece UMA só vez, referido ao agregado.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As referências externas (valores z e limiar de mudança fiável) são da CSDS/CSDS-P, instrumento DISTINTO da EIFP, em amostra norte-americana predominantemente caucasiana e de escolaridade parental elevada; nas amostras comunitárias o desvio-padrão iguala ou excede a média, o que indica assimetria positiva severa e efeito de chão, pelo que os valores z NÃO são convertidos em percentis. ⚠ Whiteside não publicou α por subescala: o índice de mudança fiável só é calculável para os totais, e as subescalas ficam n.d. por construção, sem estimativa. ⚠ Os critérios grupais de Sheehan &amp; Sheehan (2008) NÃO são aplicados nesta versão pediátrica, por derivarem de ensaios com adultos. ⚠ A concordância entre informantes é habitualmente modesta na avaliação pediátrica: divergências entre a Forma C e a Forma P são perspetivas distintas, não erro de medida</t>
  </si>
  <si>
    <t xml:space="preserve">EIFP-C Total (3 itens, 0–30) — autorrelato da criança ou adolescente sobre escola, amigos e casa | EIFP-P Subescala I — interferência na vida da criança (2 itens, 0–20): escolaridade e vida social | EIFP-P Subescala II — interferência na vida do cuidador e da família (3 itens, 0–30): trabalho e vida social do cuidador, e vida familiar do agregado | EIFP-P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Distribuição da carga percebida — se se concentra na vida da criança, na do cuidador e família, ou se se distribui de forma equilibrada | Convergência entre informantes — comparação entre a média por domínio do autorrelato e a da Subescala I do heterorrelato; divergências são perspetivas distintas, não erro de medida | Índice de mudança fiável individual (ICF; Jacobson &amp; Truax, 1991) entre M1 e M2 — limiar 8,70 no total do autorrelato e 9,90 no total do heterorrelato; NÃO calculável nas subescalas, por ausência de α publicado | Posição face a referências externas (valores z face à amostra comunitária e à amostra clínica da CSDS/CSDS-P) — sem conversão percentílica, por invalidade estatística</t>
  </si>
  <si>
    <t xml:space="preserve">eifp</t>
  </si>
  <si>
    <t xml:space="preserve">q_eifp</t>
  </si>
  <si>
    <t xml:space="preserve">https://correiaricardina-ui.github.io/questionarios/EIFP_v1.html</t>
  </si>
  <si>
    <t xml:space="preserve">EIFA — Escala de Interferência Funcional em Adultos (Formas A e S)</t>
  </si>
  <si>
    <t xml:space="preserve">Próprio,Companheiro(a),Familiar</t>
  </si>
  <si>
    <t xml:space="preserve">Mede a INTERFERÊNCIA FUNCIONAL atribuída ao problema-alvo em três domínios de vida do adulto, na janela dos ÚLTIMOS 7 DIAS. Duas formas na mesma aba: EIFA-A, autorrelato do próprio, 3 itens 0–10 (total 0–30), adaptação inspirada (Via B) da Sheehan Disability Scale (Sheehan, 1983) sem reprodução de conteúdo protegido; e EIFA-S, heterorrelato do companheiro ou outra pessoa significativa, 5 itens 0–10 (total 0–50) em duas subescalas — Subescala I, interferência na vida do próprio (2 itens, 0–20), e Subescala II, interferência na vida do informante e do agregado (3 itens, 0–30) —, esta construção DE RAIZ (Via C), seguindo a solução bifatorial validada por Whiteside (2009) no heterorrelato pediátrico. O domínio familiar aparece UMA só vez, referido ao agregado, porque o casal o partilha.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As referências externas da Forma A provêm de um ensaio clínico em ADULTOS COM PHDA (Coles et al., 2014), com critérios de inclusão que restringiram a variância inicial: a média de referência de 20,5 é elevada e reflete uma amostra selecionada por gravidade, não a população geral. ⚠ A Forma S NÃO dispõe de qualquer referência publicada — não existe versão de informante validada da escala-fonte, nem normas, α, estrutura fatorial ou fidelidade conhecidos —, pelo que não são apresentados valores z nem limiar de mudança fiável e a leitura é exclusivamente por domínio e por comparação intra-sujeito entre momentos. ⚠ Os critérios de remissão (≤6), resposta (≤12) e melhoria (redução ≥4) de Sheehan &amp; Sheehan (2008) são de nível GRUPAL, derivados de médias de ensaios clínicos e não específicos de perturbação: aplicam-se apenas ao total do autorrelato e NÃO substituem o índice de mudança fiável individual, substancialmente mais exigente</t>
  </si>
  <si>
    <t xml:space="preserve">EIFA-A Total (3 itens, 0–30) — autorrelato sobre trabalho ou estudos, vida social e lazer, e vida familiar | EIFA-S Subescala I — interferência na vida do próprio (2 itens, 0–20), percebida pelo informante | EIFA-S Subescala II — interferência na vida do informante e do agregado (3 itens, 0–30) | EIFA-S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Distribuição da carga percebida — se a interferência se concentra na vida do próprio, na do informante e agregado, ou se se distribui de forma equilibrada | Convergência entre informantes — comparação entre a média por domínio do autorrelato e a da Subescala I do heterorrelato | Índice de mudança fiável individual (ICF; Jacobson &amp; Truax, 1991) entre M1 e M2 — limiar 6,99 no total do autorrelato; NÃO calculável na Forma S, por ausência de referências | Critérios de nível GRUPAL (Sheehan &amp; Sheehan, 2008), apenas no total do autorrelato — remissão ≤6, resposta ≤12, melhoria com redução ≥4; apresentados em bloco separado do índice individual, que não substituem | Posição face a referências externas (valores z face à média clínica inicial e à pós-tratamento de Coles et al., 2014) — apenas na Forma A, sem conversão percentílica</t>
  </si>
  <si>
    <t xml:space="preserve">eifa</t>
  </si>
  <si>
    <t xml:space="preserve">q_eifa</t>
  </si>
  <si>
    <t xml:space="preserve">https://correiaricardina-ui.github.io/questionarios/EIFA_v1.html</t>
  </si>
  <si>
    <t xml:space="preserve">EIFJ — Escala de Interferência Funcional em Comportamentos de Jogo (Formas J e S)</t>
  </si>
  <si>
    <t xml:space="preserve">12–99 anos</t>
  </si>
  <si>
    <t xml:space="preserve">Mede a INTERFERÊNCIA FUNCIONAL atribuída ao comportamento de jogo em três domínios de vida, na janela do ÚLTIMO MÊS (30 dias) — que DIVERGE dos sete dias da EIFP e da EIFA. Duas formas na mesma aba: EIFJ-J, autorrelato, 3 itens 0–10 (total 0–30), adaptação inspirada (Via B) da SDS-G (Hodgins, 2013; Sheehan, 1983) sem reprodução de conteúdo protegido; e EIFJ-S, heterorrelato do companheiro ou outro significativo, 5 itens 0–10 (total 0–50) em duas subescalas, construção DE RAIZ (Via C). O REFERENTE é selecionado na administração — jogo a dinheiro (CID-11 6C50) ou jogo digital (CID-11 6C51), entidades DISTINTAS — e a FORMULAÇÃO usada («o seu jogo» se não reconhece o comportamento como problema, «o seu problema de jogo» se o reconhece) deve manter-se constante em todos os itens e momentos; ambas ficam registadas.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 EIFJ mede interferência funcional, NÃO gravidade sintomática: a gravidade da Perturbação de Jogo no DSM-5-TR estabelece-se por CONTAGEM DE CRITÉRIOS, não por esta escala. ⚠ Em jogo, a MINIMIZAÇÃO e a OCULTAÇÃO são fenómenos clínicos frequentes: uma pontuação baixa no autorrelato NÃO exclui compromisso funcional objetivo e deve ser confrontada com a Forma S e com indicadores financeiros, escolares ou laborais — o painel sinaliza automaticamente as bandas Nula e Ligeira. ⚠ Em MENORES o acesso a jogo a dinheiro é ILEGAL em Portugal: a sua identificação obriga a ponderação de risco e do dever de proteção, independentemente da pontuação obtida, e o painel sinaliza-o automaticamente. ⚠ A Forma S não dispõe de qualquer referência publicada. ⚠ O α inicial reportado por Hodgins é de 0,56, abaixo do aceitável para decisão individual; adota-se α = 0,81 (12 meses), e com o α inicial o limiar de mudança fiável passaria de 9,7 para 14,7 pontos — diferença que deve constar de qualquer relatório que use o índice. ⚠ As médias de referência provêm de uma subamostra de cerca de 42 participantes seguidos nos três momentos, não de normas populacionais</t>
  </si>
  <si>
    <t xml:space="preserve">EIFJ-J Total (3 itens, 0–30) — autorrelato sobre trabalho ou estudos, vida social e lazer, e vida familiar, no último mês | EIFJ-S Subescala I — interferência na vida do próprio (2 itens, 0–20), percebida pelo informante | EIFJ-S Subescala II — interferência na vida do informante e do agregado (3 itens, 0–30) | EIFJ-S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Referente registado — jogo a dinheiro (CID-11 6C50) ou jogo digital (CID-11 6C51); entidades distintas, cuja escolha condiciona a interpretação e consta do relatório | Formulação registada — «o seu jogo» ou «o seu problema de jogo», mantida constante entre momentos e passada automaticamente à terceira pessoa no heterorrelato | Sinalizador de minimização — aviso automático sempre que o autorrelato cai nas bandas Nula ou Ligeira, por a pontuação baixa não ser, neste quadro, informação tranquilizadora | Sinalizador de menor com jogo a dinheiro — aviso automático em vermelho quando a idade é inferior a 18 anos e o referente é jogo a dinheiro, independentemente da pontuação obtida | Índice de mudança fiável individual (ICF; Jacobson &amp; Truax, 1991) entre M1 e M2 — limiar 9,67 no total do autorrelato; NÃO calculável na Forma S, por ausência de referências | Critérios de nível GRUPAL (Sheehan &amp; Sheehan, 2008), apenas no total do autorrelato — remissão ≤6, resposta ≤12, melhoria com redução ≥4; em bloco separado do índice individual | Posição face a referências externas (valores z face à avaliação inicial e ao seguimento aos 12 meses de Hodgins, 2013) — apenas na Forma J, sem conversão percentílica</t>
  </si>
  <si>
    <t xml:space="preserve">eifj</t>
  </si>
  <si>
    <t xml:space="preserve">q_eifj</t>
  </si>
  <si>
    <t xml:space="preserve">https://correiaricardina-ui.github.io/questionarios/EIFJ_v1.html</t>
  </si>
  <si>
    <t xml:space="preserve">Resumo por Área Clínica (recalcula automaticamente)</t>
  </si>
  <si>
    <t xml:space="preserve">Nº de instrumentos</t>
  </si>
  <si>
    <t xml:space="preserve">% do total</t>
  </si>
  <si>
    <t xml:space="preserve">TOTAL CATALOGADO</t>
  </si>
  <si>
    <t xml:space="preserve">Verificação de integridade</t>
  </si>
  <si>
    <t xml:space="preserve">Soma por área = total catalogado?</t>
  </si>
  <si>
    <t xml:space="preserve">Fluxo de trabalho — integração de um novo instrumento</t>
  </si>
  <si>
    <t xml:space="preserve">Passo</t>
  </si>
  <si>
    <t xml:space="preserve">Ação</t>
  </si>
  <si>
    <t xml:space="preserve">Notas / regras</t>
  </si>
  <si>
    <t xml:space="preserve">1 · HTML</t>
  </si>
  <si>
    <t xml:space="preserve">Construir o HTML do questionário</t>
  </si>
  <si>
    <t xml:space="preserve">Validar a lógica de scoring em Python/Node ANTES de escrever o HTML. Um instrumento de cada vez.</t>
  </si>
  <si>
    <t xml:space="preserve">2 · RC</t>
  </si>
  <si>
    <t xml:space="preserve">Integrar no painel RC (RC_Avaliacao_Pacientes)</t>
  </si>
  <si>
    <t xml:space="preserve">Acrescentar a entrada ao array defaults e ao HEADERS/buildRow. Estritamente aditivo (zero remocoes). Nunca renomear ficheiros HTML ja publicados.</t>
  </si>
  <si>
    <t xml:space="preserve">3 · Apps Script</t>
  </si>
  <si>
    <t xml:space="preserve">Atualizar o Apps Script + Google Sheet</t>
  </si>
  <si>
    <t xml:space="preserve">Criar o separador da Sheet (syncKey) e redeploy SOBRE o mesmo URL permanente. Nunca criar um deployment novo (muda o URL e parte tudo).</t>
  </si>
  <si>
    <t xml:space="preserve">4 · Excel</t>
  </si>
  <si>
    <t xml:space="preserve">Atualizar este catalogo (RC_Catalogo_Questionarios.xlsx)</t>
  </si>
  <si>
    <t xml:space="preserve">Acrescentar uma linha no fim da tabela «Catalogo» (a tabela expande sozinha). Preencher todas as colunas; expandir as siglas dos dominios por extenso.</t>
  </si>
  <si>
    <t xml:space="preserve">Como atualizar este catálogo</t>
  </si>
  <si>
    <t xml:space="preserve">1.</t>
  </si>
  <si>
    <t xml:space="preserve">Na folha «Catalogo», acrescente uma linha logo a seguir a ultima (a tabela expande automaticamente). Nao deixe linhas em branco no meio.</t>
  </si>
  <si>
    <t xml:space="preserve">2.</t>
  </si>
  <si>
    <t xml:space="preserve">Preencha as colunas B a M. A coluna «Nº» (A) renumera-se sozinha - nao a edite.</t>
  </si>
  <si>
    <t xml:space="preserve">3.</t>
  </si>
  <si>
    <t xml:space="preserve">Idade min/max em anos servem para filtrar: use 0 quando comeca no nascimento e 99 quando nao ha limite superior. A coluna «Faixa etaria» fica em texto legivel.</t>
  </si>
  <si>
    <t xml:space="preserve">4.</t>
  </si>
  <si>
    <t xml:space="preserve">Use o mesmo «syncKey» do Apps Script e o «ID interno» (q_…) do array defaults. Expanda as siglas dos dominios por extenso.</t>
  </si>
  <si>
    <t xml:space="preserve">5.</t>
  </si>
  <si>
    <t xml:space="preserve">Reutilize uma «Area Clinica» existente sempre que possivel. Se criar uma AREA nova, acrescente uma linha na folha «Resumo por Area» (a verificacao de integridade avisa se faltar).</t>
  </si>
  <si>
    <t xml:space="preserve">6.</t>
  </si>
  <si>
    <t xml:space="preserve">Pesquisar/filtrar: clique na seta de qualquer cabecalho. Para «o que avalia X anos na dimensao Y», filtre Area + Idade min &lt;= X + Idade max &gt;= X.</t>
  </si>
  <si>
    <t xml:space="preserve">Fonte:</t>
  </si>
  <si>
    <t xml:space="preserve">Gerado a partir do array «defaults» de RC_Avaliacao_Pacientes (138 instrumentos). Dominios expandidos a partir das folhas de cotacao de cada instrumento.</t>
  </si>
  <si>
    <t xml:space="preserve">Nota:</t>
  </si>
  <si>
    <t xml:space="preserve">Catalogo de gestao interna. Em saida clinica usar sempre «Ricardina Correia · OPP 8233».</t>
  </si>
</sst>
</file>

<file path=xl/styles.xml><?xml version="1.0" encoding="utf-8"?>
<styleSheet xmlns="http://schemas.openxmlformats.org/spreadsheetml/2006/main">
  <numFmts count="3">
    <numFmt numFmtId="164" formatCode="General"/>
    <numFmt numFmtId="165" formatCode="General"/>
    <numFmt numFmtId="166" formatCode="0.0%"/>
  </numFmts>
  <fonts count="14">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A6B7B"/>
      <name val="Arial"/>
      <family val="0"/>
      <charset val="1"/>
    </font>
    <font>
      <b val="true"/>
      <sz val="10"/>
      <color rgb="FFFFFFFF"/>
      <name val="Arial"/>
      <family val="0"/>
      <charset val="1"/>
    </font>
    <font>
      <sz val="9"/>
      <name val="Arial"/>
      <family val="0"/>
      <charset val="1"/>
    </font>
    <font>
      <u val="single"/>
      <sz val="9"/>
      <color rgb="FF1155CC"/>
      <name val="Arial"/>
      <family val="0"/>
      <charset val="1"/>
    </font>
    <font>
      <b val="true"/>
      <sz val="12"/>
      <color rgb="FFFFFFFF"/>
      <name val="Arial"/>
      <family val="0"/>
      <charset val="1"/>
    </font>
    <font>
      <sz val="10"/>
      <name val="Arial"/>
      <family val="0"/>
      <charset val="1"/>
    </font>
    <font>
      <b val="true"/>
      <sz val="10"/>
      <name val="Arial"/>
      <family val="0"/>
      <charset val="1"/>
    </font>
    <font>
      <b val="true"/>
      <sz val="9"/>
      <color rgb="FF3B5A7A"/>
      <name val="Arial"/>
      <family val="0"/>
      <charset val="1"/>
    </font>
    <font>
      <b val="true"/>
      <sz val="10"/>
      <color rgb="FF3B5A7A"/>
      <name val="Arial"/>
      <family val="0"/>
      <charset val="1"/>
    </font>
  </fonts>
  <fills count="4">
    <fill>
      <patternFill patternType="none"/>
    </fill>
    <fill>
      <patternFill patternType="gray125"/>
    </fill>
    <fill>
      <patternFill patternType="solid">
        <fgColor rgb="FF3B5A7A"/>
        <bgColor rgb="FF5A6B7B"/>
      </patternFill>
    </fill>
    <fill>
      <patternFill patternType="solid">
        <fgColor rgb="FFEAF0F6"/>
        <bgColor rgb="FFFFFFFF"/>
      </patternFill>
    </fill>
  </fills>
  <borders count="2">
    <border diagonalUp="false" diagonalDown="false">
      <left/>
      <right/>
      <top/>
      <bottom/>
      <diagonal/>
    </border>
    <border diagonalUp="false" diagonalDown="false">
      <left style="thin">
        <color rgb="FFD6DDE5"/>
      </left>
      <right style="thin">
        <color rgb="FFD6DDE5"/>
      </right>
      <top style="thin">
        <color rgb="FFD6DDE5"/>
      </top>
      <bottom style="thin">
        <color rgb="FFD6DD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false" indent="0" shrinkToFit="false"/>
      <protection locked="true" hidden="false"/>
    </xf>
    <xf numFmtId="166" fontId="0" fillId="0" borderId="1" xfId="0" applyFont="false" applyBorder="true" applyAlignment="true" applyProtection="false">
      <alignment horizontal="general" vertical="center"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B5A7A"/>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0F6"/>
      <rgbColor rgb="FF660066"/>
      <rgbColor rgb="FFFF8080"/>
      <rgbColor rgb="FF1155CC"/>
      <rgbColor rgb="FFD6D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003300"/>
      <rgbColor rgb="FF333300"/>
      <rgbColor rgb="FF993300"/>
      <rgbColor rgb="FF993366"/>
      <rgbColor rgb="FF3B5A7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Catalogo" displayName="Catalogo" ref="A3:M197" headerRowCount="1" totalsRowCount="0" totalsRowShown="0">
  <autoFilter ref="A3:M197"/>
  <tableColumns count="13">
    <tableColumn id="1" name="Nº"/>
    <tableColumn id="2" name="Nome do Instrumento"/>
    <tableColumn id="3" name="Área Clínica"/>
    <tableColumn id="4" name="Destinatários"/>
    <tableColumn id="5" name="Faixa etária"/>
    <tableColumn id="6" name="Idade mín (anos)"/>
    <tableColumn id="7" name="Idade máx (anos)"/>
    <tableColumn id="8" name="Nº domínios"/>
    <tableColumn id="9" name="Objetivo clínico"/>
    <tableColumn id="10" name="Domínios / Subescalas (por extenso)"/>
    <tableColumn id="11" name="syncKey (Sheet)"/>
    <tableColumn id="12" name="ID interno"/>
    <tableColumn id="13" name="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orreiaricardina-ui.github.io/questionarios/ABAS3_PreEscolar_Educador.html" TargetMode="External"/><Relationship Id="rId2" Type="http://schemas.openxmlformats.org/officeDocument/2006/relationships/hyperlink" Target="https://correiaricardina-ui.github.io/questionarios/ABAS3_PreEscolar.html" TargetMode="External"/><Relationship Id="rId3" Type="http://schemas.openxmlformats.org/officeDocument/2006/relationships/hyperlink" Target="https://correiaricardina-ui.github.io/questionarios/ABAS3_Professor_v2.html" TargetMode="External"/><Relationship Id="rId4" Type="http://schemas.openxmlformats.org/officeDocument/2006/relationships/hyperlink" Target="https://correiaricardina-ui.github.io/questionarios/ABAS3_Pais_v2.html" TargetMode="External"/><Relationship Id="rId5" Type="http://schemas.openxmlformats.org/officeDocument/2006/relationships/hyperlink" Target="https://correiaricardina-ui.github.io/questionarios/AQ_Child_v1.html" TargetMode="External"/><Relationship Id="rId6" Type="http://schemas.openxmlformats.org/officeDocument/2006/relationships/hyperlink" Target="https://correiaricardina-ui.github.io/questionarios/Anamnese_HP_v1.html" TargetMode="External"/><Relationship Id="rId7" Type="http://schemas.openxmlformats.org/officeDocument/2006/relationships/hyperlink" Target="https://correiaricardina-ui.github.io/questionarios/Anamnese_complementar_v2.html" TargetMode="External"/><Relationship Id="rId8" Type="http://schemas.openxmlformats.org/officeDocument/2006/relationships/hyperlink" Target="https://correiaricardina-ui.github.io/questionarios/AQ_BussPerry_v1.html" TargetMode="External"/><Relationship Id="rId9" Type="http://schemas.openxmlformats.org/officeDocument/2006/relationships/hyperlink" Target="https://correiaricardina-ui.github.io/questionarios/LDS_v2.html" TargetMode="External"/><Relationship Id="rId10" Type="http://schemas.openxmlformats.org/officeDocument/2006/relationships/hyperlink" Target="https://correiaricardina-ui.github.io/questionarios/CBCL_15_v5.html" TargetMode="External"/><Relationship Id="rId11" Type="http://schemas.openxmlformats.org/officeDocument/2006/relationships/hyperlink" Target="https://correiaricardina-ui.github.io/questionarios/CBCL_618_v1.html" TargetMode="External"/><Relationship Id="rId12" Type="http://schemas.openxmlformats.org/officeDocument/2006/relationships/hyperlink" Target="https://correiaricardina-ui.github.io/questionarios/TRF_618_v1.html" TargetMode="External"/><Relationship Id="rId13" Type="http://schemas.openxmlformats.org/officeDocument/2006/relationships/hyperlink" Target="https://correiaricardina-ui.github.io/questionarios/YSR_1118_v2.html" TargetMode="External"/><Relationship Id="rId14" Type="http://schemas.openxmlformats.org/officeDocument/2006/relationships/hyperlink" Target="https://correiaricardina-ui.github.io/questionarios/BAS3_v1.html" TargetMode="External"/><Relationship Id="rId15" Type="http://schemas.openxmlformats.org/officeDocument/2006/relationships/hyperlink" Target="https://correiaricardina-ui.github.io/questionarios/BESAA_v1.html" TargetMode="External"/><Relationship Id="rId16" Type="http://schemas.openxmlformats.org/officeDocument/2006/relationships/hyperlink" Target="https://correiaricardina-ui.github.io/questionarios/BRIEF_Autoavaliacao_v2.html" TargetMode="External"/><Relationship Id="rId17" Type="http://schemas.openxmlformats.org/officeDocument/2006/relationships/hyperlink" Target="https://correiaricardina-ui.github.io/questionarios/BRIEF_Pais_v5.html" TargetMode="External"/><Relationship Id="rId18" Type="http://schemas.openxmlformats.org/officeDocument/2006/relationships/hyperlink" Target="https://correiaricardina-ui.github.io/questionarios/BRIEF_Professores_v3.html" TargetMode="External"/><Relationship Id="rId19" Type="http://schemas.openxmlformats.org/officeDocument/2006/relationships/hyperlink" Target="https://correiaricardina-ui.github.io/questionarios/BRIEF_PreEscolar_Pais_v2.html" TargetMode="External"/><Relationship Id="rId20" Type="http://schemas.openxmlformats.org/officeDocument/2006/relationships/hyperlink" Target="https://correiaricardina-ui.github.io/questionarios/BRIEF_PreEscolar_Professores_v2.html" TargetMode="External"/><Relationship Id="rId21" Type="http://schemas.openxmlformats.org/officeDocument/2006/relationships/hyperlink" Target="https://correiaricardina-ui.github.io/questionarios/CSSRS_v1.html" TargetMode="External"/><Relationship Id="rId22" Type="http://schemas.openxmlformats.org/officeDocument/2006/relationships/hyperlink" Target="https://correiaricardina-ui.github.io/questionarios/CABS_Autorrelato.html" TargetMode="External"/><Relationship Id="rId23" Type="http://schemas.openxmlformats.org/officeDocument/2006/relationships/hyperlink" Target="https://correiaricardina-ui.github.io/questionarios/CABS_Heterorrelato.html" TargetMode="External"/><Relationship Id="rId24" Type="http://schemas.openxmlformats.org/officeDocument/2006/relationships/hyperlink" Target="https://correiaricardina-ui.github.io/questionarios/CARS2-HP_v1.html" TargetMode="External"/><Relationship Id="rId25" Type="http://schemas.openxmlformats.org/officeDocument/2006/relationships/hyperlink" Target="https://correiaricardina-ui.github.io/questionarios/CARS2-QPC_v1.html" TargetMode="External"/><Relationship Id="rId26" Type="http://schemas.openxmlformats.org/officeDocument/2006/relationships/hyperlink" Target="https://correiaricardina-ui.github.io/questionarios/CARS2-ST_v1.html" TargetMode="External"/><Relationship Id="rId27" Type="http://schemas.openxmlformats.org/officeDocument/2006/relationships/hyperlink" Target="https://correiaricardina-ui.github.io/questionarios/CERQ_18_v1.html" TargetMode="External"/><Relationship Id="rId28" Type="http://schemas.openxmlformats.org/officeDocument/2006/relationships/hyperlink" Target="https://correiaricardina-ui.github.io/questionarios/CDI2_SR_v1.html" TargetMode="External"/><Relationship Id="rId29" Type="http://schemas.openxmlformats.org/officeDocument/2006/relationships/hyperlink" Target="https://correiaricardina-ui.github.io/questionarios/CERQ_36_v1.html" TargetMode="External"/><Relationship Id="rId30" Type="http://schemas.openxmlformats.org/officeDocument/2006/relationships/hyperlink" Target="https://correiaricardina-ui.github.io/questionarios/CERQ_K_v1.html" TargetMode="External"/><Relationship Id="rId31" Type="http://schemas.openxmlformats.org/officeDocument/2006/relationships/hyperlink" Target="https://correiaricardina-ui.github.io/questionarios/DERS_v1.html" TargetMode="External"/><Relationship Id="rId32" Type="http://schemas.openxmlformats.org/officeDocument/2006/relationships/hyperlink" Target="https://correiaricardina-ui.github.io/questionarios/ChEAT_v1.html" TargetMode="External"/><Relationship Id="rId33" Type="http://schemas.openxmlformats.org/officeDocument/2006/relationships/hyperlink" Target="https://correiaricardina-ui.github.io/questionarios/checklist_obs_medicacao_PHDA_casa.html" TargetMode="External"/><Relationship Id="rId34" Type="http://schemas.openxmlformats.org/officeDocument/2006/relationships/hyperlink" Target="https://correiaricardina-ui.github.io/questionarios/checklist_obs_medicacao_PHDA_escola.html" TargetMode="External"/><Relationship Id="rId35" Type="http://schemas.openxmlformats.org/officeDocument/2006/relationships/hyperlink" Target="https://correiaricardina-ui.github.io/questionarios/CMAS_R_v1.html" TargetMode="External"/><Relationship Id="rId36" Type="http://schemas.openxmlformats.org/officeDocument/2006/relationships/hyperlink" Target="https://correiaricardina-ui.github.io/questionarios/Collins_Silhuetas.html" TargetMode="External"/><Relationship Id="rId37" Type="http://schemas.openxmlformats.org/officeDocument/2006/relationships/hyperlink" Target="https://correiaricardina-ui.github.io/questionarios/COMPA_A_Mae.html" TargetMode="External"/><Relationship Id="rId38" Type="http://schemas.openxmlformats.org/officeDocument/2006/relationships/hyperlink" Target="https://correiaricardina-ui.github.io/questionarios/COMPA_A_Pai.html" TargetMode="External"/><Relationship Id="rId39" Type="http://schemas.openxmlformats.org/officeDocument/2006/relationships/hyperlink" Target="https://correiaricardina-ui.github.io/questionarios/COMPA_C_Mae.html" TargetMode="External"/><Relationship Id="rId40" Type="http://schemas.openxmlformats.org/officeDocument/2006/relationships/hyperlink" Target="https://correiaricardina-ui.github.io/questionarios/COMPA_C_Pai.html" TargetMode="External"/><Relationship Id="rId41" Type="http://schemas.openxmlformats.org/officeDocument/2006/relationships/hyperlink" Target="https://correiaricardina-ui.github.io/questionarios/COMPA_P.html" TargetMode="External"/><Relationship Id="rId42" Type="http://schemas.openxmlformats.org/officeDocument/2006/relationships/hyperlink" Target="https://correiaricardina-ui.github.io/questionarios/Conners3_Pais_Full.html" TargetMode="External"/><Relationship Id="rId43" Type="http://schemas.openxmlformats.org/officeDocument/2006/relationships/hyperlink" Target="https://correiaricardina-ui.github.io/questionarios/Conners3_Pais_Short.html" TargetMode="External"/><Relationship Id="rId44" Type="http://schemas.openxmlformats.org/officeDocument/2006/relationships/hyperlink" Target="https://correiaricardina-ui.github.io/questionarios/Conners3_Professores_Full.html" TargetMode="External"/><Relationship Id="rId45" Type="http://schemas.openxmlformats.org/officeDocument/2006/relationships/hyperlink" Target="https://correiaricardina-ui.github.io/questionarios/Conners3_Professores_Short.html" TargetMode="External"/><Relationship Id="rId46" Type="http://schemas.openxmlformats.org/officeDocument/2006/relationships/hyperlink" Target="https://correiaricardina-ui.github.io/questionarios/MDQ_v1.html" TargetMode="External"/><Relationship Id="rId47" Type="http://schemas.openxmlformats.org/officeDocument/2006/relationships/hyperlink" Target="https://correiaricardina-ui.github.io/questionarios/C-SSRS-DC_DeficeCognitivo_v1.html" TargetMode="External"/><Relationship Id="rId48" Type="http://schemas.openxmlformats.org/officeDocument/2006/relationships/hyperlink" Target="https://correiaricardina-ui.github.io/questionarios/C-SSRS-P_Pediatrica_v1.html" TargetMode="External"/><Relationship Id="rId49" Type="http://schemas.openxmlformats.org/officeDocument/2006/relationships/hyperlink" Target="https://correiaricardina-ui.github.io/questionarios/UCLA_PTSD_Adaptado.html" TargetMode="External"/><Relationship Id="rId50" Type="http://schemas.openxmlformats.org/officeDocument/2006/relationships/hyperlink" Target="https://correiaricardina-ui.github.io/questionarios/CTRF_15_v2.html" TargetMode="External"/><Relationship Id="rId51" Type="http://schemas.openxmlformats.org/officeDocument/2006/relationships/hyperlink" Target="https://correiaricardina-ui.github.io/questionarios/ERC_Pais_v1.html" TargetMode="External"/><Relationship Id="rId52" Type="http://schemas.openxmlformats.org/officeDocument/2006/relationships/hyperlink" Target="https://correiaricardina-ui.github.io/questionarios/ABAS3_Autorrelato_v1.html" TargetMode="External"/><Relationship Id="rId53" Type="http://schemas.openxmlformats.org/officeDocument/2006/relationships/hyperlink" Target="https://correiaricardina-ui.github.io/questionarios/DIVA5_v1.html" TargetMode="External"/><Relationship Id="rId54" Type="http://schemas.openxmlformats.org/officeDocument/2006/relationships/hyperlink" Target="https://correiaricardina-ui.github.io/questionarios/EAFE_v2.html" TargetMode="External"/><Relationship Id="rId55" Type="http://schemas.openxmlformats.org/officeDocument/2006/relationships/hyperlink" Target="https://correiaricardina-ui.github.io/questionarios/EAT26_v2.html" TargetMode="External"/><Relationship Id="rId56" Type="http://schemas.openxmlformats.org/officeDocument/2006/relationships/hyperlink" Target="https://correiaricardina-ui.github.io/questionarios/ECE-FEA.html" TargetMode="External"/><Relationship Id="rId57" Type="http://schemas.openxmlformats.org/officeDocument/2006/relationships/hyperlink" Target="https://correiaricardina-ui.github.io/questionarios/EDEQ_v1.html" TargetMode="External"/><Relationship Id="rId58" Type="http://schemas.openxmlformats.org/officeDocument/2006/relationships/hyperlink" Target="https://correiaricardina-ui.github.io/questionarios/EMP_HF_v1.html" TargetMode="External"/><Relationship Id="rId59" Type="http://schemas.openxmlformats.org/officeDocument/2006/relationships/hyperlink" Target="https://correiaricardina-ui.github.io/questionarios/JTCI_92.html" TargetMode="External"/><Relationship Id="rId60" Type="http://schemas.openxmlformats.org/officeDocument/2006/relationships/hyperlink" Target="https://correiaricardina-ui.github.io/questionarios/EPCAS_PE_v1.html" TargetMode="External"/><Relationship Id="rId61" Type="http://schemas.openxmlformats.org/officeDocument/2006/relationships/hyperlink" Target="https://correiaricardina-ui.github.io/questionarios/ERC_Professores_v1.html" TargetMode="External"/><Relationship Id="rId62" Type="http://schemas.openxmlformats.org/officeDocument/2006/relationships/hyperlink" Target="https://correiaricardina-ui.github.io/questionarios/ERICA_v1.html" TargetMode="External"/><Relationship Id="rId63" Type="http://schemas.openxmlformats.org/officeDocument/2006/relationships/hyperlink" Target="https://correiaricardina-ui.github.io/questionarios/ERQ_CA_v1.html" TargetMode="External"/><Relationship Id="rId64" Type="http://schemas.openxmlformats.org/officeDocument/2006/relationships/hyperlink" Target="https://correiaricardina-ui.github.io/questionarios/ISC24.html" TargetMode="External"/><Relationship Id="rId65" Type="http://schemas.openxmlformats.org/officeDocument/2006/relationships/hyperlink" Target="https://correiaricardina-ui.github.io/questionarios/FACES_IV_adap.html" TargetMode="External"/><Relationship Id="rId66" Type="http://schemas.openxmlformats.org/officeDocument/2006/relationships/hyperlink" Target="https://correiaricardina-ui.github.io/questionarios/FAD_60_v1.html" TargetMode="External"/><Relationship Id="rId67" Type="http://schemas.openxmlformats.org/officeDocument/2006/relationships/hyperlink" Target="https://correiaricardina-ui.github.io/questionarios/FAD_GF_v2.html" TargetMode="External"/><Relationship Id="rId68" Type="http://schemas.openxmlformats.org/officeDocument/2006/relationships/hyperlink" Target="https://correiaricardina-ui.github.io/questionarios/FAS_CR_Adolescencia.html" TargetMode="External"/><Relationship Id="rId69" Type="http://schemas.openxmlformats.org/officeDocument/2006/relationships/hyperlink" Target="https://correiaricardina-ui.github.io/questionarios/FAS_CR_Infancia.html" TargetMode="External"/><Relationship Id="rId70" Type="http://schemas.openxmlformats.org/officeDocument/2006/relationships/hyperlink" Target="https://correiaricardina-ui.github.io/questionarios/FAS_Parental.html" TargetMode="External"/><Relationship Id="rId71" Type="http://schemas.openxmlformats.org/officeDocument/2006/relationships/hyperlink" Target="https://correiaricardina-ui.github.io/questionarios/FASA_CR_Adolescencia.html" TargetMode="External"/><Relationship Id="rId72" Type="http://schemas.openxmlformats.org/officeDocument/2006/relationships/hyperlink" Target="https://correiaricardina-ui.github.io/questionarios/FASA_CR_Infancia.html" TargetMode="External"/><Relationship Id="rId73" Type="http://schemas.openxmlformats.org/officeDocument/2006/relationships/hyperlink" Target="https://correiaricardina-ui.github.io/questionarios/FASA_Parental.html" TargetMode="External"/><Relationship Id="rId74" Type="http://schemas.openxmlformats.org/officeDocument/2006/relationships/hyperlink" Target="https://correiaricardina-ui.github.io/questionarios/FSSC_R_v1.html" TargetMode="External"/><Relationship Id="rId75" Type="http://schemas.openxmlformats.org/officeDocument/2006/relationships/hyperlink" Target="https://correiaricardina-ui.github.io/questionarios/IIM_Criancas_v1.html" TargetMode="External"/><Relationship Id="rId76" Type="http://schemas.openxmlformats.org/officeDocument/2006/relationships/hyperlink" Target="https://correiaricardina-ui.github.io/questionarios/IIM_Heterorrelato_v1.html" TargetMode="External"/><Relationship Id="rId77" Type="http://schemas.openxmlformats.org/officeDocument/2006/relationships/hyperlink" Target="https://correiaricardina-ui.github.io/questionarios/IMC_C.html" TargetMode="External"/><Relationship Id="rId78" Type="http://schemas.openxmlformats.org/officeDocument/2006/relationships/hyperlink" Target="https://correiaricardina-ui.github.io/questionarios/IPP-R_v1.html" TargetMode="External"/><Relationship Id="rId79" Type="http://schemas.openxmlformats.org/officeDocument/2006/relationships/hyperlink" Target="https://correiaricardina-ui.github.io/questionarios/IVP_Super_v1.html" TargetMode="External"/><Relationship Id="rId80" Type="http://schemas.openxmlformats.org/officeDocument/2006/relationships/hyperlink" Target="https://correiaricardina-ui.github.io/questionarios/ISAS_v1.html" TargetMode="External"/><Relationship Id="rId81" Type="http://schemas.openxmlformats.org/officeDocument/2006/relationships/hyperlink" Target="https://correiaricardina-ui.github.io/questionarios/Kidcope_Adolescentes_v1.html" TargetMode="External"/><Relationship Id="rId82" Type="http://schemas.openxmlformats.org/officeDocument/2006/relationships/hyperlink" Target="https://correiaricardina-ui.github.io/questionarios/ISS_ESI_v1.html" TargetMode="External"/><Relationship Id="rId83" Type="http://schemas.openxmlformats.org/officeDocument/2006/relationships/hyperlink" Target="https://correiaricardina-ui.github.io/questionarios/SDS_Holland.html" TargetMode="External"/><Relationship Id="rId84" Type="http://schemas.openxmlformats.org/officeDocument/2006/relationships/hyperlink" Target="https://correiaricardina-ui.github.io/questionarios/NEO_PIR_v1.html" TargetMode="External"/><Relationship Id="rId85" Type="http://schemas.openxmlformats.org/officeDocument/2006/relationships/hyperlink" Target="https://correiaricardina-ui.github.io/questionarios/Kidcope_Criancas_v1.html" TargetMode="External"/><Relationship Id="rId86" Type="http://schemas.openxmlformats.org/officeDocument/2006/relationships/hyperlink" Target="https://correiaricardina-ui.github.io/questionarios/TAS20_v7.html" TargetMode="External"/><Relationship Id="rId87" Type="http://schemas.openxmlformats.org/officeDocument/2006/relationships/hyperlink" Target="https://correiaricardina-ui.github.io/questionarios/PS2_Escola_v1.html" TargetMode="External"/><Relationship Id="rId88" Type="http://schemas.openxmlformats.org/officeDocument/2006/relationships/hyperlink" Target="https://correiaricardina-ui.github.io/questionarios/MAP_ParentalAvaliacaoSistemica_1214_v1.html" TargetMode="External"/><Relationship Id="rId89" Type="http://schemas.openxmlformats.org/officeDocument/2006/relationships/hyperlink" Target="https://correiaricardina-ui.github.io/questionarios/MAP_ParentalAvaliacaoSistemica_1518_v1.html" TargetMode="External"/><Relationship Id="rId90" Type="http://schemas.openxmlformats.org/officeDocument/2006/relationships/hyperlink" Target="https://correiaricardina-ui.github.io/questionarios/MAP_ParentalAvaliacaoSistemica_v1.html" TargetMode="External"/><Relationship Id="rId91" Type="http://schemas.openxmlformats.org/officeDocument/2006/relationships/hyperlink" Target="https://correiaricardina-ui.github.io/questionarios/MAP_ParentalAvaliacaoSistemica_PI_v1.html" TargetMode="External"/><Relationship Id="rId92" Type="http://schemas.openxmlformats.org/officeDocument/2006/relationships/hyperlink" Target="https://correiaricardina-ui.github.io/questionarios/MBI-SS_v1.html" TargetMode="External"/><Relationship Id="rId93" Type="http://schemas.openxmlformats.org/officeDocument/2006/relationships/hyperlink" Target="https://correiaricardina-ui.github.io/questionarios/M-CHAT-R-F_v1.html" TargetMode="External"/><Relationship Id="rId94" Type="http://schemas.openxmlformats.org/officeDocument/2006/relationships/hyperlink" Target="https://correiaricardina-ui.github.io/questionarios/MCP_Breve.html" TargetMode="External"/><Relationship Id="rId95" Type="http://schemas.openxmlformats.org/officeDocument/2006/relationships/hyperlink" Target="https://correiaricardina-ui.github.io/questionarios/MCP_Completo.html" TargetMode="External"/><Relationship Id="rId96" Type="http://schemas.openxmlformats.org/officeDocument/2006/relationships/hyperlink" Target="https://correiaricardina-ui.github.io/questionarios/C-SSRS-A_Adolescente_v1.html" TargetMode="External"/><Relationship Id="rId97" Type="http://schemas.openxmlformats.org/officeDocument/2006/relationships/hyperlink" Target="https://correiaricardina-ui.github.io/questionarios/PAI_adult_final.html" TargetMode="External"/><Relationship Id="rId98" Type="http://schemas.openxmlformats.org/officeDocument/2006/relationships/hyperlink" Target="https://correiaricardina-ui.github.io/questionarios/OCI_CV_R_v1.html" TargetMode="External"/><Relationship Id="rId99" Type="http://schemas.openxmlformats.org/officeDocument/2006/relationships/hyperlink" Target="https://correiaricardina-ui.github.io/questionarios/OCI_R_v1.html" TargetMode="External"/><Relationship Id="rId100" Type="http://schemas.openxmlformats.org/officeDocument/2006/relationships/hyperlink" Target="https://correiaricardina-ui.github.io/questionarios/PAI_A_final.html" TargetMode="External"/><Relationship Id="rId101" Type="http://schemas.openxmlformats.org/officeDocument/2006/relationships/hyperlink" Target="https://correiaricardina-ui.github.io/questionarios/QEA_questionario.html" TargetMode="External"/><Relationship Id="rId102" Type="http://schemas.openxmlformats.org/officeDocument/2006/relationships/hyperlink" Target="https://correiaricardina-ui.github.io/questionarios/PALS_Student_2-3ciclo_v1.html" TargetMode="External"/><Relationship Id="rId103" Type="http://schemas.openxmlformats.org/officeDocument/2006/relationships/hyperlink" Target="https://correiaricardina-ui.github.io/questionarios/PALS_Student_Secundario_v1.html" TargetMode="External"/><Relationship Id="rId104" Type="http://schemas.openxmlformats.org/officeDocument/2006/relationships/hyperlink" Target="https://correiaricardina-ui.github.io/questionarios/PALS_Student_2-3ciclo_Reduzido_v1.html" TargetMode="External"/><Relationship Id="rId105" Type="http://schemas.openxmlformats.org/officeDocument/2006/relationships/hyperlink" Target="https://correiaricardina-ui.github.io/questionarios/PALS_Student_Secundario_Reduzido_v1.html" TargetMode="External"/><Relationship Id="rId106" Type="http://schemas.openxmlformats.org/officeDocument/2006/relationships/hyperlink" Target="https://correiaricardina-ui.github.io/questionarios/PALS_Parent_v1.html" TargetMode="External"/><Relationship Id="rId107" Type="http://schemas.openxmlformats.org/officeDocument/2006/relationships/hyperlink" Target="https://correiaricardina-ui.github.io/questionarios/PALS_Parent_Reduzido_v1.html" TargetMode="External"/><Relationship Id="rId108" Type="http://schemas.openxmlformats.org/officeDocument/2006/relationships/hyperlink" Target="https://correiaricardina-ui.github.io/questionarios/PALS_Teacher_v1.html" TargetMode="External"/><Relationship Id="rId109" Type="http://schemas.openxmlformats.org/officeDocument/2006/relationships/hyperlink" Target="https://correiaricardina-ui.github.io/questionarios/PALS_Teacher_Reduzido_v1.html" TargetMode="External"/><Relationship Id="rId110" Type="http://schemas.openxmlformats.org/officeDocument/2006/relationships/hyperlink" Target="https://correiaricardina-ui.github.io/questionarios/PPGRJ_v1.html" TargetMode="External"/><Relationship Id="rId111" Type="http://schemas.openxmlformats.org/officeDocument/2006/relationships/hyperlink" Target="https://correiaricardina-ui.github.io/questionarios/PS2_Pais_v1.html" TargetMode="External"/><Relationship Id="rId112" Type="http://schemas.openxmlformats.org/officeDocument/2006/relationships/hyperlink" Target="https://correiaricardina-ui.github.io/questionarios/RAADS_R_v1.html" TargetMode="External"/><Relationship Id="rId113" Type="http://schemas.openxmlformats.org/officeDocument/2006/relationships/hyperlink" Target="https://correiaricardina-ui.github.io/questionarios/EMP_F_v1.html" TargetMode="External"/><Relationship Id="rId114" Type="http://schemas.openxmlformats.org/officeDocument/2006/relationships/hyperlink" Target="https://correiaricardina-ui.github.io/questionarios/QACSE_C_v1.html" TargetMode="External"/><Relationship Id="rId115" Type="http://schemas.openxmlformats.org/officeDocument/2006/relationships/hyperlink" Target="https://correiaricardina-ui.github.io/questionarios/QACSE_R_v1.html" TargetMode="External"/><Relationship Id="rId116" Type="http://schemas.openxmlformats.org/officeDocument/2006/relationships/hyperlink" Target="https://correiaricardina-ui.github.io/questionarios/QC_Mae.html" TargetMode="External"/><Relationship Id="rId117" Type="http://schemas.openxmlformats.org/officeDocument/2006/relationships/hyperlink" Target="https://correiaricardina-ui.github.io/questionarios/QC_Pai.html" TargetMode="External"/><Relationship Id="rId118" Type="http://schemas.openxmlformats.org/officeDocument/2006/relationships/hyperlink" Target="https://correiaricardina-ui.github.io/questionarios/CCBQ_v1.html" TargetMode="External"/><Relationship Id="rId119" Type="http://schemas.openxmlformats.org/officeDocument/2006/relationships/hyperlink" Target="https://correiaricardina-ui.github.io/questionarios/QEDP_v2.html" TargetMode="External"/><Relationship Id="rId120" Type="http://schemas.openxmlformats.org/officeDocument/2006/relationships/hyperlink" Target="https://correiaricardina-ui.github.io/questionarios/QEE_Escola_v1.html" TargetMode="External"/><Relationship Id="rId121" Type="http://schemas.openxmlformats.org/officeDocument/2006/relationships/hyperlink" Target="https://correiaricardina-ui.github.io/questionarios/QEP_Pais_v1.html" TargetMode="External"/><Relationship Id="rId122" Type="http://schemas.openxmlformats.org/officeDocument/2006/relationships/hyperlink" Target="https://correiaricardina-ui.github.io/questionarios/RBS_R.html" TargetMode="External"/><Relationship Id="rId123" Type="http://schemas.openxmlformats.org/officeDocument/2006/relationships/hyperlink" Target="https://correiaricardina-ui.github.io/questionarios/SRS2_IE_Pais_v1.html" TargetMode="External"/><Relationship Id="rId124" Type="http://schemas.openxmlformats.org/officeDocument/2006/relationships/hyperlink" Target="https://correiaricardina-ui.github.io/questionarios/RCADS25_Pais_v2.html" TargetMode="External"/><Relationship Id="rId125" Type="http://schemas.openxmlformats.org/officeDocument/2006/relationships/hyperlink" Target="https://correiaricardina-ui.github.io/questionarios/RCADS25_Youth_v2.html" TargetMode="External"/><Relationship Id="rId126" Type="http://schemas.openxmlformats.org/officeDocument/2006/relationships/hyperlink" Target="https://correiaricardina-ui.github.io/questionarios/RCADS47_Pais_v2.html" TargetMode="External"/><Relationship Id="rId127" Type="http://schemas.openxmlformats.org/officeDocument/2006/relationships/hyperlink" Target="https://correiaricardina-ui.github.io/questionarios/RCADS47_Youth_v2.html" TargetMode="External"/><Relationship Id="rId128" Type="http://schemas.openxmlformats.org/officeDocument/2006/relationships/hyperlink" Target="https://correiaricardina-ui.github.io/questionarios/RSES_v1.html" TargetMode="External"/><Relationship Id="rId129" Type="http://schemas.openxmlformats.org/officeDocument/2006/relationships/hyperlink" Target="https://correiaricardina-ui.github.io/questionarios/SCARED_R_Crianca.html" TargetMode="External"/><Relationship Id="rId130" Type="http://schemas.openxmlformats.org/officeDocument/2006/relationships/hyperlink" Target="https://correiaricardina-ui.github.io/questionarios/SCARED_R_Pais.html" TargetMode="External"/><Relationship Id="rId131" Type="http://schemas.openxmlformats.org/officeDocument/2006/relationships/hyperlink" Target="https://correiaricardina-ui.github.io/questionarios/PSI4_adap.html" TargetMode="External"/><Relationship Id="rId132" Type="http://schemas.openxmlformats.org/officeDocument/2006/relationships/hyperlink" Target="https://correiaricardina-ui.github.io/questionarios/SEQC_v2.html" TargetMode="External"/><Relationship Id="rId133" Type="http://schemas.openxmlformats.org/officeDocument/2006/relationships/hyperlink" Target="https://correiaricardina-ui.github.io/questionarios/SOCIOGRAMA_RC_v1.html" TargetMode="External"/><Relationship Id="rId134" Type="http://schemas.openxmlformats.org/officeDocument/2006/relationships/hyperlink" Target="https://correiaricardina-ui.github.io/questionarios/SPAS_Pais.html" TargetMode="External"/><Relationship Id="rId135" Type="http://schemas.openxmlformats.org/officeDocument/2006/relationships/hyperlink" Target="https://correiaricardina-ui.github.io/questionarios/SPAS_Educador.html" TargetMode="External"/><Relationship Id="rId136" Type="http://schemas.openxmlformats.org/officeDocument/2006/relationships/hyperlink" Target="https://correiaricardina-ui.github.io/questionarios/SPPA.html" TargetMode="External"/><Relationship Id="rId137" Type="http://schemas.openxmlformats.org/officeDocument/2006/relationships/hyperlink" Target="https://correiaricardina-ui.github.io/questionarios/SPPC_Bateria.html" TargetMode="External"/><Relationship Id="rId138" Type="http://schemas.openxmlformats.org/officeDocument/2006/relationships/hyperlink" Target="https://correiaricardina-ui.github.io/questionarios/SPPC_Professor.html" TargetMode="External"/><Relationship Id="rId139" Type="http://schemas.openxmlformats.org/officeDocument/2006/relationships/hyperlink" Target="https://correiaricardina-ui.github.io/questionarios/SPPCS_v1.html" TargetMode="External"/><Relationship Id="rId140" Type="http://schemas.openxmlformats.org/officeDocument/2006/relationships/hyperlink" Target="https://correiaricardina-ui.github.io/questionarios/SPPLD_Bateria.html" TargetMode="External"/><Relationship Id="rId141" Type="http://schemas.openxmlformats.org/officeDocument/2006/relationships/hyperlink" Target="https://correiaricardina-ui.github.io/questionarios/SRS2_IE_Prof_v1.html" TargetMode="External"/><Relationship Id="rId142" Type="http://schemas.openxmlformats.org/officeDocument/2006/relationships/hyperlink" Target="https://correiaricardina-ui.github.io/questionarios/IIM_AdolAdultos_v1.html" TargetMode="External"/><Relationship Id="rId143" Type="http://schemas.openxmlformats.org/officeDocument/2006/relationships/hyperlink" Target="https://correiaricardina-ui.github.io/questionarios/STAIC_C2_v1.html" TargetMode="External"/><Relationship Id="rId144" Type="http://schemas.openxmlformats.org/officeDocument/2006/relationships/hyperlink" Target="https://correiaricardina-ui.github.io/questionarios/STAXI_NA_v1.html" TargetMode="External"/><Relationship Id="rId145" Type="http://schemas.openxmlformats.org/officeDocument/2006/relationships/hyperlink" Target="https://correiaricardina-ui.github.io/questionarios/SWAN_v1.html" TargetMode="External"/><Relationship Id="rId146" Type="http://schemas.openxmlformats.org/officeDocument/2006/relationships/hyperlink" Target="https://correiaricardina-ui.github.io/questionarios/BSI_v1.html" TargetMode="External"/><Relationship Id="rId147"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24"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25.5" hidden="false" customHeight="true" outlineLevel="0" collapsed="false">
      <c r="A1" s="2" t="s">
        <v>0</v>
      </c>
      <c r="B1" s="2"/>
      <c r="C1" s="2"/>
      <c r="D1" s="2"/>
      <c r="E1" s="2"/>
      <c r="F1" s="2"/>
      <c r="G1" s="2"/>
      <c r="H1" s="2"/>
      <c r="I1" s="2"/>
      <c r="J1" s="2"/>
      <c r="K1" s="2"/>
      <c r="L1" s="2"/>
      <c r="M1" s="2"/>
    </row>
    <row r="2" customFormat="false" ht="15.75" hidden="false" customHeight="true" outlineLevel="0" collapsed="false">
      <c r="A2" s="3" t="s">
        <v>1</v>
      </c>
      <c r="B2" s="3"/>
      <c r="C2" s="3"/>
      <c r="D2" s="3"/>
      <c r="E2" s="3"/>
      <c r="F2" s="3"/>
      <c r="G2" s="3"/>
      <c r="H2" s="3"/>
      <c r="I2" s="3"/>
      <c r="J2" s="3"/>
      <c r="K2" s="3"/>
      <c r="L2" s="3"/>
      <c r="M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ROW()-3</f>
        <v>1</v>
      </c>
      <c r="B4" s="6" t="s">
        <v>15</v>
      </c>
      <c r="C4" s="6" t="s">
        <v>16</v>
      </c>
      <c r="D4" s="6" t="s">
        <v>17</v>
      </c>
      <c r="E4" s="6" t="s">
        <v>18</v>
      </c>
      <c r="F4" s="5" t="n">
        <v>16</v>
      </c>
      <c r="G4" s="5" t="n">
        <v>99</v>
      </c>
      <c r="H4" s="5" t="n">
        <v>4</v>
      </c>
      <c r="I4" s="6" t="s">
        <v>19</v>
      </c>
      <c r="J4" s="6" t="s">
        <v>20</v>
      </c>
      <c r="K4" s="6" t="s">
        <v>21</v>
      </c>
      <c r="L4" s="6" t="s">
        <v>22</v>
      </c>
      <c r="M4" s="7" t="s">
        <v>23</v>
      </c>
    </row>
    <row r="5" customFormat="false" ht="42" hidden="false" customHeight="true" outlineLevel="0" collapsed="false">
      <c r="A5" s="5" t="n">
        <f aca="false">ROW()-3</f>
        <v>2</v>
      </c>
      <c r="B5" s="6" t="s">
        <v>24</v>
      </c>
      <c r="C5" s="6" t="s">
        <v>16</v>
      </c>
      <c r="D5" s="6" t="s">
        <v>25</v>
      </c>
      <c r="E5" s="6" t="s">
        <v>26</v>
      </c>
      <c r="F5" s="5" t="n">
        <v>0</v>
      </c>
      <c r="G5" s="5" t="n">
        <v>5.9</v>
      </c>
      <c r="H5" s="5" t="n">
        <v>4</v>
      </c>
      <c r="I5" s="6" t="s">
        <v>27</v>
      </c>
      <c r="J5" s="6" t="s">
        <v>28</v>
      </c>
      <c r="K5" s="6" t="s">
        <v>29</v>
      </c>
      <c r="L5" s="6" t="s">
        <v>30</v>
      </c>
      <c r="M5" s="7" t="s">
        <v>31</v>
      </c>
    </row>
    <row r="6" customFormat="false" ht="42" hidden="false" customHeight="true" outlineLevel="0" collapsed="false">
      <c r="A6" s="5" t="n">
        <f aca="false">ROW()-3</f>
        <v>3</v>
      </c>
      <c r="B6" s="6" t="s">
        <v>32</v>
      </c>
      <c r="C6" s="6" t="s">
        <v>16</v>
      </c>
      <c r="D6" s="6" t="s">
        <v>33</v>
      </c>
      <c r="E6" s="6" t="s">
        <v>34</v>
      </c>
      <c r="F6" s="5" t="n">
        <v>6</v>
      </c>
      <c r="G6" s="5" t="n">
        <v>20.9</v>
      </c>
      <c r="H6" s="5" t="n">
        <v>4</v>
      </c>
      <c r="I6" s="6" t="s">
        <v>35</v>
      </c>
      <c r="J6" s="6" t="s">
        <v>28</v>
      </c>
      <c r="K6" s="6" t="s">
        <v>36</v>
      </c>
      <c r="L6" s="6" t="s">
        <v>37</v>
      </c>
      <c r="M6" s="7" t="s">
        <v>38</v>
      </c>
    </row>
    <row r="7" customFormat="false" ht="42" hidden="false" customHeight="true" outlineLevel="0" collapsed="false">
      <c r="A7" s="5" t="n">
        <f aca="false">ROW()-3</f>
        <v>4</v>
      </c>
      <c r="B7" s="6" t="s">
        <v>39</v>
      </c>
      <c r="C7" s="6" t="s">
        <v>16</v>
      </c>
      <c r="D7" s="6" t="s">
        <v>33</v>
      </c>
      <c r="E7" s="6" t="s">
        <v>26</v>
      </c>
      <c r="F7" s="5" t="n">
        <v>0</v>
      </c>
      <c r="G7" s="5" t="n">
        <v>5.9</v>
      </c>
      <c r="H7" s="5" t="n">
        <v>4</v>
      </c>
      <c r="I7" s="6" t="s">
        <v>40</v>
      </c>
      <c r="J7" s="6" t="s">
        <v>28</v>
      </c>
      <c r="K7" s="6" t="s">
        <v>41</v>
      </c>
      <c r="L7" s="6" t="s">
        <v>42</v>
      </c>
      <c r="M7" s="7" t="s">
        <v>43</v>
      </c>
    </row>
    <row r="8" customFormat="false" ht="42" hidden="false" customHeight="true" outlineLevel="0" collapsed="false">
      <c r="A8" s="5" t="n">
        <f aca="false">ROW()-3</f>
        <v>5</v>
      </c>
      <c r="B8" s="6" t="s">
        <v>44</v>
      </c>
      <c r="C8" s="6" t="s">
        <v>16</v>
      </c>
      <c r="D8" s="6" t="s">
        <v>45</v>
      </c>
      <c r="E8" s="6" t="s">
        <v>34</v>
      </c>
      <c r="F8" s="5" t="n">
        <v>6</v>
      </c>
      <c r="G8" s="5" t="n">
        <v>20.9</v>
      </c>
      <c r="H8" s="5" t="n">
        <v>4</v>
      </c>
      <c r="I8" s="6" t="s">
        <v>46</v>
      </c>
      <c r="J8" s="6" t="s">
        <v>28</v>
      </c>
      <c r="K8" s="6" t="s">
        <v>47</v>
      </c>
      <c r="L8" s="6" t="s">
        <v>48</v>
      </c>
      <c r="M8" s="7" t="s">
        <v>49</v>
      </c>
    </row>
    <row r="9" customFormat="false" ht="42" hidden="false" customHeight="true" outlineLevel="0" collapsed="false">
      <c r="A9" s="5" t="n">
        <f aca="false">ROW()-3</f>
        <v>6</v>
      </c>
      <c r="B9" s="6" t="s">
        <v>50</v>
      </c>
      <c r="C9" s="6" t="s">
        <v>51</v>
      </c>
      <c r="D9" s="6" t="s">
        <v>33</v>
      </c>
      <c r="E9" s="6" t="s">
        <v>52</v>
      </c>
      <c r="F9" s="5" t="n">
        <v>0</v>
      </c>
      <c r="G9" s="5" t="n">
        <v>83.2</v>
      </c>
      <c r="H9" s="5" t="n">
        <v>5</v>
      </c>
      <c r="I9" s="6" t="s">
        <v>53</v>
      </c>
      <c r="J9" s="6" t="s">
        <v>54</v>
      </c>
      <c r="K9" s="6" t="s">
        <v>55</v>
      </c>
      <c r="L9" s="6" t="s">
        <v>56</v>
      </c>
      <c r="M9" s="7" t="s">
        <v>57</v>
      </c>
    </row>
    <row r="10" customFormat="false" ht="42" hidden="false" customHeight="true" outlineLevel="0" collapsed="false">
      <c r="A10" s="5" t="n">
        <f aca="false">ROW()-3</f>
        <v>7</v>
      </c>
      <c r="B10" s="6" t="s">
        <v>58</v>
      </c>
      <c r="C10" s="6" t="s">
        <v>51</v>
      </c>
      <c r="D10" s="6" t="s">
        <v>33</v>
      </c>
      <c r="E10" s="6" t="s">
        <v>52</v>
      </c>
      <c r="F10" s="5" t="n">
        <v>0</v>
      </c>
      <c r="G10" s="5" t="n">
        <v>83.2</v>
      </c>
      <c r="H10" s="5" t="n">
        <v>4</v>
      </c>
      <c r="I10" s="6" t="s">
        <v>59</v>
      </c>
      <c r="J10" s="6" t="s">
        <v>60</v>
      </c>
      <c r="K10" s="6" t="s">
        <v>61</v>
      </c>
      <c r="L10" s="6" t="s">
        <v>62</v>
      </c>
      <c r="M10" s="7" t="s">
        <v>63</v>
      </c>
    </row>
    <row r="11" customFormat="false" ht="42" hidden="false" customHeight="true" outlineLevel="0" collapsed="false">
      <c r="A11" s="5" t="n">
        <f aca="false">ROW()-3</f>
        <v>8</v>
      </c>
      <c r="B11" s="6" t="s">
        <v>64</v>
      </c>
      <c r="C11" s="6" t="s">
        <v>51</v>
      </c>
      <c r="D11" s="6" t="s">
        <v>33</v>
      </c>
      <c r="E11" s="6" t="s">
        <v>65</v>
      </c>
      <c r="F11" s="5" t="n">
        <v>0</v>
      </c>
      <c r="G11" s="5" t="n">
        <v>99</v>
      </c>
      <c r="H11" s="5" t="n">
        <v>5</v>
      </c>
      <c r="I11" s="6" t="s">
        <v>66</v>
      </c>
      <c r="J11" s="6" t="s">
        <v>67</v>
      </c>
      <c r="K11" s="6" t="s">
        <v>68</v>
      </c>
      <c r="L11" s="6" t="s">
        <v>69</v>
      </c>
      <c r="M11" s="7" t="s">
        <v>70</v>
      </c>
    </row>
    <row r="12" customFormat="false" ht="42" hidden="false" customHeight="true" outlineLevel="0" collapsed="false">
      <c r="A12" s="5" t="n">
        <f aca="false">ROW()-3</f>
        <v>9</v>
      </c>
      <c r="B12" s="6" t="s">
        <v>71</v>
      </c>
      <c r="C12" s="6" t="s">
        <v>72</v>
      </c>
      <c r="D12" s="6" t="s">
        <v>17</v>
      </c>
      <c r="E12" s="6" t="s">
        <v>73</v>
      </c>
      <c r="F12" s="5" t="n">
        <v>16</v>
      </c>
      <c r="G12" s="5" t="n">
        <v>99</v>
      </c>
      <c r="H12" s="5" t="n">
        <v>5</v>
      </c>
      <c r="I12" s="6" t="s">
        <v>74</v>
      </c>
      <c r="J12" s="6" t="s">
        <v>75</v>
      </c>
      <c r="K12" s="6" t="s">
        <v>76</v>
      </c>
      <c r="L12" s="6" t="s">
        <v>77</v>
      </c>
      <c r="M12" s="7" t="s">
        <v>78</v>
      </c>
    </row>
    <row r="13" customFormat="false" ht="42" hidden="false" customHeight="true" outlineLevel="0" collapsed="false">
      <c r="A13" s="5" t="n">
        <f aca="false">ROW()-3</f>
        <v>10</v>
      </c>
      <c r="B13" s="6" t="s">
        <v>79</v>
      </c>
      <c r="C13" s="6" t="s">
        <v>16</v>
      </c>
      <c r="D13" s="6" t="s">
        <v>33</v>
      </c>
      <c r="E13" s="6" t="s">
        <v>80</v>
      </c>
      <c r="F13" s="5" t="n">
        <v>4</v>
      </c>
      <c r="G13" s="5" t="n">
        <v>11.9</v>
      </c>
      <c r="H13" s="5" t="n">
        <v>6</v>
      </c>
      <c r="I13" s="6" t="s">
        <v>81</v>
      </c>
      <c r="J13" s="6" t="s">
        <v>82</v>
      </c>
      <c r="K13" s="6" t="s">
        <v>83</v>
      </c>
      <c r="L13" s="6" t="s">
        <v>84</v>
      </c>
      <c r="M13" s="7" t="s">
        <v>85</v>
      </c>
    </row>
    <row r="14" customFormat="false" ht="42" hidden="false" customHeight="true" outlineLevel="0" collapsed="false">
      <c r="A14" s="5" t="n">
        <f aca="false">ROW()-3</f>
        <v>11</v>
      </c>
      <c r="B14" s="6" t="s">
        <v>86</v>
      </c>
      <c r="C14" s="6" t="s">
        <v>72</v>
      </c>
      <c r="D14" s="6" t="s">
        <v>87</v>
      </c>
      <c r="E14" s="6" t="s">
        <v>88</v>
      </c>
      <c r="F14" s="5" t="n">
        <v>1.5</v>
      </c>
      <c r="G14" s="5" t="n">
        <v>5.9</v>
      </c>
      <c r="H14" s="5" t="n">
        <v>10</v>
      </c>
      <c r="I14" s="6" t="s">
        <v>89</v>
      </c>
      <c r="J14" s="6" t="s">
        <v>90</v>
      </c>
      <c r="K14" s="6" t="s">
        <v>91</v>
      </c>
      <c r="L14" s="6" t="s">
        <v>92</v>
      </c>
      <c r="M14" s="7" t="s">
        <v>93</v>
      </c>
    </row>
    <row r="15" customFormat="false" ht="42" hidden="false" customHeight="true" outlineLevel="0" collapsed="false">
      <c r="A15" s="5" t="n">
        <f aca="false">ROW()-3</f>
        <v>12</v>
      </c>
      <c r="B15" s="6" t="s">
        <v>94</v>
      </c>
      <c r="C15" s="6" t="s">
        <v>72</v>
      </c>
      <c r="D15" s="6" t="s">
        <v>87</v>
      </c>
      <c r="E15" s="6" t="s">
        <v>95</v>
      </c>
      <c r="F15" s="5" t="n">
        <v>6</v>
      </c>
      <c r="G15" s="5" t="n">
        <v>17.9</v>
      </c>
      <c r="H15" s="5" t="n">
        <v>10</v>
      </c>
      <c r="I15" s="6" t="s">
        <v>96</v>
      </c>
      <c r="J15" s="6" t="s">
        <v>97</v>
      </c>
      <c r="K15" s="6" t="s">
        <v>98</v>
      </c>
      <c r="L15" s="6" t="s">
        <v>99</v>
      </c>
      <c r="M15" s="7" t="s">
        <v>100</v>
      </c>
    </row>
    <row r="16" customFormat="false" ht="42" hidden="false" customHeight="true" outlineLevel="0" collapsed="false">
      <c r="A16" s="5" t="n">
        <f aca="false">ROW()-3</f>
        <v>13</v>
      </c>
      <c r="B16" s="6" t="s">
        <v>101</v>
      </c>
      <c r="C16" s="6" t="s">
        <v>72</v>
      </c>
      <c r="D16" s="6" t="s">
        <v>45</v>
      </c>
      <c r="E16" s="6" t="s">
        <v>95</v>
      </c>
      <c r="F16" s="5" t="n">
        <v>6</v>
      </c>
      <c r="G16" s="5" t="n">
        <v>17.9</v>
      </c>
      <c r="H16" s="5" t="n">
        <v>5</v>
      </c>
      <c r="I16" s="6" t="s">
        <v>102</v>
      </c>
      <c r="J16" s="6" t="s">
        <v>103</v>
      </c>
      <c r="K16" s="6" t="s">
        <v>104</v>
      </c>
      <c r="L16" s="6" t="s">
        <v>105</v>
      </c>
      <c r="M16" s="7" t="s">
        <v>106</v>
      </c>
    </row>
    <row r="17" customFormat="false" ht="42" hidden="false" customHeight="true" outlineLevel="0" collapsed="false">
      <c r="A17" s="5" t="n">
        <f aca="false">ROW()-3</f>
        <v>14</v>
      </c>
      <c r="B17" s="6" t="s">
        <v>107</v>
      </c>
      <c r="C17" s="6" t="s">
        <v>72</v>
      </c>
      <c r="D17" s="6" t="s">
        <v>17</v>
      </c>
      <c r="E17" s="6" t="s">
        <v>108</v>
      </c>
      <c r="F17" s="5" t="n">
        <v>11</v>
      </c>
      <c r="G17" s="5" t="n">
        <v>17.9</v>
      </c>
      <c r="H17" s="5" t="n">
        <v>9</v>
      </c>
      <c r="I17" s="6" t="s">
        <v>109</v>
      </c>
      <c r="J17" s="6" t="s">
        <v>110</v>
      </c>
      <c r="K17" s="6" t="s">
        <v>111</v>
      </c>
      <c r="L17" s="6" t="s">
        <v>112</v>
      </c>
      <c r="M17" s="7" t="s">
        <v>113</v>
      </c>
    </row>
    <row r="18" customFormat="false" ht="42" hidden="false" customHeight="true" outlineLevel="0" collapsed="false">
      <c r="A18" s="5" t="n">
        <f aca="false">ROW()-3</f>
        <v>15</v>
      </c>
      <c r="B18" s="6" t="s">
        <v>114</v>
      </c>
      <c r="C18" s="6" t="s">
        <v>115</v>
      </c>
      <c r="D18" s="6" t="s">
        <v>17</v>
      </c>
      <c r="E18" s="6" t="s">
        <v>108</v>
      </c>
      <c r="F18" s="5" t="n">
        <v>11</v>
      </c>
      <c r="G18" s="5" t="n">
        <v>17.9</v>
      </c>
      <c r="H18" s="5" t="n">
        <v>6</v>
      </c>
      <c r="I18" s="6" t="s">
        <v>116</v>
      </c>
      <c r="J18" s="6" t="s">
        <v>117</v>
      </c>
      <c r="K18" s="6" t="s">
        <v>118</v>
      </c>
      <c r="L18" s="6" t="s">
        <v>119</v>
      </c>
      <c r="M18" s="7" t="s">
        <v>120</v>
      </c>
    </row>
    <row r="19" customFormat="false" ht="42" hidden="false" customHeight="true" outlineLevel="0" collapsed="false">
      <c r="A19" s="5" t="n">
        <f aca="false">ROW()-3</f>
        <v>16</v>
      </c>
      <c r="B19" s="6" t="s">
        <v>121</v>
      </c>
      <c r="C19" s="6" t="s">
        <v>122</v>
      </c>
      <c r="D19" s="6" t="s">
        <v>123</v>
      </c>
      <c r="E19" s="6" t="s">
        <v>124</v>
      </c>
      <c r="F19" s="5" t="n">
        <v>12</v>
      </c>
      <c r="G19" s="5" t="n">
        <v>99</v>
      </c>
      <c r="H19" s="5" t="n">
        <v>3</v>
      </c>
      <c r="I19" s="6" t="s">
        <v>125</v>
      </c>
      <c r="J19" s="6" t="s">
        <v>126</v>
      </c>
      <c r="K19" s="6" t="s">
        <v>127</v>
      </c>
      <c r="L19" s="6" t="s">
        <v>128</v>
      </c>
      <c r="M19" s="7" t="s">
        <v>129</v>
      </c>
    </row>
    <row r="20" customFormat="false" ht="42" hidden="false" customHeight="true" outlineLevel="0" collapsed="false">
      <c r="A20" s="5" t="n">
        <f aca="false">ROW()-3</f>
        <v>17</v>
      </c>
      <c r="B20" s="6" t="s">
        <v>130</v>
      </c>
      <c r="C20" s="6" t="s">
        <v>131</v>
      </c>
      <c r="D20" s="6" t="s">
        <v>17</v>
      </c>
      <c r="E20" s="6" t="s">
        <v>108</v>
      </c>
      <c r="F20" s="5" t="n">
        <v>11</v>
      </c>
      <c r="G20" s="5" t="n">
        <v>17.9</v>
      </c>
      <c r="H20" s="5" t="n">
        <v>11</v>
      </c>
      <c r="I20" s="6" t="s">
        <v>132</v>
      </c>
      <c r="J20" s="6" t="s">
        <v>133</v>
      </c>
      <c r="K20" s="6" t="s">
        <v>134</v>
      </c>
      <c r="L20" s="6" t="s">
        <v>135</v>
      </c>
      <c r="M20" s="7" t="s">
        <v>136</v>
      </c>
    </row>
    <row r="21" customFormat="false" ht="42" hidden="false" customHeight="true" outlineLevel="0" collapsed="false">
      <c r="A21" s="5" t="n">
        <f aca="false">ROW()-3</f>
        <v>18</v>
      </c>
      <c r="B21" s="6" t="s">
        <v>137</v>
      </c>
      <c r="C21" s="6" t="s">
        <v>131</v>
      </c>
      <c r="D21" s="6" t="s">
        <v>33</v>
      </c>
      <c r="E21" s="6" t="s">
        <v>138</v>
      </c>
      <c r="F21" s="5" t="n">
        <v>5</v>
      </c>
      <c r="G21" s="5" t="n">
        <v>17.9</v>
      </c>
      <c r="H21" s="5" t="n">
        <v>9</v>
      </c>
      <c r="I21" s="6" t="s">
        <v>139</v>
      </c>
      <c r="J21" s="6" t="s">
        <v>140</v>
      </c>
      <c r="K21" s="6" t="s">
        <v>141</v>
      </c>
      <c r="L21" s="6" t="s">
        <v>142</v>
      </c>
      <c r="M21" s="7" t="s">
        <v>143</v>
      </c>
    </row>
    <row r="22" customFormat="false" ht="42" hidden="false" customHeight="true" outlineLevel="0" collapsed="false">
      <c r="A22" s="5" t="n">
        <f aca="false">ROW()-3</f>
        <v>19</v>
      </c>
      <c r="B22" s="6" t="s">
        <v>144</v>
      </c>
      <c r="C22" s="6" t="s">
        <v>131</v>
      </c>
      <c r="D22" s="6" t="s">
        <v>45</v>
      </c>
      <c r="E22" s="6" t="s">
        <v>138</v>
      </c>
      <c r="F22" s="5" t="n">
        <v>5</v>
      </c>
      <c r="G22" s="5" t="n">
        <v>17.9</v>
      </c>
      <c r="H22" s="5" t="n">
        <v>9</v>
      </c>
      <c r="I22" s="6" t="s">
        <v>145</v>
      </c>
      <c r="J22" s="6" t="s">
        <v>140</v>
      </c>
      <c r="K22" s="6" t="s">
        <v>146</v>
      </c>
      <c r="L22" s="6" t="s">
        <v>147</v>
      </c>
      <c r="M22" s="7" t="s">
        <v>148</v>
      </c>
    </row>
    <row r="23" customFormat="false" ht="42" hidden="false" customHeight="true" outlineLevel="0" collapsed="false">
      <c r="A23" s="5" t="n">
        <f aca="false">ROW()-3</f>
        <v>20</v>
      </c>
      <c r="B23" s="6" t="s">
        <v>149</v>
      </c>
      <c r="C23" s="6" t="s">
        <v>131</v>
      </c>
      <c r="D23" s="6" t="s">
        <v>33</v>
      </c>
      <c r="E23" s="6" t="s">
        <v>150</v>
      </c>
      <c r="F23" s="5" t="n">
        <v>2</v>
      </c>
      <c r="G23" s="5" t="n">
        <v>5.9</v>
      </c>
      <c r="H23" s="5" t="n">
        <v>9</v>
      </c>
      <c r="I23" s="6" t="s">
        <v>151</v>
      </c>
      <c r="J23" s="6" t="s">
        <v>140</v>
      </c>
      <c r="K23" s="6" t="s">
        <v>152</v>
      </c>
      <c r="L23" s="6" t="s">
        <v>153</v>
      </c>
      <c r="M23" s="7" t="s">
        <v>154</v>
      </c>
    </row>
    <row r="24" customFormat="false" ht="42" hidden="false" customHeight="true" outlineLevel="0" collapsed="false">
      <c r="A24" s="5" t="n">
        <f aca="false">ROW()-3</f>
        <v>21</v>
      </c>
      <c r="B24" s="6" t="s">
        <v>155</v>
      </c>
      <c r="C24" s="6" t="s">
        <v>131</v>
      </c>
      <c r="D24" s="6" t="s">
        <v>156</v>
      </c>
      <c r="E24" s="6" t="s">
        <v>150</v>
      </c>
      <c r="F24" s="5" t="n">
        <v>2</v>
      </c>
      <c r="G24" s="5" t="n">
        <v>5.9</v>
      </c>
      <c r="H24" s="5" t="n">
        <v>9</v>
      </c>
      <c r="I24" s="6" t="s">
        <v>157</v>
      </c>
      <c r="J24" s="6" t="s">
        <v>140</v>
      </c>
      <c r="K24" s="6" t="s">
        <v>158</v>
      </c>
      <c r="L24" s="6" t="s">
        <v>159</v>
      </c>
      <c r="M24" s="7" t="s">
        <v>160</v>
      </c>
    </row>
    <row r="25" customFormat="false" ht="42" hidden="false" customHeight="true" outlineLevel="0" collapsed="false">
      <c r="A25" s="5" t="n">
        <f aca="false">ROW()-3</f>
        <v>22</v>
      </c>
      <c r="B25" s="6" t="s">
        <v>161</v>
      </c>
      <c r="C25" s="6" t="s">
        <v>162</v>
      </c>
      <c r="D25" s="6" t="s">
        <v>163</v>
      </c>
      <c r="E25" s="6" t="s">
        <v>164</v>
      </c>
      <c r="F25" s="5" t="n">
        <v>1.1</v>
      </c>
      <c r="G25" s="5" t="n">
        <v>99</v>
      </c>
      <c r="H25" s="5" t="n">
        <v>12</v>
      </c>
      <c r="I25" s="6" t="s">
        <v>165</v>
      </c>
      <c r="J25" s="6" t="s">
        <v>166</v>
      </c>
      <c r="K25" s="6" t="s">
        <v>167</v>
      </c>
      <c r="L25" s="6" t="s">
        <v>168</v>
      </c>
      <c r="M25" s="7" t="s">
        <v>169</v>
      </c>
    </row>
    <row r="26" customFormat="false" ht="42" hidden="false" customHeight="true" outlineLevel="0" collapsed="false">
      <c r="A26" s="5" t="n">
        <f aca="false">ROW()-3</f>
        <v>23</v>
      </c>
      <c r="B26" s="6" t="s">
        <v>170</v>
      </c>
      <c r="C26" s="6" t="s">
        <v>171</v>
      </c>
      <c r="D26" s="6" t="s">
        <v>172</v>
      </c>
      <c r="E26" s="6" t="s">
        <v>173</v>
      </c>
      <c r="F26" s="5" t="n">
        <v>0.7</v>
      </c>
      <c r="G26" s="5" t="n">
        <v>1.5</v>
      </c>
      <c r="H26" s="5" t="n">
        <v>4</v>
      </c>
      <c r="I26" s="6" t="s">
        <v>174</v>
      </c>
      <c r="J26" s="6" t="s">
        <v>175</v>
      </c>
      <c r="K26" s="6" t="s">
        <v>176</v>
      </c>
      <c r="L26" s="6" t="s">
        <v>177</v>
      </c>
      <c r="M26" s="7" t="s">
        <v>178</v>
      </c>
    </row>
    <row r="27" customFormat="false" ht="42" hidden="false" customHeight="true" outlineLevel="0" collapsed="false">
      <c r="A27" s="5" t="n">
        <f aca="false">ROW()-3</f>
        <v>24</v>
      </c>
      <c r="B27" s="6" t="s">
        <v>179</v>
      </c>
      <c r="C27" s="6" t="s">
        <v>171</v>
      </c>
      <c r="D27" s="6" t="s">
        <v>33</v>
      </c>
      <c r="E27" s="6" t="s">
        <v>180</v>
      </c>
      <c r="F27" s="5" t="n">
        <v>0.3</v>
      </c>
      <c r="G27" s="5" t="n">
        <v>1.5</v>
      </c>
      <c r="H27" s="5" t="n">
        <v>4</v>
      </c>
      <c r="I27" s="6" t="s">
        <v>181</v>
      </c>
      <c r="J27" s="6" t="s">
        <v>175</v>
      </c>
      <c r="K27" s="6" t="s">
        <v>182</v>
      </c>
      <c r="L27" s="6" t="s">
        <v>183</v>
      </c>
      <c r="M27" s="7" t="s">
        <v>184</v>
      </c>
    </row>
    <row r="28" customFormat="false" ht="42" hidden="false" customHeight="true" outlineLevel="0" collapsed="false">
      <c r="A28" s="5" t="n">
        <f aca="false">ROW()-3</f>
        <v>25</v>
      </c>
      <c r="B28" s="6" t="s">
        <v>185</v>
      </c>
      <c r="C28" s="6" t="s">
        <v>186</v>
      </c>
      <c r="D28" s="6" t="s">
        <v>187</v>
      </c>
      <c r="E28" s="6" t="s">
        <v>188</v>
      </c>
      <c r="F28" s="5" t="n">
        <v>6</v>
      </c>
      <c r="G28" s="5" t="n">
        <v>100</v>
      </c>
      <c r="H28" s="5" t="n">
        <v>15</v>
      </c>
      <c r="I28" s="6" t="s">
        <v>189</v>
      </c>
      <c r="J28" s="6" t="s">
        <v>190</v>
      </c>
      <c r="K28" s="6" t="s">
        <v>191</v>
      </c>
      <c r="L28" s="6" t="s">
        <v>192</v>
      </c>
      <c r="M28" s="7" t="s">
        <v>193</v>
      </c>
    </row>
    <row r="29" customFormat="false" ht="42" hidden="false" customHeight="true" outlineLevel="0" collapsed="false">
      <c r="A29" s="5" t="n">
        <f aca="false">ROW()-3</f>
        <v>26</v>
      </c>
      <c r="B29" s="6" t="s">
        <v>194</v>
      </c>
      <c r="C29" s="6" t="s">
        <v>186</v>
      </c>
      <c r="D29" s="6" t="s">
        <v>195</v>
      </c>
      <c r="E29" s="6" t="s">
        <v>196</v>
      </c>
      <c r="F29" s="5" t="n">
        <v>0</v>
      </c>
      <c r="G29" s="5" t="n">
        <v>100</v>
      </c>
      <c r="H29" s="5" t="n">
        <v>15</v>
      </c>
      <c r="I29" s="6" t="s">
        <v>197</v>
      </c>
      <c r="J29" s="6" t="s">
        <v>198</v>
      </c>
      <c r="K29" s="6" t="s">
        <v>199</v>
      </c>
      <c r="L29" s="6" t="s">
        <v>200</v>
      </c>
      <c r="M29" s="7" t="s">
        <v>201</v>
      </c>
    </row>
    <row r="30" customFormat="false" ht="42" hidden="false" customHeight="true" outlineLevel="0" collapsed="false">
      <c r="A30" s="5" t="n">
        <f aca="false">ROW()-3</f>
        <v>27</v>
      </c>
      <c r="B30" s="6" t="s">
        <v>202</v>
      </c>
      <c r="C30" s="6" t="s">
        <v>186</v>
      </c>
      <c r="D30" s="6" t="s">
        <v>187</v>
      </c>
      <c r="E30" s="6" t="s">
        <v>203</v>
      </c>
      <c r="F30" s="5" t="n">
        <v>0</v>
      </c>
      <c r="G30" s="5" t="n">
        <v>100</v>
      </c>
      <c r="H30" s="5" t="n">
        <v>15</v>
      </c>
      <c r="I30" s="6" t="s">
        <v>204</v>
      </c>
      <c r="J30" s="6" t="s">
        <v>205</v>
      </c>
      <c r="K30" s="6" t="s">
        <v>206</v>
      </c>
      <c r="L30" s="6" t="s">
        <v>207</v>
      </c>
      <c r="M30" s="7" t="s">
        <v>208</v>
      </c>
    </row>
    <row r="31" customFormat="false" ht="42" hidden="false" customHeight="true" outlineLevel="0" collapsed="false">
      <c r="A31" s="5" t="n">
        <f aca="false">ROW()-3</f>
        <v>28</v>
      </c>
      <c r="B31" s="6" t="s">
        <v>209</v>
      </c>
      <c r="C31" s="6" t="s">
        <v>210</v>
      </c>
      <c r="D31" s="6" t="s">
        <v>211</v>
      </c>
      <c r="E31" s="6" t="s">
        <v>212</v>
      </c>
      <c r="F31" s="5" t="n">
        <v>6</v>
      </c>
      <c r="G31" s="5" t="n">
        <v>99</v>
      </c>
      <c r="H31" s="5" t="n">
        <v>4</v>
      </c>
      <c r="I31" s="6" t="s">
        <v>213</v>
      </c>
      <c r="J31" s="6" t="s">
        <v>214</v>
      </c>
      <c r="K31" s="6" t="s">
        <v>215</v>
      </c>
      <c r="L31" s="6" t="s">
        <v>216</v>
      </c>
      <c r="M31" s="7" t="s">
        <v>217</v>
      </c>
    </row>
    <row r="32" customFormat="false" ht="42" hidden="false" customHeight="true" outlineLevel="0" collapsed="false">
      <c r="A32" s="5" t="n">
        <f aca="false">ROW()-3</f>
        <v>29</v>
      </c>
      <c r="B32" s="6" t="s">
        <v>218</v>
      </c>
      <c r="C32" s="6" t="s">
        <v>219</v>
      </c>
      <c r="D32" s="6" t="s">
        <v>17</v>
      </c>
      <c r="E32" s="6" t="s">
        <v>220</v>
      </c>
      <c r="F32" s="5" t="n">
        <v>7</v>
      </c>
      <c r="G32" s="5" t="n">
        <v>17.9</v>
      </c>
      <c r="H32" s="5" t="n">
        <v>7</v>
      </c>
      <c r="I32" s="6" t="s">
        <v>221</v>
      </c>
      <c r="J32" s="6" t="s">
        <v>222</v>
      </c>
      <c r="K32" s="6" t="s">
        <v>223</v>
      </c>
      <c r="L32" s="6" t="s">
        <v>224</v>
      </c>
      <c r="M32" s="7" t="s">
        <v>225</v>
      </c>
    </row>
    <row r="33" customFormat="false" ht="42" hidden="false" customHeight="true" outlineLevel="0" collapsed="false">
      <c r="A33" s="5" t="n">
        <f aca="false">ROW()-3</f>
        <v>30</v>
      </c>
      <c r="B33" s="6" t="s">
        <v>226</v>
      </c>
      <c r="C33" s="6" t="s">
        <v>210</v>
      </c>
      <c r="D33" s="6" t="s">
        <v>17</v>
      </c>
      <c r="E33" s="6" t="s">
        <v>164</v>
      </c>
      <c r="F33" s="5" t="n">
        <v>13</v>
      </c>
      <c r="G33" s="5" t="n">
        <v>99</v>
      </c>
      <c r="H33" s="5" t="n">
        <v>10</v>
      </c>
      <c r="I33" s="6" t="s">
        <v>227</v>
      </c>
      <c r="J33" s="6" t="s">
        <v>228</v>
      </c>
      <c r="K33" s="6" t="s">
        <v>229</v>
      </c>
      <c r="L33" s="6" t="s">
        <v>230</v>
      </c>
      <c r="M33" s="7" t="s">
        <v>231</v>
      </c>
    </row>
    <row r="34" customFormat="false" ht="42" hidden="false" customHeight="true" outlineLevel="0" collapsed="false">
      <c r="A34" s="5" t="n">
        <f aca="false">ROW()-3</f>
        <v>31</v>
      </c>
      <c r="B34" s="6" t="s">
        <v>232</v>
      </c>
      <c r="C34" s="6" t="s">
        <v>210</v>
      </c>
      <c r="D34" s="6" t="s">
        <v>17</v>
      </c>
      <c r="E34" s="6" t="s">
        <v>233</v>
      </c>
      <c r="F34" s="5" t="n">
        <v>12</v>
      </c>
      <c r="G34" s="5" t="n">
        <v>99</v>
      </c>
      <c r="H34" s="5" t="n">
        <v>11</v>
      </c>
      <c r="I34" s="6" t="s">
        <v>234</v>
      </c>
      <c r="J34" s="6" t="s">
        <v>235</v>
      </c>
      <c r="K34" s="6" t="s">
        <v>236</v>
      </c>
      <c r="L34" s="6" t="s">
        <v>237</v>
      </c>
      <c r="M34" s="7" t="s">
        <v>238</v>
      </c>
    </row>
    <row r="35" customFormat="false" ht="42" hidden="false" customHeight="true" outlineLevel="0" collapsed="false">
      <c r="A35" s="5" t="n">
        <f aca="false">ROW()-3</f>
        <v>32</v>
      </c>
      <c r="B35" s="6" t="s">
        <v>239</v>
      </c>
      <c r="C35" s="6" t="s">
        <v>210</v>
      </c>
      <c r="D35" s="6" t="s">
        <v>17</v>
      </c>
      <c r="E35" s="6" t="s">
        <v>240</v>
      </c>
      <c r="F35" s="5" t="n">
        <v>9</v>
      </c>
      <c r="G35" s="5" t="n">
        <v>11.9</v>
      </c>
      <c r="H35" s="5" t="n">
        <v>11</v>
      </c>
      <c r="I35" s="6" t="s">
        <v>241</v>
      </c>
      <c r="J35" s="6" t="s">
        <v>235</v>
      </c>
      <c r="K35" s="6" t="s">
        <v>242</v>
      </c>
      <c r="L35" s="6" t="s">
        <v>243</v>
      </c>
      <c r="M35" s="7" t="s">
        <v>244</v>
      </c>
    </row>
    <row r="36" customFormat="false" ht="42" hidden="false" customHeight="true" outlineLevel="0" collapsed="false">
      <c r="A36" s="5" t="n">
        <f aca="false">ROW()-3</f>
        <v>33</v>
      </c>
      <c r="B36" s="6" t="s">
        <v>245</v>
      </c>
      <c r="C36" s="6" t="s">
        <v>122</v>
      </c>
      <c r="D36" s="6" t="s">
        <v>17</v>
      </c>
      <c r="E36" s="6" t="s">
        <v>246</v>
      </c>
      <c r="F36" s="5" t="n">
        <v>8</v>
      </c>
      <c r="G36" s="5" t="n">
        <v>12.9</v>
      </c>
      <c r="H36" s="5" t="n">
        <v>4</v>
      </c>
      <c r="I36" s="6" t="s">
        <v>247</v>
      </c>
      <c r="J36" s="6" t="s">
        <v>248</v>
      </c>
      <c r="K36" s="6" t="s">
        <v>249</v>
      </c>
      <c r="L36" s="6" t="s">
        <v>250</v>
      </c>
      <c r="M36" s="7" t="s">
        <v>251</v>
      </c>
    </row>
    <row r="37" customFormat="false" ht="42" hidden="false" customHeight="true" outlineLevel="0" collapsed="false">
      <c r="A37" s="5" t="n">
        <f aca="false">ROW()-3</f>
        <v>34</v>
      </c>
      <c r="B37" s="6" t="s">
        <v>252</v>
      </c>
      <c r="C37" s="6" t="s">
        <v>131</v>
      </c>
      <c r="D37" s="6" t="s">
        <v>33</v>
      </c>
      <c r="E37" s="6" t="s">
        <v>65</v>
      </c>
      <c r="F37" s="5" t="n">
        <v>0</v>
      </c>
      <c r="G37" s="5" t="n">
        <v>99</v>
      </c>
      <c r="H37" s="5" t="n">
        <v>6</v>
      </c>
      <c r="I37" s="6" t="s">
        <v>253</v>
      </c>
      <c r="J37" s="6" t="s">
        <v>254</v>
      </c>
      <c r="K37" s="6" t="s">
        <v>255</v>
      </c>
      <c r="L37" s="6" t="s">
        <v>256</v>
      </c>
      <c r="M37" s="7" t="s">
        <v>257</v>
      </c>
    </row>
    <row r="38" customFormat="false" ht="42" hidden="false" customHeight="true" outlineLevel="0" collapsed="false">
      <c r="A38" s="5" t="n">
        <f aca="false">ROW()-3</f>
        <v>35</v>
      </c>
      <c r="B38" s="6" t="s">
        <v>258</v>
      </c>
      <c r="C38" s="6" t="s">
        <v>131</v>
      </c>
      <c r="D38" s="6" t="s">
        <v>156</v>
      </c>
      <c r="E38" s="6" t="s">
        <v>65</v>
      </c>
      <c r="F38" s="5" t="n">
        <v>0</v>
      </c>
      <c r="G38" s="5" t="n">
        <v>99</v>
      </c>
      <c r="H38" s="5" t="n">
        <v>4</v>
      </c>
      <c r="I38" s="6" t="s">
        <v>259</v>
      </c>
      <c r="J38" s="6" t="s">
        <v>260</v>
      </c>
      <c r="K38" s="6" t="s">
        <v>261</v>
      </c>
      <c r="L38" s="6" t="s">
        <v>262</v>
      </c>
      <c r="M38" s="7" t="s">
        <v>263</v>
      </c>
    </row>
    <row r="39" customFormat="false" ht="42" hidden="false" customHeight="true" outlineLevel="0" collapsed="false">
      <c r="A39" s="5" t="n">
        <f aca="false">ROW()-3</f>
        <v>36</v>
      </c>
      <c r="B39" s="6" t="s">
        <v>264</v>
      </c>
      <c r="C39" s="6" t="s">
        <v>219</v>
      </c>
      <c r="D39" s="6" t="s">
        <v>17</v>
      </c>
      <c r="E39" s="6" t="s">
        <v>265</v>
      </c>
      <c r="F39" s="5" t="n">
        <v>8</v>
      </c>
      <c r="G39" s="5" t="n">
        <v>17.9</v>
      </c>
      <c r="H39" s="5" t="n">
        <v>2</v>
      </c>
      <c r="I39" s="6" t="s">
        <v>266</v>
      </c>
      <c r="J39" s="6" t="s">
        <v>267</v>
      </c>
      <c r="K39" s="6" t="s">
        <v>268</v>
      </c>
      <c r="L39" s="6" t="s">
        <v>269</v>
      </c>
      <c r="M39" s="7" t="s">
        <v>270</v>
      </c>
    </row>
    <row r="40" customFormat="false" ht="42" hidden="false" customHeight="true" outlineLevel="0" collapsed="false">
      <c r="A40" s="5" t="n">
        <f aca="false">ROW()-3</f>
        <v>37</v>
      </c>
      <c r="B40" s="6" t="s">
        <v>271</v>
      </c>
      <c r="C40" s="6" t="s">
        <v>122</v>
      </c>
      <c r="D40" s="6" t="s">
        <v>272</v>
      </c>
      <c r="E40" s="6" t="s">
        <v>273</v>
      </c>
      <c r="F40" s="5" t="n">
        <v>6</v>
      </c>
      <c r="G40" s="5" t="n">
        <v>17.9</v>
      </c>
      <c r="H40" s="5" t="n">
        <v>4</v>
      </c>
      <c r="I40" s="6" t="s">
        <v>274</v>
      </c>
      <c r="J40" s="6" t="s">
        <v>275</v>
      </c>
      <c r="K40" s="6" t="s">
        <v>276</v>
      </c>
      <c r="L40" s="6" t="s">
        <v>277</v>
      </c>
      <c r="M40" s="7" t="s">
        <v>278</v>
      </c>
    </row>
    <row r="41" customFormat="false" ht="42" hidden="false" customHeight="true" outlineLevel="0" collapsed="false">
      <c r="A41" s="5" t="n">
        <f aca="false">ROW()-3</f>
        <v>38</v>
      </c>
      <c r="B41" s="6" t="s">
        <v>279</v>
      </c>
      <c r="C41" s="6" t="s">
        <v>280</v>
      </c>
      <c r="D41" s="6" t="s">
        <v>17</v>
      </c>
      <c r="E41" s="6" t="s">
        <v>281</v>
      </c>
      <c r="F41" s="5" t="n">
        <v>12</v>
      </c>
      <c r="G41" s="5" t="n">
        <v>16.9</v>
      </c>
      <c r="H41" s="5" t="n">
        <v>6</v>
      </c>
      <c r="I41" s="6" t="s">
        <v>282</v>
      </c>
      <c r="J41" s="6" t="s">
        <v>283</v>
      </c>
      <c r="K41" s="6" t="s">
        <v>284</v>
      </c>
      <c r="L41" s="6" t="s">
        <v>285</v>
      </c>
      <c r="M41" s="7" t="s">
        <v>286</v>
      </c>
    </row>
    <row r="42" customFormat="false" ht="42" hidden="false" customHeight="true" outlineLevel="0" collapsed="false">
      <c r="A42" s="5" t="n">
        <f aca="false">ROW()-3</f>
        <v>39</v>
      </c>
      <c r="B42" s="6" t="s">
        <v>287</v>
      </c>
      <c r="C42" s="6" t="s">
        <v>280</v>
      </c>
      <c r="D42" s="6" t="s">
        <v>17</v>
      </c>
      <c r="E42" s="6" t="s">
        <v>281</v>
      </c>
      <c r="F42" s="5" t="n">
        <v>12</v>
      </c>
      <c r="G42" s="5" t="n">
        <v>16.9</v>
      </c>
      <c r="H42" s="5" t="n">
        <v>6</v>
      </c>
      <c r="I42" s="6" t="s">
        <v>288</v>
      </c>
      <c r="J42" s="6" t="s">
        <v>283</v>
      </c>
      <c r="K42" s="6" t="s">
        <v>289</v>
      </c>
      <c r="L42" s="6" t="s">
        <v>290</v>
      </c>
      <c r="M42" s="7" t="s">
        <v>291</v>
      </c>
    </row>
    <row r="43" customFormat="false" ht="42" hidden="false" customHeight="true" outlineLevel="0" collapsed="false">
      <c r="A43" s="5" t="n">
        <f aca="false">ROW()-3</f>
        <v>40</v>
      </c>
      <c r="B43" s="6" t="s">
        <v>292</v>
      </c>
      <c r="C43" s="6" t="s">
        <v>280</v>
      </c>
      <c r="D43" s="6" t="s">
        <v>17</v>
      </c>
      <c r="E43" s="6" t="s">
        <v>293</v>
      </c>
      <c r="F43" s="5" t="n">
        <v>7</v>
      </c>
      <c r="G43" s="5" t="n">
        <v>11.9</v>
      </c>
      <c r="H43" s="5" t="n">
        <v>3</v>
      </c>
      <c r="I43" s="6" t="s">
        <v>294</v>
      </c>
      <c r="J43" s="6" t="s">
        <v>295</v>
      </c>
      <c r="K43" s="6" t="s">
        <v>296</v>
      </c>
      <c r="L43" s="6" t="s">
        <v>297</v>
      </c>
      <c r="M43" s="7" t="s">
        <v>298</v>
      </c>
    </row>
    <row r="44" customFormat="false" ht="42" hidden="false" customHeight="true" outlineLevel="0" collapsed="false">
      <c r="A44" s="5" t="n">
        <f aca="false">ROW()-3</f>
        <v>41</v>
      </c>
      <c r="B44" s="6" t="s">
        <v>299</v>
      </c>
      <c r="C44" s="6" t="s">
        <v>280</v>
      </c>
      <c r="D44" s="6" t="s">
        <v>17</v>
      </c>
      <c r="E44" s="6" t="s">
        <v>293</v>
      </c>
      <c r="F44" s="5" t="n">
        <v>7</v>
      </c>
      <c r="G44" s="5" t="n">
        <v>11.9</v>
      </c>
      <c r="H44" s="5" t="n">
        <v>3</v>
      </c>
      <c r="I44" s="6" t="s">
        <v>300</v>
      </c>
      <c r="J44" s="6" t="s">
        <v>295</v>
      </c>
      <c r="K44" s="6" t="s">
        <v>301</v>
      </c>
      <c r="L44" s="6" t="s">
        <v>302</v>
      </c>
      <c r="M44" s="7" t="s">
        <v>303</v>
      </c>
    </row>
    <row r="45" customFormat="false" ht="42" hidden="false" customHeight="true" outlineLevel="0" collapsed="false">
      <c r="A45" s="5" t="n">
        <f aca="false">ROW()-3</f>
        <v>42</v>
      </c>
      <c r="B45" s="6" t="s">
        <v>304</v>
      </c>
      <c r="C45" s="6" t="s">
        <v>280</v>
      </c>
      <c r="D45" s="6" t="s">
        <v>33</v>
      </c>
      <c r="E45" s="6" t="s">
        <v>305</v>
      </c>
      <c r="F45" s="5" t="n">
        <v>0</v>
      </c>
      <c r="G45" s="5" t="n">
        <v>83.2</v>
      </c>
      <c r="H45" s="5" t="n">
        <v>6</v>
      </c>
      <c r="I45" s="6" t="s">
        <v>306</v>
      </c>
      <c r="J45" s="6" t="s">
        <v>307</v>
      </c>
      <c r="K45" s="6" t="s">
        <v>308</v>
      </c>
      <c r="L45" s="6" t="s">
        <v>309</v>
      </c>
      <c r="M45" s="7" t="s">
        <v>310</v>
      </c>
    </row>
    <row r="46" customFormat="false" ht="42" hidden="false" customHeight="true" outlineLevel="0" collapsed="false">
      <c r="A46" s="5" t="n">
        <f aca="false">ROW()-3</f>
        <v>43</v>
      </c>
      <c r="B46" s="6" t="s">
        <v>311</v>
      </c>
      <c r="C46" s="6" t="s">
        <v>131</v>
      </c>
      <c r="D46" s="6" t="s">
        <v>33</v>
      </c>
      <c r="E46" s="6" t="s">
        <v>95</v>
      </c>
      <c r="F46" s="5" t="n">
        <v>6</v>
      </c>
      <c r="G46" s="5" t="n">
        <v>17.9</v>
      </c>
      <c r="H46" s="5" t="n">
        <v>10</v>
      </c>
      <c r="I46" s="6" t="s">
        <v>312</v>
      </c>
      <c r="J46" s="6" t="s">
        <v>313</v>
      </c>
      <c r="K46" s="6" t="s">
        <v>314</v>
      </c>
      <c r="L46" s="6" t="s">
        <v>315</v>
      </c>
      <c r="M46" s="7" t="s">
        <v>316</v>
      </c>
    </row>
    <row r="47" customFormat="false" ht="42" hidden="false" customHeight="true" outlineLevel="0" collapsed="false">
      <c r="A47" s="5" t="n">
        <f aca="false">ROW()-3</f>
        <v>44</v>
      </c>
      <c r="B47" s="6" t="s">
        <v>317</v>
      </c>
      <c r="C47" s="6" t="s">
        <v>131</v>
      </c>
      <c r="D47" s="6" t="s">
        <v>33</v>
      </c>
      <c r="E47" s="6" t="s">
        <v>95</v>
      </c>
      <c r="F47" s="5" t="n">
        <v>6</v>
      </c>
      <c r="G47" s="5" t="n">
        <v>17.9</v>
      </c>
      <c r="H47" s="5" t="n">
        <v>6</v>
      </c>
      <c r="I47" s="6" t="s">
        <v>318</v>
      </c>
      <c r="J47" s="6" t="s">
        <v>319</v>
      </c>
      <c r="K47" s="6" t="s">
        <v>320</v>
      </c>
      <c r="L47" s="6" t="s">
        <v>321</v>
      </c>
      <c r="M47" s="7" t="s">
        <v>322</v>
      </c>
    </row>
    <row r="48" customFormat="false" ht="42" hidden="false" customHeight="true" outlineLevel="0" collapsed="false">
      <c r="A48" s="5" t="n">
        <f aca="false">ROW()-3</f>
        <v>45</v>
      </c>
      <c r="B48" s="6" t="s">
        <v>323</v>
      </c>
      <c r="C48" s="6" t="s">
        <v>131</v>
      </c>
      <c r="D48" s="6" t="s">
        <v>45</v>
      </c>
      <c r="E48" s="6" t="s">
        <v>95</v>
      </c>
      <c r="F48" s="5" t="n">
        <v>6</v>
      </c>
      <c r="G48" s="5" t="n">
        <v>17.9</v>
      </c>
      <c r="H48" s="5" t="n">
        <v>9</v>
      </c>
      <c r="I48" s="6" t="s">
        <v>324</v>
      </c>
      <c r="J48" s="6" t="s">
        <v>325</v>
      </c>
      <c r="K48" s="6" t="s">
        <v>326</v>
      </c>
      <c r="L48" s="6" t="s">
        <v>327</v>
      </c>
      <c r="M48" s="7" t="s">
        <v>328</v>
      </c>
    </row>
    <row r="49" customFormat="false" ht="42" hidden="false" customHeight="true" outlineLevel="0" collapsed="false">
      <c r="A49" s="5" t="n">
        <f aca="false">ROW()-3</f>
        <v>46</v>
      </c>
      <c r="B49" s="6" t="s">
        <v>329</v>
      </c>
      <c r="C49" s="6" t="s">
        <v>131</v>
      </c>
      <c r="D49" s="6" t="s">
        <v>45</v>
      </c>
      <c r="E49" s="6" t="s">
        <v>95</v>
      </c>
      <c r="F49" s="5" t="n">
        <v>6</v>
      </c>
      <c r="G49" s="5" t="n">
        <v>17.9</v>
      </c>
      <c r="H49" s="5" t="n">
        <v>5</v>
      </c>
      <c r="I49" s="6" t="s">
        <v>330</v>
      </c>
      <c r="J49" s="6" t="s">
        <v>331</v>
      </c>
      <c r="K49" s="6" t="s">
        <v>332</v>
      </c>
      <c r="L49" s="6" t="s">
        <v>333</v>
      </c>
      <c r="M49" s="7" t="s">
        <v>334</v>
      </c>
    </row>
    <row r="50" customFormat="false" ht="42" hidden="false" customHeight="true" outlineLevel="0" collapsed="false">
      <c r="A50" s="5" t="n">
        <f aca="false">ROW()-3</f>
        <v>47</v>
      </c>
      <c r="B50" s="6" t="s">
        <v>335</v>
      </c>
      <c r="C50" s="6" t="s">
        <v>162</v>
      </c>
      <c r="D50" s="6" t="s">
        <v>336</v>
      </c>
      <c r="E50" s="6" t="s">
        <v>337</v>
      </c>
      <c r="F50" s="5" t="n">
        <v>0</v>
      </c>
      <c r="G50" s="5" t="n">
        <v>99</v>
      </c>
      <c r="H50" s="5" t="n">
        <v>6</v>
      </c>
      <c r="I50" s="6" t="s">
        <v>338</v>
      </c>
      <c r="J50" s="6" t="s">
        <v>339</v>
      </c>
      <c r="K50" s="6" t="s">
        <v>340</v>
      </c>
      <c r="L50" s="6" t="s">
        <v>341</v>
      </c>
      <c r="M50" s="7" t="s">
        <v>342</v>
      </c>
    </row>
    <row r="51" customFormat="false" ht="42" hidden="false" customHeight="true" outlineLevel="0" collapsed="false">
      <c r="A51" s="5" t="n">
        <f aca="false">ROW()-3</f>
        <v>48</v>
      </c>
      <c r="B51" s="6" t="s">
        <v>343</v>
      </c>
      <c r="C51" s="6" t="s">
        <v>344</v>
      </c>
      <c r="D51" s="6" t="s">
        <v>17</v>
      </c>
      <c r="E51" s="6" t="s">
        <v>345</v>
      </c>
      <c r="F51" s="5" t="n">
        <v>12</v>
      </c>
      <c r="G51" s="5" t="n">
        <v>17.9</v>
      </c>
      <c r="H51" s="5" t="n">
        <v>5</v>
      </c>
      <c r="I51" s="6" t="s">
        <v>346</v>
      </c>
      <c r="J51" s="6" t="s">
        <v>347</v>
      </c>
      <c r="K51" s="6" t="s">
        <v>348</v>
      </c>
      <c r="L51" s="6" t="s">
        <v>349</v>
      </c>
      <c r="M51" s="7" t="s">
        <v>350</v>
      </c>
    </row>
    <row r="52" customFormat="false" ht="42" hidden="false" customHeight="true" outlineLevel="0" collapsed="false">
      <c r="A52" s="5" t="n">
        <f aca="false">ROW()-3</f>
        <v>49</v>
      </c>
      <c r="B52" s="6" t="s">
        <v>351</v>
      </c>
      <c r="C52" s="6" t="s">
        <v>344</v>
      </c>
      <c r="D52" s="6" t="s">
        <v>187</v>
      </c>
      <c r="E52" s="6" t="s">
        <v>352</v>
      </c>
      <c r="F52" s="5" t="n">
        <v>0</v>
      </c>
      <c r="G52" s="5" t="n">
        <v>100</v>
      </c>
      <c r="H52" s="5" t="n">
        <v>5</v>
      </c>
      <c r="I52" s="6" t="s">
        <v>353</v>
      </c>
      <c r="J52" s="6" t="s">
        <v>354</v>
      </c>
      <c r="K52" s="6" t="s">
        <v>355</v>
      </c>
      <c r="L52" s="6" t="s">
        <v>356</v>
      </c>
      <c r="M52" s="7" t="s">
        <v>357</v>
      </c>
    </row>
    <row r="53" customFormat="false" ht="42" hidden="false" customHeight="true" outlineLevel="0" collapsed="false">
      <c r="A53" s="5" t="n">
        <f aca="false">ROW()-3</f>
        <v>50</v>
      </c>
      <c r="B53" s="6" t="s">
        <v>358</v>
      </c>
      <c r="C53" s="6" t="s">
        <v>344</v>
      </c>
      <c r="D53" s="6" t="s">
        <v>187</v>
      </c>
      <c r="E53" s="6" t="s">
        <v>359</v>
      </c>
      <c r="F53" s="5" t="n">
        <v>6</v>
      </c>
      <c r="G53" s="5" t="n">
        <v>11.9</v>
      </c>
      <c r="H53" s="5" t="n">
        <v>5</v>
      </c>
      <c r="I53" s="6" t="s">
        <v>360</v>
      </c>
      <c r="J53" s="6" t="s">
        <v>361</v>
      </c>
      <c r="K53" s="6" t="s">
        <v>362</v>
      </c>
      <c r="L53" s="6" t="s">
        <v>363</v>
      </c>
      <c r="M53" s="7" t="s">
        <v>364</v>
      </c>
    </row>
    <row r="54" customFormat="false" ht="42" hidden="false" customHeight="true" outlineLevel="0" collapsed="false">
      <c r="A54" s="5" t="n">
        <f aca="false">ROW()-3</f>
        <v>51</v>
      </c>
      <c r="B54" s="6" t="s">
        <v>365</v>
      </c>
      <c r="C54" s="6" t="s">
        <v>72</v>
      </c>
      <c r="D54" s="6" t="s">
        <v>156</v>
      </c>
      <c r="E54" s="6" t="s">
        <v>88</v>
      </c>
      <c r="F54" s="5" t="n">
        <v>1.5</v>
      </c>
      <c r="G54" s="5" t="n">
        <v>5.9</v>
      </c>
      <c r="H54" s="5" t="n">
        <v>1</v>
      </c>
      <c r="I54" s="6" t="s">
        <v>366</v>
      </c>
      <c r="J54" s="6" t="s">
        <v>367</v>
      </c>
      <c r="K54" s="6" t="s">
        <v>368</v>
      </c>
      <c r="L54" s="6" t="s">
        <v>369</v>
      </c>
      <c r="M54" s="7" t="s">
        <v>370</v>
      </c>
    </row>
    <row r="55" customFormat="false" ht="42" hidden="false" customHeight="true" outlineLevel="0" collapsed="false">
      <c r="A55" s="5" t="n">
        <f aca="false">ROW()-3</f>
        <v>52</v>
      </c>
      <c r="B55" s="6" t="s">
        <v>371</v>
      </c>
      <c r="C55" s="6" t="s">
        <v>210</v>
      </c>
      <c r="D55" s="6" t="s">
        <v>17</v>
      </c>
      <c r="E55" s="6" t="s">
        <v>372</v>
      </c>
      <c r="F55" s="5" t="n">
        <v>14</v>
      </c>
      <c r="G55" s="5" t="n">
        <v>99</v>
      </c>
      <c r="H55" s="5" t="n">
        <v>7</v>
      </c>
      <c r="I55" s="6" t="s">
        <v>373</v>
      </c>
      <c r="J55" s="6" t="s">
        <v>374</v>
      </c>
      <c r="K55" s="6" t="s">
        <v>375</v>
      </c>
      <c r="L55" s="6" t="s">
        <v>376</v>
      </c>
      <c r="M55" s="7" t="s">
        <v>377</v>
      </c>
    </row>
    <row r="56" customFormat="false" ht="42" hidden="false" customHeight="true" outlineLevel="0" collapsed="false">
      <c r="A56" s="5" t="n">
        <f aca="false">ROW()-3</f>
        <v>53</v>
      </c>
      <c r="B56" s="6" t="s">
        <v>378</v>
      </c>
      <c r="C56" s="6" t="s">
        <v>379</v>
      </c>
      <c r="D56" s="6" t="s">
        <v>33</v>
      </c>
      <c r="E56" s="6" t="s">
        <v>65</v>
      </c>
      <c r="F56" s="5" t="n">
        <v>0</v>
      </c>
      <c r="G56" s="5" t="n">
        <v>99</v>
      </c>
      <c r="H56" s="5" t="n">
        <v>3</v>
      </c>
      <c r="I56" s="6" t="s">
        <v>380</v>
      </c>
      <c r="J56" s="6" t="s">
        <v>381</v>
      </c>
      <c r="K56" s="6" t="s">
        <v>382</v>
      </c>
      <c r="L56" s="6" t="s">
        <v>383</v>
      </c>
      <c r="M56" s="7" t="s">
        <v>384</v>
      </c>
    </row>
    <row r="57" customFormat="false" ht="42" hidden="false" customHeight="true" outlineLevel="0" collapsed="false">
      <c r="A57" s="5" t="n">
        <f aca="false">ROW()-3</f>
        <v>54</v>
      </c>
      <c r="B57" s="6" t="s">
        <v>385</v>
      </c>
      <c r="C57" s="6" t="s">
        <v>162</v>
      </c>
      <c r="D57" s="6" t="s">
        <v>187</v>
      </c>
      <c r="E57" s="6" t="s">
        <v>386</v>
      </c>
      <c r="F57" s="5" t="n">
        <v>7</v>
      </c>
      <c r="G57" s="5" t="n">
        <v>9</v>
      </c>
      <c r="H57" s="5" t="n">
        <v>8</v>
      </c>
      <c r="I57" s="6" t="s">
        <v>387</v>
      </c>
      <c r="J57" s="6" t="s">
        <v>388</v>
      </c>
      <c r="K57" s="6" t="s">
        <v>389</v>
      </c>
      <c r="L57" s="6" t="s">
        <v>390</v>
      </c>
      <c r="M57" s="7" t="s">
        <v>391</v>
      </c>
    </row>
    <row r="58" customFormat="false" ht="42" hidden="false" customHeight="true" outlineLevel="0" collapsed="false">
      <c r="A58" s="5" t="n">
        <f aca="false">ROW()-3</f>
        <v>55</v>
      </c>
      <c r="B58" s="6" t="s">
        <v>392</v>
      </c>
      <c r="C58" s="6" t="s">
        <v>131</v>
      </c>
      <c r="D58" s="6" t="s">
        <v>393</v>
      </c>
      <c r="E58" s="6" t="s">
        <v>394</v>
      </c>
      <c r="F58" s="5" t="n">
        <v>5</v>
      </c>
      <c r="G58" s="5" t="n">
        <v>99</v>
      </c>
      <c r="H58" s="5" t="n">
        <v>11</v>
      </c>
      <c r="I58" s="6" t="s">
        <v>395</v>
      </c>
      <c r="J58" s="6" t="s">
        <v>396</v>
      </c>
      <c r="K58" s="6" t="s">
        <v>397</v>
      </c>
      <c r="L58" s="6" t="s">
        <v>398</v>
      </c>
      <c r="M58" s="7" t="s">
        <v>399</v>
      </c>
    </row>
    <row r="59" customFormat="false" ht="42" hidden="false" customHeight="true" outlineLevel="0" collapsed="false">
      <c r="A59" s="5" t="n">
        <f aca="false">ROW()-3</f>
        <v>56</v>
      </c>
      <c r="B59" s="6" t="s">
        <v>400</v>
      </c>
      <c r="C59" s="6" t="s">
        <v>401</v>
      </c>
      <c r="D59" s="6" t="s">
        <v>17</v>
      </c>
      <c r="E59" s="6" t="s">
        <v>173</v>
      </c>
      <c r="F59" s="5" t="n">
        <v>8</v>
      </c>
      <c r="G59" s="5" t="n">
        <v>17.9</v>
      </c>
      <c r="H59" s="5" t="n">
        <v>5</v>
      </c>
      <c r="I59" s="6" t="s">
        <v>402</v>
      </c>
      <c r="J59" s="6" t="s">
        <v>403</v>
      </c>
      <c r="K59" s="6" t="s">
        <v>404</v>
      </c>
      <c r="L59" s="6" t="s">
        <v>405</v>
      </c>
      <c r="M59" s="7" t="s">
        <v>406</v>
      </c>
    </row>
    <row r="60" customFormat="false" ht="42" hidden="false" customHeight="true" outlineLevel="0" collapsed="false">
      <c r="A60" s="5" t="n">
        <f aca="false">ROW()-3</f>
        <v>57</v>
      </c>
      <c r="B60" s="6" t="s">
        <v>407</v>
      </c>
      <c r="C60" s="6" t="s">
        <v>122</v>
      </c>
      <c r="D60" s="6" t="s">
        <v>17</v>
      </c>
      <c r="E60" s="6" t="s">
        <v>408</v>
      </c>
      <c r="F60" s="5" t="n">
        <v>11</v>
      </c>
      <c r="G60" s="5" t="n">
        <v>99</v>
      </c>
      <c r="H60" s="5" t="n">
        <v>4</v>
      </c>
      <c r="I60" s="6" t="s">
        <v>409</v>
      </c>
      <c r="J60" s="6" t="s">
        <v>410</v>
      </c>
      <c r="K60" s="6" t="s">
        <v>411</v>
      </c>
      <c r="L60" s="6" t="s">
        <v>412</v>
      </c>
      <c r="M60" s="7" t="s">
        <v>413</v>
      </c>
    </row>
    <row r="61" customFormat="false" ht="42" hidden="false" customHeight="true" outlineLevel="0" collapsed="false">
      <c r="A61" s="5" t="n">
        <f aca="false">ROW()-3</f>
        <v>58</v>
      </c>
      <c r="B61" s="6" t="s">
        <v>414</v>
      </c>
      <c r="C61" s="6" t="s">
        <v>122</v>
      </c>
      <c r="D61" s="6" t="s">
        <v>17</v>
      </c>
      <c r="E61" s="6" t="s">
        <v>415</v>
      </c>
      <c r="F61" s="5" t="n">
        <v>10</v>
      </c>
      <c r="G61" s="5" t="n">
        <v>99</v>
      </c>
      <c r="H61" s="5" t="n">
        <v>6</v>
      </c>
      <c r="I61" s="6" t="s">
        <v>416</v>
      </c>
      <c r="J61" s="6" t="s">
        <v>417</v>
      </c>
      <c r="K61" s="6" t="s">
        <v>418</v>
      </c>
      <c r="L61" s="6" t="s">
        <v>419</v>
      </c>
      <c r="M61" s="7" t="s">
        <v>420</v>
      </c>
    </row>
    <row r="62" customFormat="false" ht="42" hidden="false" customHeight="true" outlineLevel="0" collapsed="false">
      <c r="A62" s="5" t="n">
        <f aca="false">ROW()-3</f>
        <v>59</v>
      </c>
      <c r="B62" s="6" t="s">
        <v>421</v>
      </c>
      <c r="C62" s="6" t="s">
        <v>122</v>
      </c>
      <c r="D62" s="6" t="s">
        <v>17</v>
      </c>
      <c r="E62" s="6" t="s">
        <v>408</v>
      </c>
      <c r="F62" s="5" t="n">
        <v>11</v>
      </c>
      <c r="G62" s="5" t="n">
        <v>99</v>
      </c>
      <c r="H62" s="5" t="n">
        <v>5</v>
      </c>
      <c r="I62" s="6" t="s">
        <v>422</v>
      </c>
      <c r="J62" s="6" t="s">
        <v>423</v>
      </c>
      <c r="K62" s="6" t="s">
        <v>424</v>
      </c>
      <c r="L62" s="6" t="s">
        <v>425</v>
      </c>
      <c r="M62" s="7" t="s">
        <v>426</v>
      </c>
    </row>
    <row r="63" customFormat="false" ht="42" hidden="false" customHeight="true" outlineLevel="0" collapsed="false">
      <c r="A63" s="5" t="n">
        <f aca="false">ROW()-3</f>
        <v>60</v>
      </c>
      <c r="B63" s="6" t="s">
        <v>427</v>
      </c>
      <c r="C63" s="6" t="s">
        <v>428</v>
      </c>
      <c r="D63" s="6" t="s">
        <v>272</v>
      </c>
      <c r="E63" s="6" t="s">
        <v>429</v>
      </c>
      <c r="F63" s="5" t="n">
        <v>12</v>
      </c>
      <c r="G63" s="5" t="n">
        <v>99</v>
      </c>
      <c r="H63" s="5" t="n">
        <v>6</v>
      </c>
      <c r="I63" s="6" t="s">
        <v>430</v>
      </c>
      <c r="J63" s="6" t="s">
        <v>431</v>
      </c>
      <c r="K63" s="6" t="s">
        <v>432</v>
      </c>
      <c r="L63" s="6" t="s">
        <v>433</v>
      </c>
      <c r="M63" s="7" t="s">
        <v>434</v>
      </c>
    </row>
    <row r="64" customFormat="false" ht="42" hidden="false" customHeight="true" outlineLevel="0" collapsed="false">
      <c r="A64" s="5" t="n">
        <f aca="false">ROW()-3</f>
        <v>61</v>
      </c>
      <c r="B64" s="6" t="s">
        <v>435</v>
      </c>
      <c r="C64" s="6" t="s">
        <v>428</v>
      </c>
      <c r="D64" s="6" t="s">
        <v>272</v>
      </c>
      <c r="E64" s="6" t="s">
        <v>429</v>
      </c>
      <c r="F64" s="5" t="n">
        <v>12</v>
      </c>
      <c r="G64" s="5" t="n">
        <v>99</v>
      </c>
      <c r="H64" s="5" t="n">
        <v>4</v>
      </c>
      <c r="I64" s="6" t="s">
        <v>436</v>
      </c>
      <c r="J64" s="6" t="s">
        <v>437</v>
      </c>
      <c r="K64" s="6" t="s">
        <v>438</v>
      </c>
      <c r="L64" s="6" t="s">
        <v>439</v>
      </c>
      <c r="M64" s="7" t="s">
        <v>440</v>
      </c>
    </row>
    <row r="65" customFormat="false" ht="42" hidden="false" customHeight="true" outlineLevel="0" collapsed="false">
      <c r="A65" s="5" t="n">
        <f aca="false">ROW()-3</f>
        <v>62</v>
      </c>
      <c r="B65" s="6" t="s">
        <v>441</v>
      </c>
      <c r="C65" s="6" t="s">
        <v>442</v>
      </c>
      <c r="D65" s="6" t="s">
        <v>443</v>
      </c>
      <c r="E65" s="6" t="s">
        <v>444</v>
      </c>
      <c r="F65" s="5" t="n">
        <v>0.3</v>
      </c>
      <c r="G65" s="5" t="n">
        <v>0.6</v>
      </c>
      <c r="H65" s="5" t="n">
        <v>7</v>
      </c>
      <c r="I65" s="6" t="s">
        <v>445</v>
      </c>
      <c r="J65" s="6" t="s">
        <v>446</v>
      </c>
      <c r="K65" s="6" t="s">
        <v>447</v>
      </c>
      <c r="L65" s="6" t="s">
        <v>448</v>
      </c>
      <c r="M65" s="7" t="s">
        <v>449</v>
      </c>
    </row>
    <row r="66" customFormat="false" ht="42" hidden="false" customHeight="true" outlineLevel="0" collapsed="false">
      <c r="A66" s="5" t="n">
        <f aca="false">ROW()-3</f>
        <v>63</v>
      </c>
      <c r="B66" s="6" t="s">
        <v>450</v>
      </c>
      <c r="C66" s="6" t="s">
        <v>210</v>
      </c>
      <c r="D66" s="6" t="s">
        <v>33</v>
      </c>
      <c r="E66" s="6" t="s">
        <v>451</v>
      </c>
      <c r="F66" s="5" t="n">
        <v>3</v>
      </c>
      <c r="G66" s="5" t="n">
        <v>17.9</v>
      </c>
      <c r="H66" s="5" t="n">
        <v>3</v>
      </c>
      <c r="I66" s="6" t="s">
        <v>452</v>
      </c>
      <c r="J66" s="6" t="s">
        <v>453</v>
      </c>
      <c r="K66" s="6" t="s">
        <v>454</v>
      </c>
      <c r="L66" s="6" t="s">
        <v>455</v>
      </c>
      <c r="M66" s="7" t="s">
        <v>456</v>
      </c>
    </row>
    <row r="67" customFormat="false" ht="42" hidden="false" customHeight="true" outlineLevel="0" collapsed="false">
      <c r="A67" s="5" t="n">
        <f aca="false">ROW()-3</f>
        <v>64</v>
      </c>
      <c r="B67" s="6" t="s">
        <v>457</v>
      </c>
      <c r="C67" s="6" t="s">
        <v>210</v>
      </c>
      <c r="D67" s="6" t="s">
        <v>156</v>
      </c>
      <c r="E67" s="6" t="s">
        <v>451</v>
      </c>
      <c r="F67" s="5" t="n">
        <v>3</v>
      </c>
      <c r="G67" s="5" t="n">
        <v>17.9</v>
      </c>
      <c r="H67" s="5" t="n">
        <v>3</v>
      </c>
      <c r="I67" s="6" t="s">
        <v>458</v>
      </c>
      <c r="J67" s="6" t="s">
        <v>453</v>
      </c>
      <c r="K67" s="6" t="s">
        <v>459</v>
      </c>
      <c r="L67" s="6" t="s">
        <v>460</v>
      </c>
      <c r="M67" s="7" t="s">
        <v>461</v>
      </c>
    </row>
    <row r="68" customFormat="false" ht="42" hidden="false" customHeight="true" outlineLevel="0" collapsed="false">
      <c r="A68" s="5" t="n">
        <f aca="false">ROW()-3</f>
        <v>65</v>
      </c>
      <c r="B68" s="6" t="s">
        <v>462</v>
      </c>
      <c r="C68" s="6" t="s">
        <v>210</v>
      </c>
      <c r="D68" s="6" t="s">
        <v>17</v>
      </c>
      <c r="E68" s="6" t="s">
        <v>463</v>
      </c>
      <c r="F68" s="5" t="n">
        <v>9</v>
      </c>
      <c r="G68" s="5" t="n">
        <v>17</v>
      </c>
      <c r="H68" s="5" t="n">
        <v>4</v>
      </c>
      <c r="I68" s="6" t="s">
        <v>464</v>
      </c>
      <c r="J68" s="6" t="s">
        <v>465</v>
      </c>
      <c r="K68" s="6" t="s">
        <v>466</v>
      </c>
      <c r="L68" s="6" t="s">
        <v>467</v>
      </c>
      <c r="M68" s="7" t="s">
        <v>468</v>
      </c>
    </row>
    <row r="69" customFormat="false" ht="42" hidden="false" customHeight="true" outlineLevel="0" collapsed="false">
      <c r="A69" s="5" t="n">
        <f aca="false">ROW()-3</f>
        <v>66</v>
      </c>
      <c r="B69" s="6" t="s">
        <v>469</v>
      </c>
      <c r="C69" s="6" t="s">
        <v>210</v>
      </c>
      <c r="D69" s="6" t="s">
        <v>17</v>
      </c>
      <c r="E69" s="6" t="s">
        <v>470</v>
      </c>
      <c r="F69" s="5" t="n">
        <v>10</v>
      </c>
      <c r="G69" s="5" t="n">
        <v>19</v>
      </c>
      <c r="H69" s="5" t="n">
        <v>2</v>
      </c>
      <c r="I69" s="6" t="s">
        <v>471</v>
      </c>
      <c r="J69" s="6" t="s">
        <v>472</v>
      </c>
      <c r="K69" s="6" t="s">
        <v>473</v>
      </c>
      <c r="L69" s="6" t="s">
        <v>474</v>
      </c>
      <c r="M69" s="7" t="s">
        <v>475</v>
      </c>
    </row>
    <row r="70" customFormat="false" ht="42" hidden="false" customHeight="true" outlineLevel="0" collapsed="false">
      <c r="A70" s="5" t="n">
        <f aca="false">ROW()-3</f>
        <v>67</v>
      </c>
      <c r="B70" s="6" t="s">
        <v>476</v>
      </c>
      <c r="C70" s="6" t="s">
        <v>477</v>
      </c>
      <c r="D70" s="6" t="s">
        <v>478</v>
      </c>
      <c r="E70" s="6" t="s">
        <v>479</v>
      </c>
      <c r="F70" s="5" t="n">
        <v>1</v>
      </c>
      <c r="G70" s="5" t="n">
        <v>8.2</v>
      </c>
      <c r="H70" s="5" t="n">
        <v>7</v>
      </c>
      <c r="I70" s="6" t="s">
        <v>480</v>
      </c>
      <c r="J70" s="6" t="s">
        <v>481</v>
      </c>
      <c r="K70" s="6" t="s">
        <v>482</v>
      </c>
      <c r="L70" s="6" t="s">
        <v>483</v>
      </c>
      <c r="M70" s="7" t="s">
        <v>484</v>
      </c>
    </row>
    <row r="71" customFormat="false" ht="42" hidden="false" customHeight="true" outlineLevel="0" collapsed="false">
      <c r="A71" s="5" t="n">
        <f aca="false">ROW()-3</f>
        <v>68</v>
      </c>
      <c r="B71" s="6" t="s">
        <v>485</v>
      </c>
      <c r="C71" s="6" t="s">
        <v>280</v>
      </c>
      <c r="D71" s="6" t="s">
        <v>486</v>
      </c>
      <c r="E71" s="6" t="s">
        <v>487</v>
      </c>
      <c r="F71" s="5" t="n">
        <v>0</v>
      </c>
      <c r="G71" s="5" t="n">
        <v>83.2</v>
      </c>
      <c r="H71" s="5" t="n">
        <v>7</v>
      </c>
      <c r="I71" s="6" t="s">
        <v>488</v>
      </c>
      <c r="J71" s="6" t="s">
        <v>489</v>
      </c>
      <c r="K71" s="6" t="s">
        <v>490</v>
      </c>
      <c r="L71" s="6" t="s">
        <v>491</v>
      </c>
      <c r="M71" s="7" t="s">
        <v>492</v>
      </c>
    </row>
    <row r="72" customFormat="false" ht="42" hidden="false" customHeight="true" outlineLevel="0" collapsed="false">
      <c r="A72" s="5" t="n">
        <f aca="false">ROW()-3</f>
        <v>69</v>
      </c>
      <c r="B72" s="6" t="s">
        <v>493</v>
      </c>
      <c r="C72" s="6" t="s">
        <v>280</v>
      </c>
      <c r="D72" s="6" t="s">
        <v>486</v>
      </c>
      <c r="E72" s="6" t="s">
        <v>487</v>
      </c>
      <c r="F72" s="5" t="n">
        <v>0</v>
      </c>
      <c r="G72" s="5" t="n">
        <v>83.2</v>
      </c>
      <c r="H72" s="5" t="n">
        <v>2</v>
      </c>
      <c r="I72" s="6" t="s">
        <v>494</v>
      </c>
      <c r="J72" s="6" t="s">
        <v>495</v>
      </c>
      <c r="K72" s="6" t="s">
        <v>496</v>
      </c>
      <c r="L72" s="6" t="s">
        <v>497</v>
      </c>
      <c r="M72" s="7" t="s">
        <v>498</v>
      </c>
    </row>
    <row r="73" customFormat="false" ht="42" hidden="false" customHeight="true" outlineLevel="0" collapsed="false">
      <c r="A73" s="5" t="n">
        <f aca="false">ROW()-3</f>
        <v>70</v>
      </c>
      <c r="B73" s="6" t="s">
        <v>499</v>
      </c>
      <c r="C73" s="6" t="s">
        <v>500</v>
      </c>
      <c r="D73" s="6" t="s">
        <v>17</v>
      </c>
      <c r="E73" s="6" t="s">
        <v>501</v>
      </c>
      <c r="F73" s="5" t="n">
        <v>11</v>
      </c>
      <c r="G73" s="5" t="n">
        <v>17.9</v>
      </c>
      <c r="H73" s="5" t="n">
        <v>6</v>
      </c>
      <c r="I73" s="6" t="s">
        <v>502</v>
      </c>
      <c r="J73" s="6" t="s">
        <v>503</v>
      </c>
      <c r="K73" s="6" t="s">
        <v>504</v>
      </c>
      <c r="L73" s="6" t="s">
        <v>505</v>
      </c>
      <c r="M73" s="7" t="s">
        <v>506</v>
      </c>
    </row>
    <row r="74" customFormat="false" ht="42" hidden="false" customHeight="true" outlineLevel="0" collapsed="false">
      <c r="A74" s="5" t="n">
        <f aca="false">ROW()-3</f>
        <v>71</v>
      </c>
      <c r="B74" s="6" t="s">
        <v>507</v>
      </c>
      <c r="C74" s="6" t="s">
        <v>500</v>
      </c>
      <c r="D74" s="6" t="s">
        <v>17</v>
      </c>
      <c r="E74" s="6" t="s">
        <v>508</v>
      </c>
      <c r="F74" s="5" t="n">
        <v>7</v>
      </c>
      <c r="G74" s="5" t="n">
        <v>10.9</v>
      </c>
      <c r="H74" s="5" t="n">
        <v>6</v>
      </c>
      <c r="I74" s="6" t="s">
        <v>509</v>
      </c>
      <c r="J74" s="6" t="s">
        <v>503</v>
      </c>
      <c r="K74" s="6" t="s">
        <v>510</v>
      </c>
      <c r="L74" s="6" t="s">
        <v>511</v>
      </c>
      <c r="M74" s="7" t="s">
        <v>512</v>
      </c>
    </row>
    <row r="75" customFormat="false" ht="42" hidden="false" customHeight="true" outlineLevel="0" collapsed="false">
      <c r="A75" s="5" t="n">
        <f aca="false">ROW()-3</f>
        <v>72</v>
      </c>
      <c r="B75" s="6" t="s">
        <v>513</v>
      </c>
      <c r="C75" s="6" t="s">
        <v>500</v>
      </c>
      <c r="D75" s="6" t="s">
        <v>33</v>
      </c>
      <c r="E75" s="6" t="s">
        <v>514</v>
      </c>
      <c r="F75" s="5" t="n">
        <v>7</v>
      </c>
      <c r="G75" s="5" t="n">
        <v>17.9</v>
      </c>
      <c r="H75" s="5" t="n">
        <v>7</v>
      </c>
      <c r="I75" s="6" t="s">
        <v>515</v>
      </c>
      <c r="J75" s="6" t="s">
        <v>516</v>
      </c>
      <c r="K75" s="6" t="s">
        <v>517</v>
      </c>
      <c r="L75" s="6" t="s">
        <v>518</v>
      </c>
      <c r="M75" s="7" t="s">
        <v>519</v>
      </c>
    </row>
    <row r="76" customFormat="false" ht="42" hidden="false" customHeight="true" outlineLevel="0" collapsed="false">
      <c r="A76" s="5" t="n">
        <f aca="false">ROW()-3</f>
        <v>73</v>
      </c>
      <c r="B76" s="6" t="s">
        <v>520</v>
      </c>
      <c r="C76" s="6" t="s">
        <v>521</v>
      </c>
      <c r="D76" s="6" t="s">
        <v>17</v>
      </c>
      <c r="E76" s="6" t="s">
        <v>501</v>
      </c>
      <c r="F76" s="5" t="n">
        <v>11</v>
      </c>
      <c r="G76" s="5" t="n">
        <v>17.9</v>
      </c>
      <c r="H76" s="5" t="n">
        <v>6</v>
      </c>
      <c r="I76" s="6" t="s">
        <v>522</v>
      </c>
      <c r="J76" s="6" t="s">
        <v>523</v>
      </c>
      <c r="K76" s="6" t="s">
        <v>524</v>
      </c>
      <c r="L76" s="6" t="s">
        <v>525</v>
      </c>
      <c r="M76" s="7" t="s">
        <v>526</v>
      </c>
    </row>
    <row r="77" customFormat="false" ht="42" hidden="false" customHeight="true" outlineLevel="0" collapsed="false">
      <c r="A77" s="5" t="n">
        <f aca="false">ROW()-3</f>
        <v>74</v>
      </c>
      <c r="B77" s="6" t="s">
        <v>527</v>
      </c>
      <c r="C77" s="6" t="s">
        <v>528</v>
      </c>
      <c r="D77" s="6" t="s">
        <v>17</v>
      </c>
      <c r="E77" s="6" t="s">
        <v>508</v>
      </c>
      <c r="F77" s="5" t="n">
        <v>7</v>
      </c>
      <c r="G77" s="5" t="n">
        <v>10.9</v>
      </c>
      <c r="H77" s="5" t="n">
        <v>6</v>
      </c>
      <c r="I77" s="6" t="s">
        <v>529</v>
      </c>
      <c r="J77" s="6" t="s">
        <v>523</v>
      </c>
      <c r="K77" s="6" t="s">
        <v>530</v>
      </c>
      <c r="L77" s="6" t="s">
        <v>531</v>
      </c>
      <c r="M77" s="7" t="s">
        <v>532</v>
      </c>
    </row>
    <row r="78" customFormat="false" ht="42" hidden="false" customHeight="true" outlineLevel="0" collapsed="false">
      <c r="A78" s="5" t="n">
        <f aca="false">ROW()-3</f>
        <v>75</v>
      </c>
      <c r="B78" s="6" t="s">
        <v>533</v>
      </c>
      <c r="C78" s="6" t="s">
        <v>528</v>
      </c>
      <c r="D78" s="6" t="s">
        <v>33</v>
      </c>
      <c r="E78" s="6" t="s">
        <v>534</v>
      </c>
      <c r="F78" s="5" t="n">
        <v>2</v>
      </c>
      <c r="G78" s="5" t="n">
        <v>17.9</v>
      </c>
      <c r="H78" s="5" t="n">
        <v>6</v>
      </c>
      <c r="I78" s="6" t="s">
        <v>535</v>
      </c>
      <c r="J78" s="6" t="s">
        <v>536</v>
      </c>
      <c r="K78" s="6" t="s">
        <v>537</v>
      </c>
      <c r="L78" s="6" t="s">
        <v>538</v>
      </c>
      <c r="M78" s="7" t="s">
        <v>539</v>
      </c>
    </row>
    <row r="79" customFormat="false" ht="42" hidden="false" customHeight="true" outlineLevel="0" collapsed="false">
      <c r="A79" s="5" t="n">
        <f aca="false">ROW()-3</f>
        <v>76</v>
      </c>
      <c r="B79" s="6" t="s">
        <v>540</v>
      </c>
      <c r="C79" s="6" t="s">
        <v>219</v>
      </c>
      <c r="D79" s="6" t="s">
        <v>17</v>
      </c>
      <c r="E79" s="6" t="s">
        <v>265</v>
      </c>
      <c r="F79" s="5" t="n">
        <v>8</v>
      </c>
      <c r="G79" s="5" t="n">
        <v>17.9</v>
      </c>
      <c r="H79" s="5" t="n">
        <v>7</v>
      </c>
      <c r="I79" s="6" t="s">
        <v>541</v>
      </c>
      <c r="J79" s="6" t="s">
        <v>542</v>
      </c>
      <c r="K79" s="6" t="s">
        <v>543</v>
      </c>
      <c r="L79" s="6" t="s">
        <v>544</v>
      </c>
      <c r="M79" s="7" t="s">
        <v>545</v>
      </c>
    </row>
    <row r="80" customFormat="false" ht="42" hidden="false" customHeight="true" outlineLevel="0" collapsed="false">
      <c r="A80" s="5" t="n">
        <f aca="false">ROW()-3</f>
        <v>77</v>
      </c>
      <c r="B80" s="6" t="s">
        <v>546</v>
      </c>
      <c r="C80" s="6" t="s">
        <v>162</v>
      </c>
      <c r="D80" s="6" t="s">
        <v>547</v>
      </c>
      <c r="E80" s="6" t="s">
        <v>265</v>
      </c>
      <c r="F80" s="5" t="n">
        <v>8</v>
      </c>
      <c r="G80" s="5" t="n">
        <v>17</v>
      </c>
      <c r="H80" s="5" t="n">
        <v>4</v>
      </c>
      <c r="I80" s="6" t="s">
        <v>548</v>
      </c>
      <c r="J80" s="6" t="s">
        <v>549</v>
      </c>
      <c r="K80" s="6" t="s">
        <v>550</v>
      </c>
      <c r="L80" s="6" t="s">
        <v>551</v>
      </c>
      <c r="M80" s="7" t="s">
        <v>552</v>
      </c>
    </row>
    <row r="81" customFormat="false" ht="42" hidden="false" customHeight="true" outlineLevel="0" collapsed="false">
      <c r="A81" s="5" t="n">
        <f aca="false">ROW()-3</f>
        <v>78</v>
      </c>
      <c r="B81" s="6" t="s">
        <v>553</v>
      </c>
      <c r="C81" s="6" t="s">
        <v>554</v>
      </c>
      <c r="D81" s="6" t="s">
        <v>17</v>
      </c>
      <c r="E81" s="6" t="s">
        <v>164</v>
      </c>
      <c r="F81" s="5" t="n">
        <v>13</v>
      </c>
      <c r="G81" s="5" t="n">
        <v>99</v>
      </c>
      <c r="H81" s="5" t="n">
        <v>16</v>
      </c>
      <c r="I81" s="6" t="s">
        <v>555</v>
      </c>
      <c r="J81" s="6" t="s">
        <v>556</v>
      </c>
      <c r="K81" s="6" t="s">
        <v>557</v>
      </c>
      <c r="L81" s="6" t="s">
        <v>558</v>
      </c>
      <c r="M81" s="7" t="s">
        <v>559</v>
      </c>
    </row>
    <row r="82" customFormat="false" ht="42" hidden="false" customHeight="true" outlineLevel="0" collapsed="false">
      <c r="A82" s="5" t="n">
        <f aca="false">ROW()-3</f>
        <v>79</v>
      </c>
      <c r="B82" s="6" t="s">
        <v>560</v>
      </c>
      <c r="C82" s="6" t="s">
        <v>554</v>
      </c>
      <c r="D82" s="6" t="s">
        <v>17</v>
      </c>
      <c r="E82" s="6" t="s">
        <v>561</v>
      </c>
      <c r="F82" s="5" t="n">
        <v>8</v>
      </c>
      <c r="G82" s="5" t="n">
        <v>12.9</v>
      </c>
      <c r="H82" s="5" t="n">
        <v>16</v>
      </c>
      <c r="I82" s="6" t="s">
        <v>562</v>
      </c>
      <c r="J82" s="6" t="s">
        <v>556</v>
      </c>
      <c r="K82" s="6" t="s">
        <v>563</v>
      </c>
      <c r="L82" s="6" t="s">
        <v>564</v>
      </c>
      <c r="M82" s="7" t="s">
        <v>565</v>
      </c>
    </row>
    <row r="83" customFormat="false" ht="42" hidden="false" customHeight="true" outlineLevel="0" collapsed="false">
      <c r="A83" s="5" t="n">
        <f aca="false">ROW()-3</f>
        <v>80</v>
      </c>
      <c r="B83" s="6" t="s">
        <v>566</v>
      </c>
      <c r="C83" s="6" t="s">
        <v>554</v>
      </c>
      <c r="D83" s="6" t="s">
        <v>567</v>
      </c>
      <c r="E83" s="6" t="s">
        <v>95</v>
      </c>
      <c r="F83" s="5" t="n">
        <v>6</v>
      </c>
      <c r="G83" s="5" t="n">
        <v>17.9</v>
      </c>
      <c r="H83" s="5" t="n">
        <v>16</v>
      </c>
      <c r="I83" s="6" t="s">
        <v>568</v>
      </c>
      <c r="J83" s="6" t="s">
        <v>556</v>
      </c>
      <c r="K83" s="6" t="s">
        <v>569</v>
      </c>
      <c r="L83" s="6" t="s">
        <v>570</v>
      </c>
      <c r="M83" s="7" t="s">
        <v>571</v>
      </c>
    </row>
    <row r="84" customFormat="false" ht="42" hidden="false" customHeight="true" outlineLevel="0" collapsed="false">
      <c r="A84" s="5" t="n">
        <f aca="false">ROW()-3</f>
        <v>81</v>
      </c>
      <c r="B84" s="6" t="s">
        <v>572</v>
      </c>
      <c r="C84" s="6" t="s">
        <v>554</v>
      </c>
      <c r="D84" s="6" t="s">
        <v>573</v>
      </c>
      <c r="E84" s="6" t="s">
        <v>574</v>
      </c>
      <c r="F84" s="5" t="n">
        <v>14</v>
      </c>
      <c r="G84" s="5" t="n">
        <v>99</v>
      </c>
      <c r="H84" s="5" t="n">
        <v>5</v>
      </c>
      <c r="I84" s="6" t="s">
        <v>575</v>
      </c>
      <c r="J84" s="6" t="s">
        <v>576</v>
      </c>
      <c r="K84" s="6" t="s">
        <v>577</v>
      </c>
      <c r="L84" s="6" t="s">
        <v>578</v>
      </c>
      <c r="M84" s="7" t="s">
        <v>579</v>
      </c>
    </row>
    <row r="85" customFormat="false" ht="42" hidden="false" customHeight="true" outlineLevel="0" collapsed="false">
      <c r="A85" s="5" t="n">
        <f aca="false">ROW()-3</f>
        <v>82</v>
      </c>
      <c r="B85" s="6" t="s">
        <v>580</v>
      </c>
      <c r="C85" s="6" t="s">
        <v>554</v>
      </c>
      <c r="D85" s="6" t="s">
        <v>573</v>
      </c>
      <c r="E85" s="6" t="s">
        <v>581</v>
      </c>
      <c r="F85" s="5" t="n">
        <v>14</v>
      </c>
      <c r="G85" s="5" t="n">
        <v>99</v>
      </c>
      <c r="H85" s="5" t="n">
        <v>15</v>
      </c>
      <c r="I85" s="6" t="s">
        <v>582</v>
      </c>
      <c r="J85" s="6" t="s">
        <v>583</v>
      </c>
      <c r="K85" s="6" t="s">
        <v>584</v>
      </c>
      <c r="L85" s="6" t="s">
        <v>585</v>
      </c>
      <c r="M85" s="7" t="s">
        <v>586</v>
      </c>
    </row>
    <row r="86" customFormat="false" ht="42" hidden="false" customHeight="true" outlineLevel="0" collapsed="false">
      <c r="A86" s="5" t="n">
        <f aca="false">ROW()-3</f>
        <v>83</v>
      </c>
      <c r="B86" s="6" t="s">
        <v>587</v>
      </c>
      <c r="C86" s="6" t="s">
        <v>588</v>
      </c>
      <c r="D86" s="6" t="s">
        <v>589</v>
      </c>
      <c r="E86" s="6" t="s">
        <v>590</v>
      </c>
      <c r="F86" s="5" t="n">
        <v>12</v>
      </c>
      <c r="G86" s="5" t="n">
        <v>25</v>
      </c>
      <c r="H86" s="5" t="n">
        <v>8</v>
      </c>
      <c r="I86" s="6" t="s">
        <v>591</v>
      </c>
      <c r="J86" s="6" t="s">
        <v>592</v>
      </c>
      <c r="K86" s="6" t="s">
        <v>593</v>
      </c>
      <c r="L86" s="6" t="s">
        <v>594</v>
      </c>
      <c r="M86" s="7" t="s">
        <v>595</v>
      </c>
    </row>
    <row r="87" customFormat="false" ht="42" hidden="false" customHeight="true" outlineLevel="0" collapsed="false">
      <c r="A87" s="5" t="n">
        <f aca="false">ROW()-3</f>
        <v>84</v>
      </c>
      <c r="B87" s="6" t="s">
        <v>596</v>
      </c>
      <c r="C87" s="6" t="s">
        <v>210</v>
      </c>
      <c r="D87" s="6" t="s">
        <v>597</v>
      </c>
      <c r="E87" s="6" t="s">
        <v>173</v>
      </c>
      <c r="F87" s="5" t="n">
        <v>8</v>
      </c>
      <c r="G87" s="5" t="n">
        <v>18.9</v>
      </c>
      <c r="H87" s="5" t="n">
        <v>5</v>
      </c>
      <c r="I87" s="6" t="s">
        <v>598</v>
      </c>
      <c r="J87" s="6" t="s">
        <v>599</v>
      </c>
      <c r="K87" s="6" t="s">
        <v>600</v>
      </c>
      <c r="L87" s="6" t="s">
        <v>601</v>
      </c>
      <c r="M87" s="7" t="s">
        <v>602</v>
      </c>
    </row>
    <row r="88" customFormat="false" ht="42" hidden="false" customHeight="true" outlineLevel="0" collapsed="false">
      <c r="A88" s="5" t="n">
        <f aca="false">ROW()-3</f>
        <v>85</v>
      </c>
      <c r="B88" s="6" t="s">
        <v>603</v>
      </c>
      <c r="C88" s="6" t="s">
        <v>219</v>
      </c>
      <c r="D88" s="6" t="s">
        <v>17</v>
      </c>
      <c r="E88" s="6" t="s">
        <v>604</v>
      </c>
      <c r="F88" s="5" t="n">
        <v>6</v>
      </c>
      <c r="G88" s="5" t="n">
        <v>14.9</v>
      </c>
      <c r="H88" s="5" t="n">
        <v>5</v>
      </c>
      <c r="I88" s="6" t="s">
        <v>605</v>
      </c>
      <c r="J88" s="6" t="s">
        <v>606</v>
      </c>
      <c r="K88" s="6" t="s">
        <v>607</v>
      </c>
      <c r="L88" s="6" t="s">
        <v>608</v>
      </c>
      <c r="M88" s="7" t="s">
        <v>609</v>
      </c>
    </row>
    <row r="89" customFormat="false" ht="42" hidden="false" customHeight="true" outlineLevel="0" collapsed="false">
      <c r="A89" s="5" t="n">
        <f aca="false">ROW()-3</f>
        <v>86</v>
      </c>
      <c r="B89" s="6" t="s">
        <v>610</v>
      </c>
      <c r="C89" s="6" t="s">
        <v>554</v>
      </c>
      <c r="D89" s="6" t="s">
        <v>573</v>
      </c>
      <c r="E89" s="6" t="s">
        <v>611</v>
      </c>
      <c r="F89" s="5" t="n">
        <v>14</v>
      </c>
      <c r="G89" s="5" t="n">
        <v>99</v>
      </c>
      <c r="H89" s="5" t="n">
        <v>15</v>
      </c>
      <c r="I89" s="6" t="s">
        <v>612</v>
      </c>
      <c r="J89" s="6" t="s">
        <v>613</v>
      </c>
      <c r="K89" s="6" t="s">
        <v>614</v>
      </c>
      <c r="L89" s="6" t="s">
        <v>615</v>
      </c>
      <c r="M89" s="7" t="s">
        <v>616</v>
      </c>
    </row>
    <row r="90" customFormat="false" ht="42" hidden="false" customHeight="true" outlineLevel="0" collapsed="false">
      <c r="A90" s="5" t="n">
        <f aca="false">ROW()-3</f>
        <v>87</v>
      </c>
      <c r="B90" s="6" t="s">
        <v>617</v>
      </c>
      <c r="C90" s="6" t="s">
        <v>428</v>
      </c>
      <c r="D90" s="6" t="s">
        <v>17</v>
      </c>
      <c r="E90" s="6" t="s">
        <v>618</v>
      </c>
      <c r="F90" s="5" t="n">
        <v>9</v>
      </c>
      <c r="G90" s="5" t="n">
        <v>17.9</v>
      </c>
      <c r="H90" s="5" t="n">
        <v>6</v>
      </c>
      <c r="I90" s="6" t="s">
        <v>619</v>
      </c>
      <c r="J90" s="6" t="s">
        <v>620</v>
      </c>
      <c r="K90" s="6" t="s">
        <v>621</v>
      </c>
      <c r="L90" s="6" t="s">
        <v>622</v>
      </c>
      <c r="M90" s="7" t="s">
        <v>623</v>
      </c>
    </row>
    <row r="91" customFormat="false" ht="42" hidden="false" customHeight="true" outlineLevel="0" collapsed="false">
      <c r="A91" s="5" t="n">
        <f aca="false">ROW()-3</f>
        <v>88</v>
      </c>
      <c r="B91" s="6" t="s">
        <v>624</v>
      </c>
      <c r="C91" s="6" t="s">
        <v>210</v>
      </c>
      <c r="D91" s="6" t="s">
        <v>272</v>
      </c>
      <c r="E91" s="6" t="s">
        <v>625</v>
      </c>
      <c r="F91" s="5" t="n">
        <v>13</v>
      </c>
      <c r="G91" s="5" t="n">
        <v>18.9</v>
      </c>
      <c r="H91" s="5" t="n">
        <v>6</v>
      </c>
      <c r="I91" s="6" t="s">
        <v>626</v>
      </c>
      <c r="J91" s="6" t="s">
        <v>627</v>
      </c>
      <c r="K91" s="6" t="s">
        <v>628</v>
      </c>
      <c r="L91" s="6" t="s">
        <v>629</v>
      </c>
      <c r="M91" s="7" t="s">
        <v>630</v>
      </c>
    </row>
    <row r="92" customFormat="false" ht="42" hidden="false" customHeight="true" outlineLevel="0" collapsed="false">
      <c r="A92" s="5" t="n">
        <f aca="false">ROW()-3</f>
        <v>89</v>
      </c>
      <c r="B92" s="6" t="s">
        <v>631</v>
      </c>
      <c r="C92" s="6" t="s">
        <v>210</v>
      </c>
      <c r="D92" s="6" t="s">
        <v>632</v>
      </c>
      <c r="E92" s="6" t="s">
        <v>633</v>
      </c>
      <c r="F92" s="5" t="n">
        <v>7</v>
      </c>
      <c r="G92" s="5" t="n">
        <v>12.9</v>
      </c>
      <c r="H92" s="5" t="n">
        <v>5</v>
      </c>
      <c r="I92" s="6" t="s">
        <v>634</v>
      </c>
      <c r="J92" s="6" t="s">
        <v>635</v>
      </c>
      <c r="K92" s="6" t="s">
        <v>636</v>
      </c>
      <c r="L92" s="6" t="s">
        <v>637</v>
      </c>
      <c r="M92" s="7" t="s">
        <v>638</v>
      </c>
    </row>
    <row r="93" customFormat="false" ht="42" hidden="false" customHeight="true" outlineLevel="0" collapsed="false">
      <c r="A93" s="5" t="n">
        <f aca="false">ROW()-3</f>
        <v>90</v>
      </c>
      <c r="B93" s="6" t="s">
        <v>639</v>
      </c>
      <c r="C93" s="6" t="s">
        <v>16</v>
      </c>
      <c r="D93" s="6" t="s">
        <v>33</v>
      </c>
      <c r="E93" s="6" t="s">
        <v>640</v>
      </c>
      <c r="F93" s="5" t="n">
        <v>1.5</v>
      </c>
      <c r="G93" s="5" t="n">
        <v>2.9</v>
      </c>
      <c r="H93" s="5" t="n">
        <v>2</v>
      </c>
      <c r="I93" s="6" t="s">
        <v>641</v>
      </c>
      <c r="J93" s="6" t="s">
        <v>642</v>
      </c>
      <c r="K93" s="6" t="s">
        <v>643</v>
      </c>
      <c r="L93" s="6" t="s">
        <v>644</v>
      </c>
      <c r="M93" s="7" t="s">
        <v>645</v>
      </c>
    </row>
    <row r="94" customFormat="false" ht="42" hidden="false" customHeight="true" outlineLevel="0" collapsed="false">
      <c r="A94" s="5" t="n">
        <f aca="false">ROW()-3</f>
        <v>91</v>
      </c>
      <c r="B94" s="6" t="s">
        <v>646</v>
      </c>
      <c r="C94" s="6" t="s">
        <v>16</v>
      </c>
      <c r="D94" s="6" t="s">
        <v>647</v>
      </c>
      <c r="E94" s="6" t="s">
        <v>648</v>
      </c>
      <c r="F94" s="5" t="n">
        <v>5</v>
      </c>
      <c r="G94" s="5" t="n">
        <v>12</v>
      </c>
      <c r="H94" s="5" t="n">
        <v>4</v>
      </c>
      <c r="I94" s="6" t="s">
        <v>649</v>
      </c>
      <c r="J94" s="6" t="s">
        <v>650</v>
      </c>
      <c r="K94" s="6" t="s">
        <v>651</v>
      </c>
      <c r="L94" s="6" t="s">
        <v>652</v>
      </c>
      <c r="M94" s="7" t="s">
        <v>653</v>
      </c>
    </row>
    <row r="95" customFormat="false" ht="42" hidden="false" customHeight="true" outlineLevel="0" collapsed="false">
      <c r="A95" s="5" t="n">
        <f aca="false">ROW()-3</f>
        <v>92</v>
      </c>
      <c r="B95" s="6" t="s">
        <v>654</v>
      </c>
      <c r="C95" s="6" t="s">
        <v>280</v>
      </c>
      <c r="D95" s="6" t="s">
        <v>33</v>
      </c>
      <c r="E95" s="6" t="s">
        <v>655</v>
      </c>
      <c r="F95" s="5" t="n">
        <v>0</v>
      </c>
      <c r="G95" s="5" t="n">
        <v>99</v>
      </c>
      <c r="H95" s="5" t="n">
        <v>3</v>
      </c>
      <c r="I95" s="6" t="s">
        <v>656</v>
      </c>
      <c r="J95" s="6" t="s">
        <v>657</v>
      </c>
      <c r="K95" s="6" t="s">
        <v>658</v>
      </c>
      <c r="L95" s="6" t="s">
        <v>659</v>
      </c>
      <c r="M95" s="7" t="s">
        <v>660</v>
      </c>
    </row>
    <row r="96" customFormat="false" ht="42" hidden="false" customHeight="true" outlineLevel="0" collapsed="false">
      <c r="A96" s="5" t="n">
        <f aca="false">ROW()-3</f>
        <v>93</v>
      </c>
      <c r="B96" s="6" t="s">
        <v>661</v>
      </c>
      <c r="C96" s="6" t="s">
        <v>280</v>
      </c>
      <c r="D96" s="6" t="s">
        <v>33</v>
      </c>
      <c r="E96" s="6" t="s">
        <v>662</v>
      </c>
      <c r="F96" s="5" t="n">
        <v>0</v>
      </c>
      <c r="G96" s="5" t="n">
        <v>99</v>
      </c>
      <c r="H96" s="5" t="n">
        <v>3</v>
      </c>
      <c r="I96" s="6" t="s">
        <v>663</v>
      </c>
      <c r="J96" s="6" t="s">
        <v>657</v>
      </c>
      <c r="K96" s="6" t="s">
        <v>664</v>
      </c>
      <c r="L96" s="6" t="s">
        <v>665</v>
      </c>
      <c r="M96" s="7" t="s">
        <v>666</v>
      </c>
    </row>
    <row r="97" customFormat="false" ht="42" hidden="false" customHeight="true" outlineLevel="0" collapsed="false">
      <c r="A97" s="5" t="n">
        <f aca="false">ROW()-3</f>
        <v>94</v>
      </c>
      <c r="B97" s="6" t="s">
        <v>667</v>
      </c>
      <c r="C97" s="6" t="s">
        <v>280</v>
      </c>
      <c r="D97" s="6" t="s">
        <v>33</v>
      </c>
      <c r="E97" s="6" t="s">
        <v>65</v>
      </c>
      <c r="F97" s="5" t="n">
        <v>0</v>
      </c>
      <c r="G97" s="5" t="n">
        <v>99</v>
      </c>
      <c r="H97" s="5" t="n">
        <v>3</v>
      </c>
      <c r="I97" s="6" t="s">
        <v>668</v>
      </c>
      <c r="J97" s="6" t="s">
        <v>657</v>
      </c>
      <c r="K97" s="6" t="s">
        <v>669</v>
      </c>
      <c r="L97" s="6" t="s">
        <v>670</v>
      </c>
      <c r="M97" s="7" t="s">
        <v>671</v>
      </c>
    </row>
    <row r="98" customFormat="false" ht="42" hidden="false" customHeight="true" outlineLevel="0" collapsed="false">
      <c r="A98" s="5" t="n">
        <f aca="false">ROW()-3</f>
        <v>95</v>
      </c>
      <c r="B98" s="6" t="s">
        <v>672</v>
      </c>
      <c r="C98" s="6" t="s">
        <v>280</v>
      </c>
      <c r="D98" s="6" t="s">
        <v>33</v>
      </c>
      <c r="E98" s="6" t="s">
        <v>26</v>
      </c>
      <c r="F98" s="5" t="n">
        <v>0</v>
      </c>
      <c r="G98" s="5" t="n">
        <v>99</v>
      </c>
      <c r="H98" s="5" t="n">
        <v>3</v>
      </c>
      <c r="I98" s="6" t="s">
        <v>673</v>
      </c>
      <c r="J98" s="6" t="s">
        <v>657</v>
      </c>
      <c r="K98" s="6" t="s">
        <v>674</v>
      </c>
      <c r="L98" s="6" t="s">
        <v>675</v>
      </c>
      <c r="M98" s="7" t="s">
        <v>676</v>
      </c>
    </row>
    <row r="99" customFormat="false" ht="42" hidden="false" customHeight="true" outlineLevel="0" collapsed="false">
      <c r="A99" s="5" t="n">
        <f aca="false">ROW()-3</f>
        <v>96</v>
      </c>
      <c r="B99" s="6" t="s">
        <v>677</v>
      </c>
      <c r="C99" s="6" t="s">
        <v>401</v>
      </c>
      <c r="D99" s="6" t="s">
        <v>17</v>
      </c>
      <c r="E99" s="6" t="s">
        <v>678</v>
      </c>
      <c r="F99" s="5" t="n">
        <v>17</v>
      </c>
      <c r="G99" s="5" t="n">
        <v>99</v>
      </c>
      <c r="H99" s="5" t="n">
        <v>3</v>
      </c>
      <c r="I99" s="6" t="s">
        <v>679</v>
      </c>
      <c r="J99" s="6" t="s">
        <v>680</v>
      </c>
      <c r="K99" s="6" t="s">
        <v>681</v>
      </c>
      <c r="L99" s="6" t="s">
        <v>682</v>
      </c>
      <c r="M99" s="7" t="s">
        <v>683</v>
      </c>
    </row>
    <row r="100" customFormat="false" ht="42" hidden="false" customHeight="true" outlineLevel="0" collapsed="false">
      <c r="A100" s="5" t="n">
        <f aca="false">ROW()-3</f>
        <v>97</v>
      </c>
      <c r="B100" s="6" t="s">
        <v>684</v>
      </c>
      <c r="C100" s="6" t="s">
        <v>186</v>
      </c>
      <c r="D100" s="6" t="s">
        <v>17</v>
      </c>
      <c r="E100" s="6" t="s">
        <v>685</v>
      </c>
      <c r="F100" s="5" t="n">
        <v>1.3</v>
      </c>
      <c r="G100" s="5" t="n">
        <v>2.5</v>
      </c>
      <c r="H100" s="5" t="n">
        <v>7</v>
      </c>
      <c r="I100" s="6" t="s">
        <v>686</v>
      </c>
      <c r="J100" s="6" t="s">
        <v>687</v>
      </c>
      <c r="K100" s="6" t="s">
        <v>688</v>
      </c>
      <c r="L100" s="6" t="s">
        <v>689</v>
      </c>
      <c r="M100" s="7" t="s">
        <v>690</v>
      </c>
    </row>
    <row r="101" customFormat="false" ht="42" hidden="false" customHeight="true" outlineLevel="0" collapsed="false">
      <c r="A101" s="5" t="n">
        <f aca="false">ROW()-3</f>
        <v>98</v>
      </c>
      <c r="B101" s="6" t="s">
        <v>691</v>
      </c>
      <c r="C101" s="6" t="s">
        <v>280</v>
      </c>
      <c r="D101" s="6" t="s">
        <v>692</v>
      </c>
      <c r="E101" s="6" t="s">
        <v>693</v>
      </c>
      <c r="F101" s="5" t="n">
        <v>3</v>
      </c>
      <c r="G101" s="5" t="n">
        <v>17.9</v>
      </c>
      <c r="H101" s="5" t="n">
        <v>6</v>
      </c>
      <c r="I101" s="6" t="s">
        <v>694</v>
      </c>
      <c r="J101" s="6" t="s">
        <v>695</v>
      </c>
      <c r="K101" s="6" t="s">
        <v>696</v>
      </c>
      <c r="L101" s="6" t="s">
        <v>697</v>
      </c>
      <c r="M101" s="7" t="s">
        <v>698</v>
      </c>
    </row>
    <row r="102" customFormat="false" ht="42" hidden="false" customHeight="true" outlineLevel="0" collapsed="false">
      <c r="A102" s="5" t="n">
        <f aca="false">ROW()-3</f>
        <v>99</v>
      </c>
      <c r="B102" s="6" t="s">
        <v>699</v>
      </c>
      <c r="C102" s="6" t="s">
        <v>280</v>
      </c>
      <c r="D102" s="6" t="s">
        <v>692</v>
      </c>
      <c r="E102" s="6" t="s">
        <v>693</v>
      </c>
      <c r="F102" s="5" t="n">
        <v>3</v>
      </c>
      <c r="G102" s="5" t="n">
        <v>17.9</v>
      </c>
      <c r="H102" s="5" t="n">
        <v>10</v>
      </c>
      <c r="I102" s="6" t="s">
        <v>700</v>
      </c>
      <c r="J102" s="6" t="s">
        <v>701</v>
      </c>
      <c r="K102" s="6" t="s">
        <v>702</v>
      </c>
      <c r="L102" s="6" t="s">
        <v>703</v>
      </c>
      <c r="M102" s="7" t="s">
        <v>704</v>
      </c>
    </row>
    <row r="103" customFormat="false" ht="42" hidden="false" customHeight="true" outlineLevel="0" collapsed="false">
      <c r="A103" s="5" t="n">
        <f aca="false">ROW()-3</f>
        <v>100</v>
      </c>
      <c r="B103" s="6" t="s">
        <v>705</v>
      </c>
      <c r="C103" s="6" t="s">
        <v>162</v>
      </c>
      <c r="D103" s="6" t="s">
        <v>17</v>
      </c>
      <c r="E103" s="6" t="s">
        <v>706</v>
      </c>
      <c r="F103" s="5" t="n">
        <v>18</v>
      </c>
      <c r="G103" s="5" t="n">
        <v>99</v>
      </c>
      <c r="H103" s="5" t="n">
        <v>11</v>
      </c>
      <c r="I103" s="6" t="s">
        <v>707</v>
      </c>
      <c r="J103" s="6" t="s">
        <v>708</v>
      </c>
      <c r="K103" s="6" t="s">
        <v>709</v>
      </c>
      <c r="L103" s="6" t="s">
        <v>710</v>
      </c>
      <c r="M103" s="7" t="s">
        <v>711</v>
      </c>
    </row>
    <row r="104" customFormat="false" ht="42" hidden="false" customHeight="true" outlineLevel="0" collapsed="false">
      <c r="A104" s="5" t="n">
        <f aca="false">ROW()-3</f>
        <v>101</v>
      </c>
      <c r="B104" s="6" t="s">
        <v>712</v>
      </c>
      <c r="C104" s="6" t="s">
        <v>428</v>
      </c>
      <c r="D104" s="6" t="s">
        <v>17</v>
      </c>
      <c r="E104" s="6" t="s">
        <v>678</v>
      </c>
      <c r="F104" s="5" t="n">
        <v>17</v>
      </c>
      <c r="G104" s="5" t="n">
        <v>99</v>
      </c>
      <c r="H104" s="5" t="n">
        <v>5</v>
      </c>
      <c r="I104" s="6" t="s">
        <v>713</v>
      </c>
      <c r="J104" s="6" t="s">
        <v>714</v>
      </c>
      <c r="K104" s="6" t="s">
        <v>715</v>
      </c>
      <c r="L104" s="6" t="s">
        <v>716</v>
      </c>
      <c r="M104" s="7" t="s">
        <v>717</v>
      </c>
    </row>
    <row r="105" customFormat="false" ht="42" hidden="false" customHeight="true" outlineLevel="0" collapsed="false">
      <c r="A105" s="5" t="n">
        <f aca="false">ROW()-3</f>
        <v>102</v>
      </c>
      <c r="B105" s="6" t="s">
        <v>718</v>
      </c>
      <c r="C105" s="6" t="s">
        <v>219</v>
      </c>
      <c r="D105" s="6" t="s">
        <v>719</v>
      </c>
      <c r="E105" s="6" t="s">
        <v>220</v>
      </c>
      <c r="F105" s="5" t="n">
        <v>7</v>
      </c>
      <c r="G105" s="5" t="n">
        <v>17.9</v>
      </c>
      <c r="H105" s="5" t="n">
        <v>6</v>
      </c>
      <c r="I105" s="6" t="s">
        <v>720</v>
      </c>
      <c r="J105" s="6" t="s">
        <v>721</v>
      </c>
      <c r="K105" s="6" t="s">
        <v>722</v>
      </c>
      <c r="L105" s="6" t="s">
        <v>723</v>
      </c>
      <c r="M105" s="7" t="s">
        <v>724</v>
      </c>
    </row>
    <row r="106" customFormat="false" ht="42" hidden="false" customHeight="true" outlineLevel="0" collapsed="false">
      <c r="A106" s="5" t="n">
        <f aca="false">ROW()-3</f>
        <v>103</v>
      </c>
      <c r="B106" s="6" t="s">
        <v>725</v>
      </c>
      <c r="C106" s="6" t="s">
        <v>219</v>
      </c>
      <c r="D106" s="6" t="s">
        <v>17</v>
      </c>
      <c r="E106" s="6" t="s">
        <v>726</v>
      </c>
      <c r="F106" s="5" t="n">
        <v>18</v>
      </c>
      <c r="G106" s="5" t="n">
        <v>99</v>
      </c>
      <c r="H106" s="5" t="n">
        <v>7</v>
      </c>
      <c r="I106" s="6" t="s">
        <v>727</v>
      </c>
      <c r="J106" s="6" t="s">
        <v>728</v>
      </c>
      <c r="K106" s="6" t="s">
        <v>729</v>
      </c>
      <c r="L106" s="6" t="s">
        <v>730</v>
      </c>
      <c r="M106" s="7" t="s">
        <v>731</v>
      </c>
    </row>
    <row r="107" customFormat="false" ht="42" hidden="false" customHeight="true" outlineLevel="0" collapsed="false">
      <c r="A107" s="5" t="n">
        <f aca="false">ROW()-3</f>
        <v>104</v>
      </c>
      <c r="B107" s="6" t="s">
        <v>732</v>
      </c>
      <c r="C107" s="6" t="s">
        <v>428</v>
      </c>
      <c r="D107" s="6" t="s">
        <v>17</v>
      </c>
      <c r="E107" s="6" t="s">
        <v>733</v>
      </c>
      <c r="F107" s="5" t="n">
        <v>18</v>
      </c>
      <c r="G107" s="5" t="n">
        <v>99</v>
      </c>
      <c r="H107" s="5" t="n">
        <v>18</v>
      </c>
      <c r="I107" s="6" t="s">
        <v>734</v>
      </c>
      <c r="J107" s="6" t="s">
        <v>735</v>
      </c>
      <c r="K107" s="6" t="s">
        <v>736</v>
      </c>
      <c r="L107" s="6" t="s">
        <v>737</v>
      </c>
      <c r="M107" s="7" t="s">
        <v>738</v>
      </c>
    </row>
    <row r="108" customFormat="false" ht="42" hidden="false" customHeight="true" outlineLevel="0" collapsed="false">
      <c r="A108" s="5" t="n">
        <f aca="false">ROW()-3</f>
        <v>105</v>
      </c>
      <c r="B108" s="6" t="s">
        <v>739</v>
      </c>
      <c r="C108" s="6" t="s">
        <v>428</v>
      </c>
      <c r="D108" s="6" t="s">
        <v>17</v>
      </c>
      <c r="E108" s="6" t="s">
        <v>345</v>
      </c>
      <c r="F108" s="5" t="n">
        <v>12</v>
      </c>
      <c r="G108" s="5" t="n">
        <v>17.9</v>
      </c>
      <c r="H108" s="5" t="n">
        <v>19</v>
      </c>
      <c r="I108" s="6" t="s">
        <v>740</v>
      </c>
      <c r="J108" s="6" t="s">
        <v>741</v>
      </c>
      <c r="K108" s="6" t="s">
        <v>742</v>
      </c>
      <c r="L108" s="6" t="s">
        <v>743</v>
      </c>
      <c r="M108" s="7" t="s">
        <v>744</v>
      </c>
    </row>
    <row r="109" customFormat="false" ht="42" hidden="false" customHeight="true" outlineLevel="0" collapsed="false">
      <c r="A109" s="5" t="n">
        <f aca="false">ROW()-3</f>
        <v>106</v>
      </c>
      <c r="B109" s="6" t="s">
        <v>745</v>
      </c>
      <c r="C109" s="6" t="s">
        <v>401</v>
      </c>
      <c r="D109" s="6" t="s">
        <v>17</v>
      </c>
      <c r="E109" s="6" t="s">
        <v>746</v>
      </c>
      <c r="F109" s="5" t="n">
        <v>10</v>
      </c>
      <c r="G109" s="5" t="n">
        <v>13.9</v>
      </c>
      <c r="H109" s="5" t="n">
        <v>10</v>
      </c>
      <c r="I109" s="6" t="s">
        <v>747</v>
      </c>
      <c r="J109" s="6" t="s">
        <v>748</v>
      </c>
      <c r="K109" s="6" t="s">
        <v>749</v>
      </c>
      <c r="L109" s="6" t="s">
        <v>750</v>
      </c>
      <c r="M109" s="7" t="s">
        <v>751</v>
      </c>
    </row>
    <row r="110" customFormat="false" ht="42" hidden="false" customHeight="true" outlineLevel="0" collapsed="false">
      <c r="A110" s="5" t="n">
        <f aca="false">ROW()-3</f>
        <v>107</v>
      </c>
      <c r="B110" s="6" t="s">
        <v>752</v>
      </c>
      <c r="C110" s="6" t="s">
        <v>401</v>
      </c>
      <c r="D110" s="6" t="s">
        <v>17</v>
      </c>
      <c r="E110" s="6" t="s">
        <v>753</v>
      </c>
      <c r="F110" s="5" t="n">
        <v>14</v>
      </c>
      <c r="G110" s="5" t="n">
        <v>17.9</v>
      </c>
      <c r="H110" s="5" t="n">
        <v>11</v>
      </c>
      <c r="I110" s="6" t="s">
        <v>754</v>
      </c>
      <c r="J110" s="6" t="s">
        <v>755</v>
      </c>
      <c r="K110" s="6" t="s">
        <v>756</v>
      </c>
      <c r="L110" s="6" t="s">
        <v>757</v>
      </c>
      <c r="M110" s="7" t="s">
        <v>758</v>
      </c>
    </row>
    <row r="111" customFormat="false" ht="42" hidden="false" customHeight="true" outlineLevel="0" collapsed="false">
      <c r="A111" s="5" t="n">
        <f aca="false">ROW()-3</f>
        <v>108</v>
      </c>
      <c r="B111" s="6" t="s">
        <v>759</v>
      </c>
      <c r="C111" s="6" t="s">
        <v>401</v>
      </c>
      <c r="D111" s="6" t="s">
        <v>17</v>
      </c>
      <c r="E111" s="6" t="s">
        <v>746</v>
      </c>
      <c r="F111" s="5" t="n">
        <v>10</v>
      </c>
      <c r="G111" s="5" t="n">
        <v>13.9</v>
      </c>
      <c r="H111" s="5" t="n">
        <v>10</v>
      </c>
      <c r="I111" s="6" t="s">
        <v>760</v>
      </c>
      <c r="J111" s="6" t="s">
        <v>748</v>
      </c>
      <c r="K111" s="6" t="s">
        <v>761</v>
      </c>
      <c r="L111" s="6" t="s">
        <v>762</v>
      </c>
      <c r="M111" s="7" t="s">
        <v>763</v>
      </c>
    </row>
    <row r="112" customFormat="false" ht="42" hidden="false" customHeight="true" outlineLevel="0" collapsed="false">
      <c r="A112" s="5" t="n">
        <f aca="false">ROW()-3</f>
        <v>109</v>
      </c>
      <c r="B112" s="6" t="s">
        <v>764</v>
      </c>
      <c r="C112" s="6" t="s">
        <v>401</v>
      </c>
      <c r="D112" s="6" t="s">
        <v>17</v>
      </c>
      <c r="E112" s="6" t="s">
        <v>753</v>
      </c>
      <c r="F112" s="5" t="n">
        <v>14</v>
      </c>
      <c r="G112" s="5" t="n">
        <v>17.9</v>
      </c>
      <c r="H112" s="5" t="n">
        <v>11</v>
      </c>
      <c r="I112" s="6" t="s">
        <v>765</v>
      </c>
      <c r="J112" s="6" t="s">
        <v>755</v>
      </c>
      <c r="K112" s="6" t="s">
        <v>766</v>
      </c>
      <c r="L112" s="6" t="s">
        <v>767</v>
      </c>
      <c r="M112" s="7" t="s">
        <v>768</v>
      </c>
    </row>
    <row r="113" customFormat="false" ht="42" hidden="false" customHeight="true" outlineLevel="0" collapsed="false">
      <c r="A113" s="5" t="n">
        <f aca="false">ROW()-3</f>
        <v>110</v>
      </c>
      <c r="B113" s="6" t="s">
        <v>769</v>
      </c>
      <c r="C113" s="6" t="s">
        <v>401</v>
      </c>
      <c r="D113" s="6" t="s">
        <v>33</v>
      </c>
      <c r="E113" s="6" t="s">
        <v>95</v>
      </c>
      <c r="F113" s="5" t="n">
        <v>6</v>
      </c>
      <c r="G113" s="5" t="n">
        <v>17.9</v>
      </c>
      <c r="H113" s="5" t="n">
        <v>15</v>
      </c>
      <c r="I113" s="6" t="s">
        <v>770</v>
      </c>
      <c r="J113" s="6" t="s">
        <v>771</v>
      </c>
      <c r="K113" s="6" t="s">
        <v>772</v>
      </c>
      <c r="L113" s="6" t="s">
        <v>773</v>
      </c>
      <c r="M113" s="7" t="s">
        <v>774</v>
      </c>
    </row>
    <row r="114" customFormat="false" ht="42" hidden="false" customHeight="true" outlineLevel="0" collapsed="false">
      <c r="A114" s="5" t="n">
        <f aca="false">ROW()-3</f>
        <v>111</v>
      </c>
      <c r="B114" s="6" t="s">
        <v>775</v>
      </c>
      <c r="C114" s="6" t="s">
        <v>401</v>
      </c>
      <c r="D114" s="6" t="s">
        <v>33</v>
      </c>
      <c r="E114" s="6" t="s">
        <v>95</v>
      </c>
      <c r="F114" s="5" t="n">
        <v>6</v>
      </c>
      <c r="G114" s="5" t="n">
        <v>17.9</v>
      </c>
      <c r="H114" s="5" t="n">
        <v>15</v>
      </c>
      <c r="I114" s="6" t="s">
        <v>776</v>
      </c>
      <c r="J114" s="6" t="s">
        <v>771</v>
      </c>
      <c r="K114" s="6" t="s">
        <v>777</v>
      </c>
      <c r="L114" s="6" t="s">
        <v>778</v>
      </c>
      <c r="M114" s="7" t="s">
        <v>779</v>
      </c>
    </row>
    <row r="115" customFormat="false" ht="42" hidden="false" customHeight="true" outlineLevel="0" collapsed="false">
      <c r="A115" s="5" t="n">
        <f aca="false">ROW()-3</f>
        <v>112</v>
      </c>
      <c r="B115" s="6" t="s">
        <v>780</v>
      </c>
      <c r="C115" s="6" t="s">
        <v>401</v>
      </c>
      <c r="D115" s="6" t="s">
        <v>45</v>
      </c>
      <c r="E115" s="6" t="s">
        <v>95</v>
      </c>
      <c r="F115" s="5" t="n">
        <v>6</v>
      </c>
      <c r="G115" s="5" t="n">
        <v>17.9</v>
      </c>
      <c r="H115" s="5" t="n">
        <v>11</v>
      </c>
      <c r="I115" s="6" t="s">
        <v>781</v>
      </c>
      <c r="J115" s="6" t="s">
        <v>782</v>
      </c>
      <c r="K115" s="6" t="s">
        <v>783</v>
      </c>
      <c r="L115" s="6" t="s">
        <v>784</v>
      </c>
      <c r="M115" s="7" t="s">
        <v>785</v>
      </c>
    </row>
    <row r="116" customFormat="false" ht="42" hidden="false" customHeight="true" outlineLevel="0" collapsed="false">
      <c r="A116" s="5" t="n">
        <f aca="false">ROW()-3</f>
        <v>113</v>
      </c>
      <c r="B116" s="6" t="s">
        <v>786</v>
      </c>
      <c r="C116" s="6" t="s">
        <v>401</v>
      </c>
      <c r="D116" s="6" t="s">
        <v>45</v>
      </c>
      <c r="E116" s="6" t="s">
        <v>95</v>
      </c>
      <c r="F116" s="5" t="n">
        <v>6</v>
      </c>
      <c r="G116" s="5" t="n">
        <v>17.9</v>
      </c>
      <c r="H116" s="5" t="n">
        <v>11</v>
      </c>
      <c r="I116" s="6" t="s">
        <v>787</v>
      </c>
      <c r="J116" s="6" t="s">
        <v>782</v>
      </c>
      <c r="K116" s="6" t="s">
        <v>788</v>
      </c>
      <c r="L116" s="6" t="s">
        <v>789</v>
      </c>
      <c r="M116" s="7" t="s">
        <v>790</v>
      </c>
    </row>
    <row r="117" customFormat="false" ht="42" hidden="false" customHeight="true" outlineLevel="0" collapsed="false">
      <c r="A117" s="5" t="n">
        <f aca="false">ROW()-3</f>
        <v>114</v>
      </c>
      <c r="B117" s="6" t="s">
        <v>791</v>
      </c>
      <c r="C117" s="6" t="s">
        <v>115</v>
      </c>
      <c r="D117" s="6" t="s">
        <v>792</v>
      </c>
      <c r="E117" s="6" t="s">
        <v>793</v>
      </c>
      <c r="F117" s="5" t="n">
        <v>12</v>
      </c>
      <c r="G117" s="5" t="n">
        <v>99</v>
      </c>
      <c r="H117" s="5" t="n">
        <v>8</v>
      </c>
      <c r="I117" s="6" t="s">
        <v>794</v>
      </c>
      <c r="J117" s="6" t="s">
        <v>795</v>
      </c>
      <c r="K117" s="6" t="s">
        <v>796</v>
      </c>
      <c r="L117" s="6" t="s">
        <v>797</v>
      </c>
      <c r="M117" s="7" t="s">
        <v>798</v>
      </c>
    </row>
    <row r="118" customFormat="false" ht="42" hidden="false" customHeight="true" outlineLevel="0" collapsed="false">
      <c r="A118" s="5" t="n">
        <f aca="false">ROW()-3</f>
        <v>115</v>
      </c>
      <c r="B118" s="6" t="s">
        <v>799</v>
      </c>
      <c r="C118" s="6" t="s">
        <v>16</v>
      </c>
      <c r="D118" s="6" t="s">
        <v>156</v>
      </c>
      <c r="E118" s="6" t="s">
        <v>800</v>
      </c>
      <c r="F118" s="5" t="n">
        <v>3</v>
      </c>
      <c r="G118" s="5" t="n">
        <v>14.9</v>
      </c>
      <c r="H118" s="5" t="n">
        <v>13</v>
      </c>
      <c r="I118" s="6" t="s">
        <v>801</v>
      </c>
      <c r="J118" s="6" t="s">
        <v>802</v>
      </c>
      <c r="K118" s="6" t="s">
        <v>803</v>
      </c>
      <c r="L118" s="6" t="s">
        <v>804</v>
      </c>
      <c r="M118" s="7" t="s">
        <v>805</v>
      </c>
    </row>
    <row r="119" customFormat="false" ht="42" hidden="false" customHeight="true" outlineLevel="0" collapsed="false">
      <c r="A119" s="5" t="n">
        <f aca="false">ROW()-3</f>
        <v>116</v>
      </c>
      <c r="B119" s="6" t="s">
        <v>806</v>
      </c>
      <c r="C119" s="6" t="s">
        <v>16</v>
      </c>
      <c r="D119" s="6" t="s">
        <v>807</v>
      </c>
      <c r="E119" s="6" t="s">
        <v>800</v>
      </c>
      <c r="F119" s="5" t="n">
        <v>3</v>
      </c>
      <c r="G119" s="5" t="n">
        <v>14.9</v>
      </c>
      <c r="H119" s="5" t="n">
        <v>13</v>
      </c>
      <c r="I119" s="6" t="s">
        <v>808</v>
      </c>
      <c r="J119" s="6" t="s">
        <v>809</v>
      </c>
      <c r="K119" s="6" t="s">
        <v>810</v>
      </c>
      <c r="L119" s="6" t="s">
        <v>811</v>
      </c>
      <c r="M119" s="7" t="s">
        <v>812</v>
      </c>
    </row>
    <row r="120" customFormat="false" ht="42" hidden="false" customHeight="true" outlineLevel="0" collapsed="false">
      <c r="A120" s="5" t="n">
        <f aca="false">ROW()-3</f>
        <v>117</v>
      </c>
      <c r="B120" s="6" t="s">
        <v>813</v>
      </c>
      <c r="C120" s="6" t="s">
        <v>814</v>
      </c>
      <c r="D120" s="6" t="s">
        <v>815</v>
      </c>
      <c r="E120" s="6" t="s">
        <v>816</v>
      </c>
      <c r="F120" s="5" t="n">
        <v>0</v>
      </c>
      <c r="G120" s="5" t="n">
        <v>13</v>
      </c>
      <c r="H120" s="5" t="n">
        <v>4</v>
      </c>
      <c r="I120" s="6" t="s">
        <v>817</v>
      </c>
      <c r="J120" s="6" t="s">
        <v>818</v>
      </c>
      <c r="K120" s="6" t="s">
        <v>819</v>
      </c>
      <c r="L120" s="6" t="s">
        <v>820</v>
      </c>
      <c r="M120" s="7" t="s">
        <v>821</v>
      </c>
    </row>
    <row r="121" customFormat="false" ht="42" hidden="false" customHeight="true" outlineLevel="0" collapsed="false">
      <c r="A121" s="5" t="n">
        <f aca="false">ROW()-3</f>
        <v>118</v>
      </c>
      <c r="B121" s="6" t="s">
        <v>822</v>
      </c>
      <c r="C121" s="6" t="s">
        <v>115</v>
      </c>
      <c r="D121" s="6" t="s">
        <v>17</v>
      </c>
      <c r="E121" s="6" t="s">
        <v>823</v>
      </c>
      <c r="F121" s="5" t="n">
        <v>10</v>
      </c>
      <c r="G121" s="5" t="n">
        <v>17.9</v>
      </c>
      <c r="H121" s="5" t="n">
        <v>5</v>
      </c>
      <c r="I121" s="6" t="s">
        <v>824</v>
      </c>
      <c r="J121" s="6" t="s">
        <v>825</v>
      </c>
      <c r="K121" s="6" t="s">
        <v>826</v>
      </c>
      <c r="L121" s="6" t="s">
        <v>827</v>
      </c>
      <c r="M121" s="7" t="s">
        <v>828</v>
      </c>
    </row>
    <row r="122" customFormat="false" ht="42" hidden="false" customHeight="true" outlineLevel="0" collapsed="false">
      <c r="A122" s="5" t="n">
        <f aca="false">ROW()-3</f>
        <v>119</v>
      </c>
      <c r="B122" s="6" t="s">
        <v>829</v>
      </c>
      <c r="C122" s="6" t="s">
        <v>115</v>
      </c>
      <c r="D122" s="6" t="s">
        <v>17</v>
      </c>
      <c r="E122" s="6" t="s">
        <v>830</v>
      </c>
      <c r="F122" s="5" t="n">
        <v>10</v>
      </c>
      <c r="G122" s="5" t="n">
        <v>15.9</v>
      </c>
      <c r="H122" s="5" t="n">
        <v>4</v>
      </c>
      <c r="I122" s="6" t="s">
        <v>831</v>
      </c>
      <c r="J122" s="6" t="s">
        <v>832</v>
      </c>
      <c r="K122" s="6" t="s">
        <v>833</v>
      </c>
      <c r="L122" s="6" t="s">
        <v>834</v>
      </c>
      <c r="M122" s="7" t="s">
        <v>835</v>
      </c>
    </row>
    <row r="123" customFormat="false" ht="42" hidden="false" customHeight="true" outlineLevel="0" collapsed="false">
      <c r="A123" s="5" t="n">
        <f aca="false">ROW()-3</f>
        <v>120</v>
      </c>
      <c r="B123" s="6" t="s">
        <v>836</v>
      </c>
      <c r="C123" s="6" t="s">
        <v>280</v>
      </c>
      <c r="D123" s="6" t="s">
        <v>837</v>
      </c>
      <c r="E123" s="6" t="s">
        <v>838</v>
      </c>
      <c r="F123" s="5" t="n">
        <v>0</v>
      </c>
      <c r="G123" s="5" t="n">
        <v>99</v>
      </c>
      <c r="H123" s="5" t="n">
        <v>3</v>
      </c>
      <c r="I123" s="6" t="s">
        <v>839</v>
      </c>
      <c r="J123" s="6" t="s">
        <v>840</v>
      </c>
      <c r="K123" s="6" t="s">
        <v>841</v>
      </c>
      <c r="L123" s="6" t="s">
        <v>842</v>
      </c>
      <c r="M123" s="7" t="s">
        <v>843</v>
      </c>
    </row>
    <row r="124" customFormat="false" ht="42" hidden="false" customHeight="true" outlineLevel="0" collapsed="false">
      <c r="A124" s="5" t="n">
        <f aca="false">ROW()-3</f>
        <v>121</v>
      </c>
      <c r="B124" s="6" t="s">
        <v>844</v>
      </c>
      <c r="C124" s="6" t="s">
        <v>280</v>
      </c>
      <c r="D124" s="6" t="s">
        <v>845</v>
      </c>
      <c r="E124" s="6" t="s">
        <v>838</v>
      </c>
      <c r="F124" s="5" t="n">
        <v>0</v>
      </c>
      <c r="G124" s="5" t="n">
        <v>99</v>
      </c>
      <c r="H124" s="5" t="n">
        <v>3</v>
      </c>
      <c r="I124" s="6" t="s">
        <v>846</v>
      </c>
      <c r="J124" s="6" t="s">
        <v>840</v>
      </c>
      <c r="K124" s="6" t="s">
        <v>847</v>
      </c>
      <c r="L124" s="6" t="s">
        <v>848</v>
      </c>
      <c r="M124" s="7" t="s">
        <v>849</v>
      </c>
    </row>
    <row r="125" customFormat="false" ht="42" hidden="false" customHeight="true" outlineLevel="0" collapsed="false">
      <c r="A125" s="5" t="n">
        <f aca="false">ROW()-3</f>
        <v>122</v>
      </c>
      <c r="B125" s="6" t="s">
        <v>850</v>
      </c>
      <c r="C125" s="6" t="s">
        <v>428</v>
      </c>
      <c r="D125" s="6" t="s">
        <v>272</v>
      </c>
      <c r="E125" s="6" t="s">
        <v>851</v>
      </c>
      <c r="F125" s="5" t="n">
        <v>10</v>
      </c>
      <c r="G125" s="5" t="n">
        <v>24.9</v>
      </c>
      <c r="H125" s="5" t="n">
        <v>22</v>
      </c>
      <c r="I125" s="6" t="s">
        <v>852</v>
      </c>
      <c r="J125" s="6" t="s">
        <v>853</v>
      </c>
      <c r="K125" s="6" t="s">
        <v>854</v>
      </c>
      <c r="L125" s="6" t="s">
        <v>855</v>
      </c>
      <c r="M125" s="7" t="s">
        <v>856</v>
      </c>
    </row>
    <row r="126" customFormat="false" ht="42" hidden="false" customHeight="true" outlineLevel="0" collapsed="false">
      <c r="A126" s="5" t="n">
        <f aca="false">ROW()-3</f>
        <v>123</v>
      </c>
      <c r="B126" s="6" t="s">
        <v>857</v>
      </c>
      <c r="C126" s="6" t="s">
        <v>280</v>
      </c>
      <c r="D126" s="6" t="s">
        <v>33</v>
      </c>
      <c r="E126" s="6" t="s">
        <v>26</v>
      </c>
      <c r="F126" s="5" t="n">
        <v>0</v>
      </c>
      <c r="G126" s="5" t="n">
        <v>5.9</v>
      </c>
      <c r="H126" s="5" t="n">
        <v>3</v>
      </c>
      <c r="I126" s="6" t="s">
        <v>858</v>
      </c>
      <c r="J126" s="6" t="s">
        <v>859</v>
      </c>
      <c r="K126" s="6" t="s">
        <v>860</v>
      </c>
      <c r="L126" s="6" t="s">
        <v>861</v>
      </c>
      <c r="M126" s="7" t="s">
        <v>862</v>
      </c>
    </row>
    <row r="127" customFormat="false" ht="42" hidden="false" customHeight="true" outlineLevel="0" collapsed="false">
      <c r="A127" s="5" t="n">
        <f aca="false">ROW()-3</f>
        <v>124</v>
      </c>
      <c r="B127" s="6" t="s">
        <v>863</v>
      </c>
      <c r="C127" s="6" t="s">
        <v>72</v>
      </c>
      <c r="D127" s="6" t="s">
        <v>864</v>
      </c>
      <c r="E127" s="6" t="s">
        <v>95</v>
      </c>
      <c r="F127" s="5" t="n">
        <v>6</v>
      </c>
      <c r="G127" s="5" t="n">
        <v>17.9</v>
      </c>
      <c r="H127" s="5" t="n">
        <v>9</v>
      </c>
      <c r="I127" s="6" t="s">
        <v>865</v>
      </c>
      <c r="J127" s="6" t="s">
        <v>866</v>
      </c>
      <c r="K127" s="6" t="s">
        <v>867</v>
      </c>
      <c r="L127" s="6" t="s">
        <v>868</v>
      </c>
      <c r="M127" s="7" t="s">
        <v>869</v>
      </c>
    </row>
    <row r="128" customFormat="false" ht="42" hidden="false" customHeight="true" outlineLevel="0" collapsed="false">
      <c r="A128" s="5" t="n">
        <f aca="false">ROW()-3</f>
        <v>125</v>
      </c>
      <c r="B128" s="6" t="s">
        <v>870</v>
      </c>
      <c r="C128" s="6" t="s">
        <v>72</v>
      </c>
      <c r="D128" s="6" t="s">
        <v>33</v>
      </c>
      <c r="E128" s="6" t="s">
        <v>95</v>
      </c>
      <c r="F128" s="5" t="n">
        <v>6</v>
      </c>
      <c r="G128" s="5" t="n">
        <v>17.9</v>
      </c>
      <c r="H128" s="5" t="n">
        <v>9</v>
      </c>
      <c r="I128" s="6" t="s">
        <v>871</v>
      </c>
      <c r="J128" s="6" t="s">
        <v>872</v>
      </c>
      <c r="K128" s="6" t="s">
        <v>873</v>
      </c>
      <c r="L128" s="6" t="s">
        <v>874</v>
      </c>
      <c r="M128" s="7" t="s">
        <v>875</v>
      </c>
    </row>
    <row r="129" customFormat="false" ht="42" hidden="false" customHeight="true" outlineLevel="0" collapsed="false">
      <c r="A129" s="5" t="n">
        <f aca="false">ROW()-3</f>
        <v>126</v>
      </c>
      <c r="B129" s="6" t="s">
        <v>876</v>
      </c>
      <c r="C129" s="6" t="s">
        <v>16</v>
      </c>
      <c r="D129" s="6" t="s">
        <v>17</v>
      </c>
      <c r="E129" s="6" t="s">
        <v>73</v>
      </c>
      <c r="F129" s="5" t="n">
        <v>16</v>
      </c>
      <c r="G129" s="5" t="n">
        <v>99</v>
      </c>
      <c r="H129" s="5" t="n">
        <v>5</v>
      </c>
      <c r="I129" s="6" t="s">
        <v>877</v>
      </c>
      <c r="J129" s="6" t="s">
        <v>878</v>
      </c>
      <c r="K129" s="6" t="s">
        <v>879</v>
      </c>
      <c r="L129" s="6" t="s">
        <v>880</v>
      </c>
      <c r="M129" s="7" t="s">
        <v>881</v>
      </c>
    </row>
    <row r="130" customFormat="false" ht="42" hidden="false" customHeight="true" outlineLevel="0" collapsed="false">
      <c r="A130" s="5" t="n">
        <f aca="false">ROW()-3</f>
        <v>127</v>
      </c>
      <c r="B130" s="6" t="s">
        <v>882</v>
      </c>
      <c r="C130" s="6" t="s">
        <v>16</v>
      </c>
      <c r="D130" s="6" t="s">
        <v>883</v>
      </c>
      <c r="E130" s="6" t="s">
        <v>884</v>
      </c>
      <c r="F130" s="5" t="n">
        <v>3</v>
      </c>
      <c r="G130" s="5" t="n">
        <v>70</v>
      </c>
      <c r="H130" s="5" t="n">
        <v>7</v>
      </c>
      <c r="I130" s="6" t="s">
        <v>885</v>
      </c>
      <c r="J130" s="6" t="s">
        <v>886</v>
      </c>
      <c r="K130" s="6" t="s">
        <v>887</v>
      </c>
      <c r="L130" s="6" t="s">
        <v>888</v>
      </c>
      <c r="M130" s="7" t="s">
        <v>889</v>
      </c>
    </row>
    <row r="131" customFormat="false" ht="42" hidden="false" customHeight="true" outlineLevel="0" collapsed="false">
      <c r="A131" s="5" t="n">
        <f aca="false">ROW()-3</f>
        <v>128</v>
      </c>
      <c r="B131" s="6" t="s">
        <v>890</v>
      </c>
      <c r="C131" s="6" t="s">
        <v>219</v>
      </c>
      <c r="D131" s="6" t="s">
        <v>815</v>
      </c>
      <c r="E131" s="6" t="s">
        <v>618</v>
      </c>
      <c r="F131" s="5" t="n">
        <v>9</v>
      </c>
      <c r="G131" s="5" t="n">
        <v>18</v>
      </c>
      <c r="H131" s="5" t="n">
        <v>8</v>
      </c>
      <c r="I131" s="6" t="s">
        <v>891</v>
      </c>
      <c r="J131" s="6" t="s">
        <v>892</v>
      </c>
      <c r="K131" s="6" t="s">
        <v>893</v>
      </c>
      <c r="L131" s="6" t="s">
        <v>894</v>
      </c>
      <c r="M131" s="7" t="s">
        <v>895</v>
      </c>
    </row>
    <row r="132" customFormat="false" ht="42" hidden="false" customHeight="true" outlineLevel="0" collapsed="false">
      <c r="A132" s="5" t="n">
        <f aca="false">ROW()-3</f>
        <v>129</v>
      </c>
      <c r="B132" s="6" t="s">
        <v>896</v>
      </c>
      <c r="C132" s="6" t="s">
        <v>219</v>
      </c>
      <c r="D132" s="6" t="s">
        <v>17</v>
      </c>
      <c r="E132" s="6" t="s">
        <v>618</v>
      </c>
      <c r="F132" s="5" t="n">
        <v>9</v>
      </c>
      <c r="G132" s="5" t="n">
        <v>18</v>
      </c>
      <c r="H132" s="5" t="n">
        <v>8</v>
      </c>
      <c r="I132" s="6" t="s">
        <v>897</v>
      </c>
      <c r="J132" s="6" t="s">
        <v>892</v>
      </c>
      <c r="K132" s="6" t="s">
        <v>898</v>
      </c>
      <c r="L132" s="6" t="s">
        <v>899</v>
      </c>
      <c r="M132" s="7" t="s">
        <v>900</v>
      </c>
    </row>
    <row r="133" customFormat="false" ht="42" hidden="false" customHeight="true" outlineLevel="0" collapsed="false">
      <c r="A133" s="5" t="n">
        <f aca="false">ROW()-3</f>
        <v>130</v>
      </c>
      <c r="B133" s="6" t="s">
        <v>901</v>
      </c>
      <c r="C133" s="6" t="s">
        <v>219</v>
      </c>
      <c r="D133" s="6" t="s">
        <v>815</v>
      </c>
      <c r="E133" s="6" t="s">
        <v>618</v>
      </c>
      <c r="F133" s="5" t="n">
        <v>9</v>
      </c>
      <c r="G133" s="5" t="n">
        <v>18</v>
      </c>
      <c r="H133" s="5" t="n">
        <v>13</v>
      </c>
      <c r="I133" s="6" t="s">
        <v>902</v>
      </c>
      <c r="J133" s="6" t="s">
        <v>903</v>
      </c>
      <c r="K133" s="6" t="s">
        <v>904</v>
      </c>
      <c r="L133" s="6" t="s">
        <v>905</v>
      </c>
      <c r="M133" s="7" t="s">
        <v>906</v>
      </c>
    </row>
    <row r="134" customFormat="false" ht="42" hidden="false" customHeight="true" outlineLevel="0" collapsed="false">
      <c r="A134" s="5" t="n">
        <f aca="false">ROW()-3</f>
        <v>131</v>
      </c>
      <c r="B134" s="6" t="s">
        <v>907</v>
      </c>
      <c r="C134" s="6" t="s">
        <v>219</v>
      </c>
      <c r="D134" s="6" t="s">
        <v>17</v>
      </c>
      <c r="E134" s="6" t="s">
        <v>618</v>
      </c>
      <c r="F134" s="5" t="n">
        <v>9</v>
      </c>
      <c r="G134" s="5" t="n">
        <v>18</v>
      </c>
      <c r="H134" s="5" t="n">
        <v>13</v>
      </c>
      <c r="I134" s="6" t="s">
        <v>908</v>
      </c>
      <c r="J134" s="6" t="s">
        <v>903</v>
      </c>
      <c r="K134" s="6" t="s">
        <v>909</v>
      </c>
      <c r="L134" s="6" t="s">
        <v>910</v>
      </c>
      <c r="M134" s="7" t="s">
        <v>911</v>
      </c>
    </row>
    <row r="135" customFormat="false" ht="42" hidden="false" customHeight="true" outlineLevel="0" collapsed="false">
      <c r="A135" s="5" t="n">
        <f aca="false">ROW()-3</f>
        <v>132</v>
      </c>
      <c r="B135" s="6" t="s">
        <v>912</v>
      </c>
      <c r="C135" s="6" t="s">
        <v>219</v>
      </c>
      <c r="D135" s="6" t="s">
        <v>17</v>
      </c>
      <c r="E135" s="6" t="s">
        <v>913</v>
      </c>
      <c r="F135" s="5" t="n">
        <v>12</v>
      </c>
      <c r="G135" s="5" t="n">
        <v>20</v>
      </c>
      <c r="H135" s="5" t="n">
        <v>1</v>
      </c>
      <c r="I135" s="6" t="s">
        <v>914</v>
      </c>
      <c r="J135" s="6" t="s">
        <v>915</v>
      </c>
      <c r="K135" s="6" t="s">
        <v>916</v>
      </c>
      <c r="L135" s="6" t="s">
        <v>917</v>
      </c>
      <c r="M135" s="7" t="s">
        <v>918</v>
      </c>
    </row>
    <row r="136" customFormat="false" ht="42" hidden="false" customHeight="true" outlineLevel="0" collapsed="false">
      <c r="A136" s="5" t="n">
        <f aca="false">ROW()-3</f>
        <v>133</v>
      </c>
      <c r="B136" s="6" t="s">
        <v>919</v>
      </c>
      <c r="C136" s="6" t="s">
        <v>219</v>
      </c>
      <c r="D136" s="6" t="s">
        <v>17</v>
      </c>
      <c r="E136" s="6" t="s">
        <v>173</v>
      </c>
      <c r="F136" s="5" t="n">
        <v>8</v>
      </c>
      <c r="G136" s="5" t="n">
        <v>17.9</v>
      </c>
      <c r="H136" s="5" t="n">
        <v>8</v>
      </c>
      <c r="I136" s="6" t="s">
        <v>920</v>
      </c>
      <c r="J136" s="6" t="s">
        <v>921</v>
      </c>
      <c r="K136" s="6" t="s">
        <v>922</v>
      </c>
      <c r="L136" s="6" t="s">
        <v>923</v>
      </c>
      <c r="M136" s="7" t="s">
        <v>924</v>
      </c>
    </row>
    <row r="137" customFormat="false" ht="42" hidden="false" customHeight="true" outlineLevel="0" collapsed="false">
      <c r="A137" s="5" t="n">
        <f aca="false">ROW()-3</f>
        <v>134</v>
      </c>
      <c r="B137" s="6" t="s">
        <v>925</v>
      </c>
      <c r="C137" s="6" t="s">
        <v>219</v>
      </c>
      <c r="D137" s="6" t="s">
        <v>33</v>
      </c>
      <c r="E137" s="6" t="s">
        <v>173</v>
      </c>
      <c r="F137" s="5" t="n">
        <v>8</v>
      </c>
      <c r="G137" s="5" t="n">
        <v>17.9</v>
      </c>
      <c r="H137" s="5" t="n">
        <v>8</v>
      </c>
      <c r="I137" s="6" t="s">
        <v>926</v>
      </c>
      <c r="J137" s="6" t="s">
        <v>921</v>
      </c>
      <c r="K137" s="6" t="s">
        <v>927</v>
      </c>
      <c r="L137" s="6" t="s">
        <v>928</v>
      </c>
      <c r="M137" s="7" t="s">
        <v>929</v>
      </c>
    </row>
    <row r="138" customFormat="false" ht="42" hidden="false" customHeight="true" outlineLevel="0" collapsed="false">
      <c r="A138" s="5" t="n">
        <f aca="false">ROW()-3</f>
        <v>135</v>
      </c>
      <c r="B138" s="6" t="s">
        <v>930</v>
      </c>
      <c r="C138" s="6" t="s">
        <v>554</v>
      </c>
      <c r="D138" s="6" t="s">
        <v>573</v>
      </c>
      <c r="E138" s="6" t="s">
        <v>931</v>
      </c>
      <c r="F138" s="5" t="n">
        <v>13</v>
      </c>
      <c r="G138" s="5" t="n">
        <v>99</v>
      </c>
      <c r="H138" s="5" t="n">
        <v>7</v>
      </c>
      <c r="I138" s="6" t="s">
        <v>932</v>
      </c>
      <c r="J138" s="6" t="s">
        <v>933</v>
      </c>
      <c r="K138" s="6" t="s">
        <v>934</v>
      </c>
      <c r="L138" s="6" t="s">
        <v>935</v>
      </c>
      <c r="M138" s="7" t="s">
        <v>936</v>
      </c>
    </row>
    <row r="139" customFormat="false" ht="42" hidden="false" customHeight="true" outlineLevel="0" collapsed="false">
      <c r="A139" s="5" t="n">
        <f aca="false">ROW()-3</f>
        <v>136</v>
      </c>
      <c r="B139" s="6" t="s">
        <v>937</v>
      </c>
      <c r="C139" s="6" t="s">
        <v>401</v>
      </c>
      <c r="D139" s="6" t="s">
        <v>272</v>
      </c>
      <c r="E139" s="6" t="s">
        <v>938</v>
      </c>
      <c r="F139" s="5" t="n">
        <v>11</v>
      </c>
      <c r="G139" s="5" t="n">
        <v>17.9</v>
      </c>
      <c r="H139" s="5" t="n">
        <v>4</v>
      </c>
      <c r="I139" s="6" t="s">
        <v>939</v>
      </c>
      <c r="J139" s="6" t="s">
        <v>940</v>
      </c>
      <c r="K139" s="6" t="s">
        <v>941</v>
      </c>
      <c r="L139" s="6" t="s">
        <v>942</v>
      </c>
      <c r="M139" s="7" t="s">
        <v>943</v>
      </c>
    </row>
    <row r="140" customFormat="false" ht="42" hidden="false" customHeight="true" outlineLevel="0" collapsed="false">
      <c r="A140" s="5" t="n">
        <f aca="false">ROW()-3</f>
        <v>137</v>
      </c>
      <c r="B140" s="6" t="s">
        <v>944</v>
      </c>
      <c r="C140" s="6" t="s">
        <v>131</v>
      </c>
      <c r="D140" s="6" t="s">
        <v>945</v>
      </c>
      <c r="E140" s="6" t="s">
        <v>946</v>
      </c>
      <c r="F140" s="5" t="n">
        <v>5</v>
      </c>
      <c r="G140" s="5" t="n">
        <v>11</v>
      </c>
      <c r="H140" s="5" t="n">
        <v>3</v>
      </c>
      <c r="I140" s="6" t="s">
        <v>947</v>
      </c>
      <c r="J140" s="6" t="s">
        <v>948</v>
      </c>
      <c r="K140" s="6" t="s">
        <v>949</v>
      </c>
      <c r="L140" s="6" t="s">
        <v>950</v>
      </c>
      <c r="M140" s="7" t="s">
        <v>951</v>
      </c>
    </row>
    <row r="141" customFormat="false" ht="42" hidden="false" customHeight="true" outlineLevel="0" collapsed="false">
      <c r="A141" s="5" t="n">
        <f aca="false">ROW()-3</f>
        <v>138</v>
      </c>
      <c r="B141" s="6" t="s">
        <v>952</v>
      </c>
      <c r="C141" s="6" t="s">
        <v>401</v>
      </c>
      <c r="D141" s="6" t="s">
        <v>953</v>
      </c>
      <c r="E141" s="6" t="s">
        <v>95</v>
      </c>
      <c r="F141" s="5" t="n">
        <v>6</v>
      </c>
      <c r="G141" s="5" t="n">
        <v>17.9</v>
      </c>
      <c r="H141" s="5" t="n">
        <v>6</v>
      </c>
      <c r="I141" s="6" t="s">
        <v>954</v>
      </c>
      <c r="J141" s="6" t="s">
        <v>955</v>
      </c>
      <c r="K141" s="6" t="s">
        <v>956</v>
      </c>
      <c r="L141" s="6" t="s">
        <v>957</v>
      </c>
      <c r="M141" s="7" t="s">
        <v>958</v>
      </c>
    </row>
    <row r="142" customFormat="false" ht="42" hidden="false" customHeight="true" outlineLevel="0" collapsed="false">
      <c r="A142" s="5" t="n">
        <f aca="false">ROW()-3</f>
        <v>139</v>
      </c>
      <c r="B142" s="6" t="s">
        <v>959</v>
      </c>
      <c r="C142" s="6" t="s">
        <v>219</v>
      </c>
      <c r="D142" s="6" t="s">
        <v>33</v>
      </c>
      <c r="E142" s="6" t="s">
        <v>960</v>
      </c>
      <c r="F142" s="5" t="n">
        <v>3</v>
      </c>
      <c r="G142" s="5" t="n">
        <v>12.9</v>
      </c>
      <c r="H142" s="5" t="n">
        <v>6</v>
      </c>
      <c r="I142" s="6" t="s">
        <v>961</v>
      </c>
      <c r="J142" s="6" t="s">
        <v>962</v>
      </c>
      <c r="K142" s="6" t="s">
        <v>963</v>
      </c>
      <c r="L142" s="6" t="s">
        <v>964</v>
      </c>
      <c r="M142" s="7" t="s">
        <v>965</v>
      </c>
    </row>
    <row r="143" customFormat="false" ht="42" hidden="false" customHeight="true" outlineLevel="0" collapsed="false">
      <c r="A143" s="5" t="n">
        <f aca="false">ROW()-3</f>
        <v>140</v>
      </c>
      <c r="B143" s="6" t="s">
        <v>966</v>
      </c>
      <c r="C143" s="6" t="s">
        <v>219</v>
      </c>
      <c r="D143" s="6" t="s">
        <v>156</v>
      </c>
      <c r="E143" s="6" t="s">
        <v>960</v>
      </c>
      <c r="F143" s="5" t="n">
        <v>3</v>
      </c>
      <c r="G143" s="5" t="n">
        <v>12.9</v>
      </c>
      <c r="H143" s="5" t="n">
        <v>6</v>
      </c>
      <c r="I143" s="6" t="s">
        <v>967</v>
      </c>
      <c r="J143" s="6" t="s">
        <v>962</v>
      </c>
      <c r="K143" s="6" t="s">
        <v>968</v>
      </c>
      <c r="L143" s="6" t="s">
        <v>969</v>
      </c>
      <c r="M143" s="7" t="s">
        <v>970</v>
      </c>
    </row>
    <row r="144" customFormat="false" ht="42" hidden="false" customHeight="true" outlineLevel="0" collapsed="false">
      <c r="A144" s="5" t="n">
        <f aca="false">ROW()-3</f>
        <v>141</v>
      </c>
      <c r="B144" s="6" t="s">
        <v>971</v>
      </c>
      <c r="C144" s="6" t="s">
        <v>442</v>
      </c>
      <c r="D144" s="6" t="s">
        <v>172</v>
      </c>
      <c r="E144" s="6" t="s">
        <v>625</v>
      </c>
      <c r="F144" s="5" t="n">
        <v>1.1</v>
      </c>
      <c r="G144" s="5" t="n">
        <v>1.5</v>
      </c>
      <c r="H144" s="5" t="n">
        <v>11</v>
      </c>
      <c r="I144" s="6" t="s">
        <v>972</v>
      </c>
      <c r="J144" s="6" t="s">
        <v>973</v>
      </c>
      <c r="K144" s="6" t="s">
        <v>974</v>
      </c>
      <c r="L144" s="6" t="s">
        <v>975</v>
      </c>
      <c r="M144" s="7" t="s">
        <v>976</v>
      </c>
    </row>
    <row r="145" customFormat="false" ht="42" hidden="false" customHeight="true" outlineLevel="0" collapsed="false">
      <c r="A145" s="5" t="n">
        <f aca="false">ROW()-3</f>
        <v>142</v>
      </c>
      <c r="B145" s="6" t="s">
        <v>977</v>
      </c>
      <c r="C145" s="6" t="s">
        <v>442</v>
      </c>
      <c r="D145" s="6" t="s">
        <v>172</v>
      </c>
      <c r="E145" s="6" t="s">
        <v>978</v>
      </c>
      <c r="F145" s="5" t="n">
        <v>0.7</v>
      </c>
      <c r="G145" s="5" t="n">
        <v>1.2</v>
      </c>
      <c r="H145" s="5" t="n">
        <v>9</v>
      </c>
      <c r="I145" s="6" t="s">
        <v>979</v>
      </c>
      <c r="J145" s="6" t="s">
        <v>980</v>
      </c>
      <c r="K145" s="6" t="s">
        <v>981</v>
      </c>
      <c r="L145" s="6" t="s">
        <v>982</v>
      </c>
      <c r="M145" s="7" t="s">
        <v>983</v>
      </c>
    </row>
    <row r="146" customFormat="false" ht="42" hidden="false" customHeight="true" outlineLevel="0" collapsed="false">
      <c r="A146" s="5" t="n">
        <f aca="false">ROW()-3</f>
        <v>143</v>
      </c>
      <c r="B146" s="6" t="s">
        <v>984</v>
      </c>
      <c r="C146" s="6" t="s">
        <v>442</v>
      </c>
      <c r="D146" s="6" t="s">
        <v>45</v>
      </c>
      <c r="E146" s="6" t="s">
        <v>985</v>
      </c>
      <c r="F146" s="5" t="n">
        <v>0.7</v>
      </c>
      <c r="G146" s="5" t="n">
        <v>1.2</v>
      </c>
      <c r="H146" s="5" t="n">
        <v>6</v>
      </c>
      <c r="I146" s="6" t="s">
        <v>986</v>
      </c>
      <c r="J146" s="6" t="s">
        <v>987</v>
      </c>
      <c r="K146" s="6" t="s">
        <v>988</v>
      </c>
      <c r="L146" s="6" t="s">
        <v>989</v>
      </c>
      <c r="M146" s="7" t="s">
        <v>990</v>
      </c>
    </row>
    <row r="147" customFormat="false" ht="42" hidden="false" customHeight="true" outlineLevel="0" collapsed="false">
      <c r="A147" s="5" t="n">
        <f aca="false">ROW()-3</f>
        <v>144</v>
      </c>
      <c r="B147" s="6" t="s">
        <v>991</v>
      </c>
      <c r="C147" s="6" t="s">
        <v>442</v>
      </c>
      <c r="D147" s="6" t="s">
        <v>17</v>
      </c>
      <c r="E147" s="6" t="s">
        <v>992</v>
      </c>
      <c r="F147" s="5" t="n">
        <v>1.4</v>
      </c>
      <c r="G147" s="5" t="n">
        <v>2.5</v>
      </c>
      <c r="H147" s="5" t="n">
        <v>16</v>
      </c>
      <c r="I147" s="6" t="s">
        <v>993</v>
      </c>
      <c r="J147" s="6" t="s">
        <v>994</v>
      </c>
      <c r="K147" s="6" t="s">
        <v>995</v>
      </c>
      <c r="L147" s="6" t="s">
        <v>996</v>
      </c>
      <c r="M147" s="7" t="s">
        <v>997</v>
      </c>
    </row>
    <row r="148" customFormat="false" ht="42" hidden="false" customHeight="true" outlineLevel="0" collapsed="false">
      <c r="A148" s="5" t="n">
        <f aca="false">ROW()-3</f>
        <v>145</v>
      </c>
      <c r="B148" s="6" t="s">
        <v>998</v>
      </c>
      <c r="C148" s="6" t="s">
        <v>442</v>
      </c>
      <c r="D148" s="6" t="s">
        <v>172</v>
      </c>
      <c r="E148" s="6" t="s">
        <v>999</v>
      </c>
      <c r="F148" s="5" t="n">
        <v>0.7</v>
      </c>
      <c r="G148" s="5" t="n">
        <v>1.2</v>
      </c>
      <c r="H148" s="5" t="n">
        <v>13</v>
      </c>
      <c r="I148" s="6" t="s">
        <v>1000</v>
      </c>
      <c r="J148" s="6" t="s">
        <v>1001</v>
      </c>
      <c r="K148" s="6" t="s">
        <v>1002</v>
      </c>
      <c r="L148" s="6" t="s">
        <v>1003</v>
      </c>
      <c r="M148" s="7" t="s">
        <v>1004</v>
      </c>
    </row>
    <row r="149" customFormat="false" ht="42" hidden="false" customHeight="true" outlineLevel="0" collapsed="false">
      <c r="A149" s="5" t="n">
        <f aca="false">ROW()-3</f>
        <v>146</v>
      </c>
      <c r="B149" s="6" t="s">
        <v>1005</v>
      </c>
      <c r="C149" s="6" t="s">
        <v>16</v>
      </c>
      <c r="D149" s="6" t="s">
        <v>33</v>
      </c>
      <c r="E149" s="6" t="s">
        <v>180</v>
      </c>
      <c r="F149" s="5" t="n">
        <v>4</v>
      </c>
      <c r="G149" s="5" t="n">
        <v>17.9</v>
      </c>
      <c r="H149" s="5" t="n">
        <v>7</v>
      </c>
      <c r="I149" s="6" t="s">
        <v>1006</v>
      </c>
      <c r="J149" s="6" t="s">
        <v>1007</v>
      </c>
      <c r="K149" s="6" t="s">
        <v>1008</v>
      </c>
      <c r="L149" s="6" t="s">
        <v>1009</v>
      </c>
      <c r="M149" s="7" t="s">
        <v>1010</v>
      </c>
    </row>
    <row r="150" customFormat="false" ht="210" hidden="false" customHeight="true" outlineLevel="0" collapsed="false">
      <c r="A150" s="5" t="n">
        <f aca="false">ROW()-3</f>
        <v>147</v>
      </c>
      <c r="B150" s="6" t="s">
        <v>1011</v>
      </c>
      <c r="C150" s="6" t="s">
        <v>16</v>
      </c>
      <c r="D150" s="6" t="s">
        <v>45</v>
      </c>
      <c r="E150" s="6" t="s">
        <v>180</v>
      </c>
      <c r="F150" s="5" t="n">
        <v>4</v>
      </c>
      <c r="G150" s="5" t="n">
        <v>17.9</v>
      </c>
      <c r="H150" s="5" t="n">
        <v>7</v>
      </c>
      <c r="I150" s="6" t="s">
        <v>1012</v>
      </c>
      <c r="J150" s="6" t="s">
        <v>1007</v>
      </c>
      <c r="K150" s="6" t="s">
        <v>1013</v>
      </c>
      <c r="L150" s="6" t="s">
        <v>1014</v>
      </c>
      <c r="M150" s="7" t="s">
        <v>1015</v>
      </c>
    </row>
    <row r="151" customFormat="false" ht="42" hidden="false" customHeight="true" outlineLevel="0" collapsed="false">
      <c r="A151" s="5" t="n">
        <f aca="false">ROW()-3</f>
        <v>148</v>
      </c>
      <c r="B151" s="6" t="s">
        <v>1016</v>
      </c>
      <c r="C151" s="6" t="s">
        <v>219</v>
      </c>
      <c r="D151" s="6" t="s">
        <v>17</v>
      </c>
      <c r="E151" s="6" t="s">
        <v>265</v>
      </c>
      <c r="F151" s="5" t="n">
        <v>8</v>
      </c>
      <c r="G151" s="5" t="n">
        <v>17.9</v>
      </c>
      <c r="H151" s="5" t="n">
        <v>4</v>
      </c>
      <c r="I151" s="6" t="s">
        <v>1017</v>
      </c>
      <c r="J151" s="6" t="s">
        <v>1018</v>
      </c>
      <c r="K151" s="6" t="s">
        <v>1019</v>
      </c>
      <c r="L151" s="6" t="s">
        <v>1020</v>
      </c>
      <c r="M151" s="7" t="s">
        <v>1021</v>
      </c>
    </row>
    <row r="152" customFormat="false" ht="42" hidden="false" customHeight="true" outlineLevel="0" collapsed="false">
      <c r="A152" s="5" t="n">
        <f aca="false">ROW()-3</f>
        <v>149</v>
      </c>
      <c r="B152" s="6" t="s">
        <v>1022</v>
      </c>
      <c r="C152" s="6" t="s">
        <v>72</v>
      </c>
      <c r="D152" s="6" t="s">
        <v>17</v>
      </c>
      <c r="E152" s="6" t="s">
        <v>618</v>
      </c>
      <c r="F152" s="5" t="n">
        <v>9</v>
      </c>
      <c r="G152" s="5" t="n">
        <v>19</v>
      </c>
      <c r="H152" s="5" t="n">
        <v>12</v>
      </c>
      <c r="I152" s="6" t="s">
        <v>1023</v>
      </c>
      <c r="J152" s="6" t="s">
        <v>1024</v>
      </c>
      <c r="K152" s="6" t="s">
        <v>1025</v>
      </c>
      <c r="L152" s="6" t="s">
        <v>1026</v>
      </c>
      <c r="M152" s="7" t="s">
        <v>1027</v>
      </c>
    </row>
    <row r="153" customFormat="false" ht="42" hidden="false" customHeight="true" outlineLevel="0" collapsed="false">
      <c r="A153" s="5" t="n">
        <f aca="false">ROW()-3</f>
        <v>150</v>
      </c>
      <c r="B153" s="6" t="s">
        <v>1028</v>
      </c>
      <c r="C153" s="6" t="s">
        <v>131</v>
      </c>
      <c r="D153" s="6" t="s">
        <v>1029</v>
      </c>
      <c r="E153" s="6" t="s">
        <v>95</v>
      </c>
      <c r="F153" s="5" t="n">
        <v>6</v>
      </c>
      <c r="G153" s="5" t="n">
        <v>17.9</v>
      </c>
      <c r="H153" s="5" t="n">
        <v>2</v>
      </c>
      <c r="I153" s="6" t="s">
        <v>1030</v>
      </c>
      <c r="J153" s="6" t="s">
        <v>1031</v>
      </c>
      <c r="K153" s="6" t="s">
        <v>1032</v>
      </c>
      <c r="L153" s="6" t="s">
        <v>1033</v>
      </c>
      <c r="M153" s="7" t="s">
        <v>1034</v>
      </c>
    </row>
    <row r="154" customFormat="false" ht="42" hidden="false" customHeight="true" outlineLevel="0" collapsed="false">
      <c r="A154" s="5" t="n">
        <f aca="false">ROW()-3</f>
        <v>151</v>
      </c>
      <c r="B154" s="6" t="s">
        <v>1035</v>
      </c>
      <c r="C154" s="6" t="s">
        <v>210</v>
      </c>
      <c r="D154" s="6" t="s">
        <v>17</v>
      </c>
      <c r="E154" s="6" t="s">
        <v>838</v>
      </c>
      <c r="F154" s="5" t="n">
        <v>16</v>
      </c>
      <c r="G154" s="5" t="n">
        <v>99</v>
      </c>
      <c r="H154" s="5" t="n">
        <v>4</v>
      </c>
      <c r="I154" s="6" t="s">
        <v>1036</v>
      </c>
      <c r="J154" s="6" t="s">
        <v>1037</v>
      </c>
      <c r="K154" s="6" t="s">
        <v>1038</v>
      </c>
      <c r="L154" s="6" t="s">
        <v>1039</v>
      </c>
      <c r="M154" s="7" t="s">
        <v>1040</v>
      </c>
    </row>
    <row r="155" customFormat="false" ht="220.5" hidden="false" customHeight="true" outlineLevel="0" collapsed="false">
      <c r="A155" s="5" t="n">
        <f aca="false">ROW()-3</f>
        <v>152</v>
      </c>
      <c r="B155" s="6" t="s">
        <v>1041</v>
      </c>
      <c r="C155" s="6" t="s">
        <v>1042</v>
      </c>
      <c r="D155" s="6" t="s">
        <v>187</v>
      </c>
      <c r="E155" s="6" t="s">
        <v>1043</v>
      </c>
      <c r="F155" s="5" t="n">
        <v>3</v>
      </c>
      <c r="G155" s="5" t="n">
        <v>17.9</v>
      </c>
      <c r="H155" s="5" t="n">
        <v>13</v>
      </c>
      <c r="I155" s="6" t="s">
        <v>1044</v>
      </c>
      <c r="J155" s="6" t="s">
        <v>1045</v>
      </c>
      <c r="K155" s="6" t="s">
        <v>1046</v>
      </c>
      <c r="L155" s="6" t="s">
        <v>1047</v>
      </c>
      <c r="M155" s="7" t="s">
        <v>1048</v>
      </c>
    </row>
    <row r="156" customFormat="false" ht="120" hidden="false" customHeight="true" outlineLevel="0" collapsed="false">
      <c r="A156" s="5" t="n">
        <v>153</v>
      </c>
      <c r="B156" s="6" t="s">
        <v>1049</v>
      </c>
      <c r="C156" s="6" t="s">
        <v>1050</v>
      </c>
      <c r="D156" s="6" t="s">
        <v>33</v>
      </c>
      <c r="E156" s="6" t="s">
        <v>1051</v>
      </c>
      <c r="F156" s="5" t="n">
        <v>2</v>
      </c>
      <c r="G156" s="5" t="n">
        <v>10.9</v>
      </c>
      <c r="H156" s="5" t="n">
        <v>9</v>
      </c>
      <c r="I156" s="6" t="s">
        <v>1052</v>
      </c>
      <c r="J156" s="6" t="s">
        <v>1053</v>
      </c>
      <c r="K156" s="6" t="s">
        <v>1054</v>
      </c>
      <c r="L156" s="6" t="s">
        <v>1055</v>
      </c>
      <c r="M156" s="7" t="s">
        <v>1056</v>
      </c>
    </row>
    <row r="157" customFormat="false" ht="120" hidden="false" customHeight="true" outlineLevel="0" collapsed="false">
      <c r="A157" s="5" t="n">
        <v>154</v>
      </c>
      <c r="B157" s="6" t="s">
        <v>1057</v>
      </c>
      <c r="C157" s="6" t="s">
        <v>1050</v>
      </c>
      <c r="D157" s="6" t="s">
        <v>17</v>
      </c>
      <c r="E157" s="6" t="s">
        <v>633</v>
      </c>
      <c r="F157" s="5" t="n">
        <v>7</v>
      </c>
      <c r="G157" s="5" t="n">
        <v>12.9</v>
      </c>
      <c r="H157" s="5" t="n">
        <v>8</v>
      </c>
      <c r="I157" s="6" t="s">
        <v>1058</v>
      </c>
      <c r="J157" s="6" t="s">
        <v>1059</v>
      </c>
      <c r="K157" s="6" t="s">
        <v>1060</v>
      </c>
      <c r="L157" s="6" t="s">
        <v>1061</v>
      </c>
      <c r="M157" s="7" t="s">
        <v>1062</v>
      </c>
    </row>
    <row r="158" customFormat="false" ht="120" hidden="false" customHeight="true" outlineLevel="0" collapsed="false">
      <c r="A158" s="5" t="n">
        <v>155</v>
      </c>
      <c r="B158" s="6" t="s">
        <v>1063</v>
      </c>
      <c r="C158" s="6" t="s">
        <v>16</v>
      </c>
      <c r="D158" s="6" t="s">
        <v>1064</v>
      </c>
      <c r="E158" s="6" t="s">
        <v>95</v>
      </c>
      <c r="F158" s="5" t="n">
        <v>6</v>
      </c>
      <c r="G158" s="5" t="n">
        <v>18.9</v>
      </c>
      <c r="H158" s="5" t="n">
        <v>5</v>
      </c>
      <c r="I158" s="6" t="s">
        <v>1065</v>
      </c>
      <c r="J158" s="6" t="s">
        <v>1066</v>
      </c>
      <c r="K158" s="6" t="s">
        <v>1067</v>
      </c>
      <c r="L158" s="6" t="s">
        <v>1068</v>
      </c>
      <c r="M158" s="7" t="s">
        <v>1069</v>
      </c>
    </row>
    <row r="159" customFormat="false" ht="84.75" hidden="false" customHeight="true" outlineLevel="0" collapsed="false">
      <c r="A159" s="5" t="n">
        <v>156</v>
      </c>
      <c r="B159" s="6" t="s">
        <v>1070</v>
      </c>
      <c r="C159" s="6" t="s">
        <v>1042</v>
      </c>
      <c r="D159" s="6" t="s">
        <v>17</v>
      </c>
      <c r="E159" s="6" t="s">
        <v>108</v>
      </c>
      <c r="F159" s="5" t="n">
        <v>11</v>
      </c>
      <c r="G159" s="5" t="n">
        <v>18</v>
      </c>
      <c r="H159" s="5" t="n">
        <v>6</v>
      </c>
      <c r="I159" s="6" t="s">
        <v>1071</v>
      </c>
      <c r="J159" s="6" t="s">
        <v>1072</v>
      </c>
      <c r="K159" s="6" t="s">
        <v>1073</v>
      </c>
      <c r="L159" s="6" t="s">
        <v>1074</v>
      </c>
      <c r="M159" s="7" t="s">
        <v>1075</v>
      </c>
    </row>
    <row r="160" customFormat="false" ht="84.75" hidden="false" customHeight="true" outlineLevel="0" collapsed="false">
      <c r="A160" s="5" t="n">
        <f aca="false">ROW()-3</f>
        <v>157</v>
      </c>
      <c r="B160" s="6" t="s">
        <v>1076</v>
      </c>
      <c r="C160" s="6" t="s">
        <v>1042</v>
      </c>
      <c r="D160" s="6" t="s">
        <v>17</v>
      </c>
      <c r="E160" s="6" t="s">
        <v>345</v>
      </c>
      <c r="F160" s="5" t="n">
        <v>12</v>
      </c>
      <c r="G160" s="5" t="n">
        <v>18</v>
      </c>
      <c r="H160" s="5" t="n">
        <v>6</v>
      </c>
      <c r="I160" s="6" t="s">
        <v>1077</v>
      </c>
      <c r="J160" s="6" t="s">
        <v>1078</v>
      </c>
      <c r="K160" s="6" t="s">
        <v>1079</v>
      </c>
      <c r="L160" s="6" t="s">
        <v>1080</v>
      </c>
      <c r="M160" s="7" t="s">
        <v>1081</v>
      </c>
    </row>
    <row r="161" customFormat="false" ht="95.25" hidden="false" customHeight="true" outlineLevel="0" collapsed="false">
      <c r="A161" s="5" t="n">
        <f aca="false">ROW()-3</f>
        <v>158</v>
      </c>
      <c r="B161" s="6" t="s">
        <v>1082</v>
      </c>
      <c r="C161" s="6" t="s">
        <v>1042</v>
      </c>
      <c r="D161" s="6" t="s">
        <v>33</v>
      </c>
      <c r="E161" s="6" t="s">
        <v>52</v>
      </c>
      <c r="F161" s="5" t="n">
        <v>0</v>
      </c>
      <c r="G161" s="5" t="n">
        <v>18</v>
      </c>
      <c r="H161" s="5" t="n">
        <v>6</v>
      </c>
      <c r="I161" s="6" t="s">
        <v>1083</v>
      </c>
      <c r="J161" s="6" t="s">
        <v>1084</v>
      </c>
      <c r="K161" s="6" t="s">
        <v>1085</v>
      </c>
      <c r="L161" s="6" t="s">
        <v>1086</v>
      </c>
      <c r="M161" s="7" t="s">
        <v>1087</v>
      </c>
    </row>
    <row r="162" customFormat="false" ht="95.25" hidden="false" customHeight="true" outlineLevel="0" collapsed="false">
      <c r="A162" s="5" t="n">
        <f aca="false">ROW()-3</f>
        <v>159</v>
      </c>
      <c r="B162" s="6" t="s">
        <v>1088</v>
      </c>
      <c r="C162" s="6" t="s">
        <v>162</v>
      </c>
      <c r="D162" s="6" t="s">
        <v>1089</v>
      </c>
      <c r="E162" s="6" t="s">
        <v>1090</v>
      </c>
      <c r="F162" s="5" t="n">
        <v>11</v>
      </c>
      <c r="G162" s="5" t="n">
        <v>99</v>
      </c>
      <c r="H162" s="5" t="n">
        <v>11</v>
      </c>
      <c r="I162" s="6" t="s">
        <v>1091</v>
      </c>
      <c r="J162" s="6" t="s">
        <v>1092</v>
      </c>
      <c r="K162" s="6" t="s">
        <v>1093</v>
      </c>
      <c r="L162" s="6" t="s">
        <v>1094</v>
      </c>
      <c r="M162" s="7" t="s">
        <v>1095</v>
      </c>
    </row>
    <row r="163" customFormat="false" ht="95.25" hidden="false" customHeight="true" outlineLevel="0" collapsed="false">
      <c r="A163" s="5" t="n">
        <f aca="false">ROW()-3</f>
        <v>160</v>
      </c>
      <c r="B163" s="6" t="s">
        <v>1096</v>
      </c>
      <c r="C163" s="6" t="s">
        <v>1042</v>
      </c>
      <c r="D163" s="6" t="s">
        <v>1089</v>
      </c>
      <c r="E163" s="6" t="s">
        <v>1097</v>
      </c>
      <c r="F163" s="5" t="n">
        <v>6</v>
      </c>
      <c r="G163" s="5" t="n">
        <v>11</v>
      </c>
      <c r="H163" s="5" t="n">
        <v>4</v>
      </c>
      <c r="I163" s="6" t="s">
        <v>1098</v>
      </c>
      <c r="J163" s="6" t="s">
        <v>1099</v>
      </c>
      <c r="K163" s="6" t="s">
        <v>1100</v>
      </c>
      <c r="L163" s="6" t="s">
        <v>1101</v>
      </c>
      <c r="M163" s="7" t="s">
        <v>1102</v>
      </c>
    </row>
    <row r="164" customFormat="false" ht="42.75" hidden="false" customHeight="true" outlineLevel="0" collapsed="false">
      <c r="A164" s="5" t="n">
        <f aca="false">ROW()-3</f>
        <v>161</v>
      </c>
      <c r="B164" s="6" t="s">
        <v>1103</v>
      </c>
      <c r="C164" s="6" t="s">
        <v>219</v>
      </c>
      <c r="D164" s="6" t="s">
        <v>17</v>
      </c>
      <c r="E164" s="6" t="s">
        <v>1104</v>
      </c>
      <c r="F164" s="5" t="n">
        <v>8</v>
      </c>
      <c r="G164" s="5" t="n">
        <v>11</v>
      </c>
      <c r="H164" s="5" t="n">
        <v>5</v>
      </c>
      <c r="I164" s="6" t="s">
        <v>1105</v>
      </c>
      <c r="J164" s="6" t="s">
        <v>1106</v>
      </c>
      <c r="K164" s="6" t="s">
        <v>1107</v>
      </c>
      <c r="L164" s="6" t="s">
        <v>1108</v>
      </c>
      <c r="M164" s="7" t="s">
        <v>1109</v>
      </c>
    </row>
    <row r="165" customFormat="false" ht="32.25" hidden="false" customHeight="true" outlineLevel="0" collapsed="false">
      <c r="A165" s="5" t="n">
        <f aca="false">ROW()-3</f>
        <v>162</v>
      </c>
      <c r="B165" s="6" t="s">
        <v>1110</v>
      </c>
      <c r="C165" s="6" t="s">
        <v>219</v>
      </c>
      <c r="D165" s="6" t="s">
        <v>33</v>
      </c>
      <c r="E165" s="6" t="s">
        <v>1104</v>
      </c>
      <c r="F165" s="5" t="n">
        <v>8</v>
      </c>
      <c r="G165" s="5" t="n">
        <v>11</v>
      </c>
      <c r="H165" s="5" t="n">
        <v>5</v>
      </c>
      <c r="I165" s="6" t="s">
        <v>1111</v>
      </c>
      <c r="J165" s="6" t="s">
        <v>1112</v>
      </c>
      <c r="K165" s="6" t="s">
        <v>1113</v>
      </c>
      <c r="L165" s="6" t="s">
        <v>1114</v>
      </c>
      <c r="M165" s="7" t="s">
        <v>1115</v>
      </c>
    </row>
    <row r="166" customFormat="false" ht="32.25" hidden="false" customHeight="true" outlineLevel="0" collapsed="false">
      <c r="A166" s="5" t="n">
        <f aca="false">ROW()-3</f>
        <v>163</v>
      </c>
      <c r="B166" s="6" t="s">
        <v>1116</v>
      </c>
      <c r="C166" s="6" t="s">
        <v>16</v>
      </c>
      <c r="D166" s="6" t="s">
        <v>1117</v>
      </c>
      <c r="E166" s="6" t="s">
        <v>451</v>
      </c>
      <c r="F166" s="5" t="n">
        <v>3</v>
      </c>
      <c r="G166" s="5" t="n">
        <v>18</v>
      </c>
      <c r="H166" s="5" t="n">
        <v>7</v>
      </c>
      <c r="I166" s="6" t="s">
        <v>1118</v>
      </c>
      <c r="J166" s="6" t="s">
        <v>1119</v>
      </c>
      <c r="K166" s="6" t="s">
        <v>1120</v>
      </c>
      <c r="L166" s="6" t="s">
        <v>1121</v>
      </c>
      <c r="M166" s="7" t="s">
        <v>1122</v>
      </c>
    </row>
    <row r="167" customFormat="false" ht="32.25" hidden="false" customHeight="true" outlineLevel="0" collapsed="false">
      <c r="A167" s="5" t="n">
        <f aca="false">ROW()-3</f>
        <v>164</v>
      </c>
      <c r="B167" s="6" t="s">
        <v>1123</v>
      </c>
      <c r="C167" s="6" t="s">
        <v>1050</v>
      </c>
      <c r="D167" s="6" t="s">
        <v>17</v>
      </c>
      <c r="E167" s="6" t="s">
        <v>233</v>
      </c>
      <c r="F167" s="5" t="n">
        <v>12</v>
      </c>
      <c r="G167" s="5" t="n">
        <v>99</v>
      </c>
      <c r="H167" s="5" t="n">
        <v>5</v>
      </c>
      <c r="I167" s="6" t="s">
        <v>1124</v>
      </c>
      <c r="J167" s="6" t="s">
        <v>1125</v>
      </c>
      <c r="K167" s="6" t="s">
        <v>1126</v>
      </c>
      <c r="L167" s="6" t="s">
        <v>1127</v>
      </c>
      <c r="M167" s="7" t="s">
        <v>1128</v>
      </c>
    </row>
    <row r="168" customFormat="false" ht="32.25" hidden="false" customHeight="true" outlineLevel="0" collapsed="false">
      <c r="A168" s="5" t="n">
        <f aca="false">ROW()-3</f>
        <v>165</v>
      </c>
      <c r="B168" s="6" t="s">
        <v>1129</v>
      </c>
      <c r="C168" s="6" t="s">
        <v>219</v>
      </c>
      <c r="D168" s="6" t="s">
        <v>17</v>
      </c>
      <c r="E168" s="6" t="s">
        <v>233</v>
      </c>
      <c r="F168" s="5" t="n">
        <v>12</v>
      </c>
      <c r="G168" s="5" t="n">
        <v>99</v>
      </c>
      <c r="H168" s="5" t="n">
        <v>4</v>
      </c>
      <c r="I168" s="6" t="s">
        <v>1130</v>
      </c>
      <c r="J168" s="6" t="s">
        <v>1131</v>
      </c>
      <c r="K168" s="6" t="s">
        <v>1132</v>
      </c>
      <c r="L168" s="6" t="s">
        <v>1133</v>
      </c>
      <c r="M168" s="7" t="s">
        <v>1134</v>
      </c>
    </row>
    <row r="169" customFormat="false" ht="32.25" hidden="false" customHeight="true" outlineLevel="0" collapsed="false">
      <c r="A169" s="5" t="n">
        <f aca="false">ROW()-3</f>
        <v>166</v>
      </c>
      <c r="B169" s="6" t="s">
        <v>1135</v>
      </c>
      <c r="C169" s="6" t="s">
        <v>219</v>
      </c>
      <c r="D169" s="6" t="s">
        <v>33</v>
      </c>
      <c r="E169" s="6" t="s">
        <v>693</v>
      </c>
      <c r="F169" s="5" t="n">
        <v>3</v>
      </c>
      <c r="G169" s="5" t="n">
        <v>17</v>
      </c>
      <c r="H169" s="5" t="n">
        <v>10</v>
      </c>
      <c r="I169" s="6" t="s">
        <v>1136</v>
      </c>
      <c r="J169" s="6" t="s">
        <v>1137</v>
      </c>
      <c r="K169" s="6" t="s">
        <v>1138</v>
      </c>
      <c r="L169" s="6" t="s">
        <v>1139</v>
      </c>
      <c r="M169" s="7" t="s">
        <v>1140</v>
      </c>
    </row>
    <row r="170" customFormat="false" ht="32.25" hidden="false" customHeight="true" outlineLevel="0" collapsed="false">
      <c r="A170" s="5" t="n">
        <f aca="false">ROW()-3</f>
        <v>167</v>
      </c>
      <c r="B170" s="6" t="s">
        <v>1141</v>
      </c>
      <c r="C170" s="6" t="s">
        <v>219</v>
      </c>
      <c r="D170" s="6" t="s">
        <v>156</v>
      </c>
      <c r="E170" s="6" t="s">
        <v>693</v>
      </c>
      <c r="F170" s="5" t="n">
        <v>3</v>
      </c>
      <c r="G170" s="5" t="n">
        <v>17</v>
      </c>
      <c r="H170" s="5" t="n">
        <v>5</v>
      </c>
      <c r="I170" s="6" t="s">
        <v>1142</v>
      </c>
      <c r="J170" s="6" t="s">
        <v>1143</v>
      </c>
      <c r="K170" s="6" t="s">
        <v>1144</v>
      </c>
      <c r="L170" s="6" t="s">
        <v>1145</v>
      </c>
      <c r="M170" s="7" t="s">
        <v>1146</v>
      </c>
    </row>
    <row r="171" customFormat="false" ht="32.25" hidden="false" customHeight="true" outlineLevel="0" collapsed="false">
      <c r="A171" s="5" t="n">
        <f aca="false">ROW()-3</f>
        <v>168</v>
      </c>
      <c r="B171" s="6" t="s">
        <v>1147</v>
      </c>
      <c r="C171" s="6" t="s">
        <v>219</v>
      </c>
      <c r="D171" s="6" t="s">
        <v>1148</v>
      </c>
      <c r="E171" s="6" t="s">
        <v>451</v>
      </c>
      <c r="F171" s="5" t="n">
        <v>3</v>
      </c>
      <c r="G171" s="5" t="n">
        <v>18</v>
      </c>
      <c r="H171" s="5" t="n">
        <v>7</v>
      </c>
      <c r="I171" s="6" t="s">
        <v>1149</v>
      </c>
      <c r="J171" s="6" t="s">
        <v>1150</v>
      </c>
      <c r="K171" s="6" t="s">
        <v>1151</v>
      </c>
      <c r="L171" s="6" t="s">
        <v>1152</v>
      </c>
      <c r="M171" s="7" t="s">
        <v>1153</v>
      </c>
    </row>
    <row r="172" customFormat="false" ht="32.25" hidden="false" customHeight="true" outlineLevel="0" collapsed="false">
      <c r="A172" s="5" t="n">
        <f aca="false">ROW()-3</f>
        <v>169</v>
      </c>
      <c r="B172" s="6" t="s">
        <v>1154</v>
      </c>
      <c r="C172" s="6" t="s">
        <v>210</v>
      </c>
      <c r="D172" s="6" t="s">
        <v>33</v>
      </c>
      <c r="E172" s="6" t="s">
        <v>1155</v>
      </c>
      <c r="F172" s="5" t="n">
        <v>3</v>
      </c>
      <c r="G172" s="5" t="n">
        <v>7</v>
      </c>
      <c r="H172" s="5" t="n">
        <v>18</v>
      </c>
      <c r="I172" s="6" t="s">
        <v>1156</v>
      </c>
      <c r="J172" s="6" t="s">
        <v>1157</v>
      </c>
      <c r="K172" s="6" t="s">
        <v>1158</v>
      </c>
      <c r="L172" s="6" t="s">
        <v>1159</v>
      </c>
      <c r="M172" s="7" t="s">
        <v>1160</v>
      </c>
    </row>
    <row r="173" customFormat="false" ht="32.25" hidden="false" customHeight="true" outlineLevel="0" collapsed="false">
      <c r="A173" s="5" t="n">
        <f aca="false">ROW()-3</f>
        <v>170</v>
      </c>
      <c r="B173" s="6" t="s">
        <v>1161</v>
      </c>
      <c r="C173" s="6" t="s">
        <v>280</v>
      </c>
      <c r="D173" s="6" t="s">
        <v>17</v>
      </c>
      <c r="E173" s="6" t="s">
        <v>1162</v>
      </c>
      <c r="F173" s="5" t="n">
        <v>8</v>
      </c>
      <c r="G173" s="5" t="n">
        <v>16</v>
      </c>
      <c r="H173" s="5" t="n">
        <v>13</v>
      </c>
      <c r="I173" s="6" t="s">
        <v>1163</v>
      </c>
      <c r="J173" s="6" t="s">
        <v>1164</v>
      </c>
      <c r="K173" s="6" t="s">
        <v>1165</v>
      </c>
      <c r="L173" s="6" t="s">
        <v>1166</v>
      </c>
      <c r="M173" s="7" t="s">
        <v>1167</v>
      </c>
    </row>
    <row r="174" customFormat="false" ht="32.25" hidden="false" customHeight="true" outlineLevel="0" collapsed="false">
      <c r="A174" s="5" t="n">
        <f aca="false">ROW()-3</f>
        <v>171</v>
      </c>
      <c r="B174" s="6" t="s">
        <v>1168</v>
      </c>
      <c r="C174" s="6" t="s">
        <v>280</v>
      </c>
      <c r="D174" s="6" t="s">
        <v>33</v>
      </c>
      <c r="E174" s="6" t="s">
        <v>52</v>
      </c>
      <c r="F174" s="5" t="n">
        <v>0</v>
      </c>
      <c r="G174" s="5" t="n">
        <v>18</v>
      </c>
      <c r="H174" s="5" t="n">
        <v>15</v>
      </c>
      <c r="I174" s="6" t="s">
        <v>1169</v>
      </c>
      <c r="J174" s="6" t="s">
        <v>1170</v>
      </c>
      <c r="K174" s="6" t="s">
        <v>1171</v>
      </c>
      <c r="L174" s="6" t="s">
        <v>1172</v>
      </c>
      <c r="M174" s="7" t="s">
        <v>1173</v>
      </c>
    </row>
    <row r="175" customFormat="false" ht="32.25" hidden="false" customHeight="true" outlineLevel="0" collapsed="false">
      <c r="A175" s="5" t="n">
        <f aca="false">ROW()-3</f>
        <v>172</v>
      </c>
      <c r="B175" s="6" t="s">
        <v>1174</v>
      </c>
      <c r="C175" s="6" t="s">
        <v>428</v>
      </c>
      <c r="D175" s="6" t="s">
        <v>17</v>
      </c>
      <c r="E175" s="6" t="s">
        <v>95</v>
      </c>
      <c r="F175" s="5" t="n">
        <v>6</v>
      </c>
      <c r="G175" s="5" t="n">
        <v>18</v>
      </c>
      <c r="H175" s="5" t="n">
        <v>11</v>
      </c>
      <c r="I175" s="6" t="s">
        <v>1175</v>
      </c>
      <c r="J175" s="6" t="s">
        <v>1176</v>
      </c>
      <c r="K175" s="6" t="s">
        <v>1177</v>
      </c>
      <c r="L175" s="6" t="s">
        <v>1178</v>
      </c>
      <c r="M175" s="7" t="s">
        <v>1179</v>
      </c>
    </row>
    <row r="176" customFormat="false" ht="32.25" hidden="false" customHeight="true" outlineLevel="0" collapsed="false">
      <c r="A176" s="5" t="n">
        <f aca="false">ROW()-3</f>
        <v>173</v>
      </c>
      <c r="B176" s="6" t="s">
        <v>1180</v>
      </c>
      <c r="C176" s="6" t="s">
        <v>428</v>
      </c>
      <c r="D176" s="6" t="s">
        <v>33</v>
      </c>
      <c r="E176" s="6" t="s">
        <v>180</v>
      </c>
      <c r="F176" s="5" t="n">
        <v>4</v>
      </c>
      <c r="G176" s="5" t="n">
        <v>18</v>
      </c>
      <c r="H176" s="5" t="n">
        <v>5</v>
      </c>
      <c r="I176" s="6" t="s">
        <v>1181</v>
      </c>
      <c r="J176" s="6" t="s">
        <v>1182</v>
      </c>
      <c r="K176" s="6" t="s">
        <v>1183</v>
      </c>
      <c r="L176" s="6" t="s">
        <v>1184</v>
      </c>
      <c r="M176" s="7" t="s">
        <v>1185</v>
      </c>
    </row>
    <row r="177" customFormat="false" ht="32.25" hidden="false" customHeight="true" outlineLevel="0" collapsed="false">
      <c r="A177" s="5" t="n">
        <f aca="false">ROW()-3</f>
        <v>174</v>
      </c>
      <c r="B177" s="6" t="s">
        <v>1186</v>
      </c>
      <c r="C177" s="6" t="s">
        <v>122</v>
      </c>
      <c r="D177" s="6" t="s">
        <v>17</v>
      </c>
      <c r="E177" s="6" t="s">
        <v>1187</v>
      </c>
      <c r="F177" s="5" t="n">
        <v>8</v>
      </c>
      <c r="G177" s="5" t="n">
        <v>14</v>
      </c>
      <c r="H177" s="5" t="n">
        <v>9</v>
      </c>
      <c r="I177" s="6" t="s">
        <v>1188</v>
      </c>
      <c r="J177" s="6" t="s">
        <v>1189</v>
      </c>
      <c r="K177" s="6" t="s">
        <v>1190</v>
      </c>
      <c r="L177" s="6" t="s">
        <v>1191</v>
      </c>
      <c r="M177" s="7" t="s">
        <v>1192</v>
      </c>
    </row>
    <row r="178" customFormat="false" ht="32.25" hidden="false" customHeight="true" outlineLevel="0" collapsed="false">
      <c r="A178" s="5" t="n">
        <f aca="false">ROW()-3</f>
        <v>175</v>
      </c>
      <c r="B178" s="6" t="s">
        <v>1193</v>
      </c>
      <c r="C178" s="6" t="s">
        <v>122</v>
      </c>
      <c r="D178" s="6" t="s">
        <v>33</v>
      </c>
      <c r="E178" s="6" t="s">
        <v>604</v>
      </c>
      <c r="F178" s="5" t="n">
        <v>6</v>
      </c>
      <c r="G178" s="5" t="n">
        <v>14</v>
      </c>
      <c r="H178" s="5" t="n">
        <v>10</v>
      </c>
      <c r="I178" s="6" t="s">
        <v>1194</v>
      </c>
      <c r="J178" s="6" t="s">
        <v>1195</v>
      </c>
      <c r="K178" s="6" t="s">
        <v>1196</v>
      </c>
      <c r="L178" s="6" t="s">
        <v>1197</v>
      </c>
      <c r="M178" s="7" t="s">
        <v>1198</v>
      </c>
    </row>
    <row r="179" customFormat="false" ht="32.25" hidden="false" customHeight="true" outlineLevel="0" collapsed="false">
      <c r="A179" s="5" t="n">
        <f aca="false">ROW()-3</f>
        <v>176</v>
      </c>
      <c r="B179" s="6" t="s">
        <v>1199</v>
      </c>
      <c r="C179" s="6" t="s">
        <v>122</v>
      </c>
      <c r="D179" s="6" t="s">
        <v>33</v>
      </c>
      <c r="E179" s="6" t="s">
        <v>693</v>
      </c>
      <c r="F179" s="5" t="n">
        <v>3</v>
      </c>
      <c r="G179" s="5" t="n">
        <v>17</v>
      </c>
      <c r="H179" s="5" t="n">
        <v>22</v>
      </c>
      <c r="I179" s="6" t="s">
        <v>1200</v>
      </c>
      <c r="J179" s="6" t="s">
        <v>1201</v>
      </c>
      <c r="K179" s="6" t="s">
        <v>1202</v>
      </c>
      <c r="L179" s="6" t="s">
        <v>1203</v>
      </c>
      <c r="M179" s="7" t="s">
        <v>1204</v>
      </c>
    </row>
    <row r="180" customFormat="false" ht="32.25" hidden="false" customHeight="true" outlineLevel="0" collapsed="false">
      <c r="A180" s="5" t="n">
        <f aca="false">ROW()-3</f>
        <v>177</v>
      </c>
      <c r="B180" s="6" t="s">
        <v>1205</v>
      </c>
      <c r="C180" s="6" t="s">
        <v>122</v>
      </c>
      <c r="D180" s="6" t="s">
        <v>33</v>
      </c>
      <c r="E180" s="6" t="s">
        <v>693</v>
      </c>
      <c r="F180" s="5" t="n">
        <v>3</v>
      </c>
      <c r="G180" s="5" t="n">
        <v>17</v>
      </c>
      <c r="H180" s="5" t="n">
        <v>9</v>
      </c>
      <c r="I180" s="6" t="s">
        <v>1206</v>
      </c>
      <c r="J180" s="6" t="s">
        <v>1207</v>
      </c>
      <c r="K180" s="6" t="s">
        <v>1208</v>
      </c>
      <c r="L180" s="6" t="s">
        <v>1209</v>
      </c>
      <c r="M180" s="7" t="s">
        <v>1210</v>
      </c>
    </row>
    <row r="181" customFormat="false" ht="32.25" hidden="false" customHeight="true" outlineLevel="0" collapsed="false">
      <c r="A181" s="5" t="n">
        <f aca="false">ROW()-3</f>
        <v>178</v>
      </c>
      <c r="B181" s="6" t="s">
        <v>1211</v>
      </c>
      <c r="C181" s="6" t="s">
        <v>219</v>
      </c>
      <c r="D181" s="6" t="s">
        <v>1212</v>
      </c>
      <c r="E181" s="6" t="s">
        <v>1213</v>
      </c>
      <c r="F181" s="5" t="n">
        <v>14</v>
      </c>
      <c r="G181" s="5" t="n">
        <v>99</v>
      </c>
      <c r="H181" s="5" t="n">
        <v>6</v>
      </c>
      <c r="I181" s="6" t="s">
        <v>1214</v>
      </c>
      <c r="J181" s="6" t="s">
        <v>1215</v>
      </c>
      <c r="K181" s="6" t="s">
        <v>1216</v>
      </c>
      <c r="L181" s="6" t="s">
        <v>1217</v>
      </c>
      <c r="M181" s="7" t="s">
        <v>1218</v>
      </c>
    </row>
    <row r="182" customFormat="false" ht="32.25" hidden="false" customHeight="true" outlineLevel="0" collapsed="false">
      <c r="A182" s="5" t="n">
        <f aca="false">ROW()-3</f>
        <v>179</v>
      </c>
      <c r="B182" s="6" t="s">
        <v>1219</v>
      </c>
      <c r="C182" s="6" t="s">
        <v>219</v>
      </c>
      <c r="D182" s="6" t="s">
        <v>1220</v>
      </c>
      <c r="E182" s="6" t="s">
        <v>1221</v>
      </c>
      <c r="F182" s="5" t="n">
        <v>13</v>
      </c>
      <c r="G182" s="5" t="n">
        <v>99</v>
      </c>
      <c r="H182" s="5" t="n">
        <v>6</v>
      </c>
      <c r="I182" s="6" t="s">
        <v>1222</v>
      </c>
      <c r="J182" s="6" t="s">
        <v>1223</v>
      </c>
      <c r="K182" s="6" t="s">
        <v>1224</v>
      </c>
      <c r="L182" s="6" t="s">
        <v>1225</v>
      </c>
      <c r="M182" s="7" t="s">
        <v>1226</v>
      </c>
    </row>
    <row r="183" customFormat="false" ht="32.25" hidden="false" customHeight="true" outlineLevel="0" collapsed="false">
      <c r="A183" s="5" t="n">
        <f aca="false">ROW()-3</f>
        <v>180</v>
      </c>
      <c r="B183" s="6" t="s">
        <v>1227</v>
      </c>
      <c r="C183" s="6" t="s">
        <v>219</v>
      </c>
      <c r="D183" s="6" t="s">
        <v>1220</v>
      </c>
      <c r="E183" s="6" t="s">
        <v>1221</v>
      </c>
      <c r="F183" s="5" t="n">
        <v>13</v>
      </c>
      <c r="G183" s="5" t="n">
        <v>99</v>
      </c>
      <c r="H183" s="5" t="n">
        <v>6</v>
      </c>
      <c r="I183" s="6" t="s">
        <v>1228</v>
      </c>
      <c r="J183" s="6" t="s">
        <v>1229</v>
      </c>
      <c r="K183" s="6" t="s">
        <v>1230</v>
      </c>
      <c r="L183" s="6" t="s">
        <v>1231</v>
      </c>
      <c r="M183" s="7" t="s">
        <v>1232</v>
      </c>
    </row>
    <row r="184" customFormat="false" ht="32.25" hidden="false" customHeight="true" outlineLevel="0" collapsed="false">
      <c r="A184" s="5" t="n">
        <f aca="false">ROW()-3</f>
        <v>181</v>
      </c>
      <c r="B184" s="6" t="s">
        <v>1233</v>
      </c>
      <c r="C184" s="6" t="s">
        <v>219</v>
      </c>
      <c r="D184" s="6" t="s">
        <v>1220</v>
      </c>
      <c r="E184" s="6" t="s">
        <v>1234</v>
      </c>
      <c r="F184" s="5" t="n">
        <v>18</v>
      </c>
      <c r="G184" s="5" t="n">
        <v>99</v>
      </c>
      <c r="H184" s="5" t="n">
        <v>11</v>
      </c>
      <c r="I184" s="6" t="s">
        <v>1235</v>
      </c>
      <c r="J184" s="6" t="s">
        <v>1236</v>
      </c>
      <c r="K184" s="6" t="s">
        <v>1237</v>
      </c>
      <c r="L184" s="6" t="s">
        <v>1238</v>
      </c>
      <c r="M184" s="7" t="s">
        <v>1239</v>
      </c>
    </row>
    <row r="185" customFormat="false" ht="32.25" hidden="false" customHeight="true" outlineLevel="0" collapsed="false">
      <c r="A185" s="5" t="n">
        <f aca="false">ROW()-3</f>
        <v>182</v>
      </c>
      <c r="B185" s="6" t="s">
        <v>1240</v>
      </c>
      <c r="C185" s="6" t="s">
        <v>131</v>
      </c>
      <c r="D185" s="6" t="s">
        <v>17</v>
      </c>
      <c r="E185" s="6" t="s">
        <v>1241</v>
      </c>
      <c r="F185" s="5" t="n">
        <v>18</v>
      </c>
      <c r="G185" s="5" t="n">
        <v>90</v>
      </c>
      <c r="H185" s="5" t="n">
        <v>14</v>
      </c>
      <c r="I185" s="6" t="s">
        <v>1242</v>
      </c>
      <c r="J185" s="6" t="s">
        <v>1243</v>
      </c>
      <c r="K185" s="6" t="s">
        <v>1244</v>
      </c>
      <c r="L185" s="6" t="s">
        <v>1245</v>
      </c>
      <c r="M185" s="7" t="s">
        <v>1246</v>
      </c>
    </row>
    <row r="186" customFormat="false" ht="32.25" hidden="false" customHeight="true" outlineLevel="0" collapsed="false">
      <c r="A186" s="5" t="n">
        <f aca="false">ROW()-3</f>
        <v>183</v>
      </c>
      <c r="B186" s="6" t="s">
        <v>1247</v>
      </c>
      <c r="C186" s="6" t="s">
        <v>131</v>
      </c>
      <c r="D186" s="6" t="s">
        <v>1248</v>
      </c>
      <c r="E186" s="6" t="s">
        <v>1241</v>
      </c>
      <c r="F186" s="5" t="n">
        <v>18</v>
      </c>
      <c r="G186" s="5" t="n">
        <v>90</v>
      </c>
      <c r="H186" s="5" t="n">
        <v>14</v>
      </c>
      <c r="I186" s="6" t="s">
        <v>1249</v>
      </c>
      <c r="J186" s="6" t="s">
        <v>1243</v>
      </c>
      <c r="K186" s="6" t="s">
        <v>1250</v>
      </c>
      <c r="L186" s="6" t="s">
        <v>1251</v>
      </c>
      <c r="M186" s="7" t="s">
        <v>1252</v>
      </c>
    </row>
    <row r="187" customFormat="false" ht="32.25" hidden="false" customHeight="true" outlineLevel="0" collapsed="false">
      <c r="A187" s="5" t="n">
        <f aca="false">ROW()-3</f>
        <v>184</v>
      </c>
      <c r="B187" s="6" t="s">
        <v>1253</v>
      </c>
      <c r="C187" s="6" t="s">
        <v>1050</v>
      </c>
      <c r="D187" s="6" t="s">
        <v>1220</v>
      </c>
      <c r="E187" s="6" t="s">
        <v>1234</v>
      </c>
      <c r="F187" s="5" t="n">
        <v>18</v>
      </c>
      <c r="G187" s="5" t="n">
        <v>99</v>
      </c>
      <c r="H187" s="5" t="n">
        <v>14</v>
      </c>
      <c r="I187" s="6" t="s">
        <v>1254</v>
      </c>
      <c r="J187" s="6" t="s">
        <v>1255</v>
      </c>
      <c r="K187" s="6" t="s">
        <v>1256</v>
      </c>
      <c r="L187" s="6" t="s">
        <v>1257</v>
      </c>
      <c r="M187" s="7" t="s">
        <v>1258</v>
      </c>
    </row>
    <row r="188" customFormat="false" ht="32.25" hidden="false" customHeight="true" outlineLevel="0" collapsed="false">
      <c r="A188" s="5" t="n">
        <f aca="false">ROW()-3</f>
        <v>185</v>
      </c>
      <c r="B188" s="6" t="s">
        <v>1259</v>
      </c>
      <c r="C188" s="6" t="s">
        <v>1050</v>
      </c>
      <c r="D188" s="6" t="s">
        <v>1220</v>
      </c>
      <c r="E188" s="6" t="s">
        <v>1234</v>
      </c>
      <c r="F188" s="5" t="n">
        <v>18</v>
      </c>
      <c r="G188" s="5" t="n">
        <v>99</v>
      </c>
      <c r="H188" s="5" t="n">
        <v>15</v>
      </c>
      <c r="I188" s="6" t="s">
        <v>1260</v>
      </c>
      <c r="J188" s="6" t="s">
        <v>1261</v>
      </c>
      <c r="K188" s="6" t="s">
        <v>1262</v>
      </c>
      <c r="L188" s="6" t="s">
        <v>1263</v>
      </c>
      <c r="M188" s="7" t="s">
        <v>1264</v>
      </c>
    </row>
    <row r="189" customFormat="false" ht="32.25" hidden="false" customHeight="true" outlineLevel="0" collapsed="false">
      <c r="A189" s="5" t="n">
        <f aca="false">ROW()-3</f>
        <v>186</v>
      </c>
      <c r="B189" s="6" t="s">
        <v>1265</v>
      </c>
      <c r="C189" s="6" t="s">
        <v>219</v>
      </c>
      <c r="D189" s="6" t="s">
        <v>1220</v>
      </c>
      <c r="E189" s="6" t="s">
        <v>1234</v>
      </c>
      <c r="F189" s="5" t="n">
        <v>18</v>
      </c>
      <c r="G189" s="5" t="n">
        <v>99</v>
      </c>
      <c r="H189" s="5" t="n">
        <v>12</v>
      </c>
      <c r="I189" s="6" t="s">
        <v>1266</v>
      </c>
      <c r="J189" s="6" t="s">
        <v>1267</v>
      </c>
      <c r="K189" s="6" t="s">
        <v>1268</v>
      </c>
      <c r="L189" s="6" t="s">
        <v>1269</v>
      </c>
      <c r="M189" s="7" t="s">
        <v>1270</v>
      </c>
    </row>
    <row r="190" customFormat="false" ht="32.25" hidden="false" customHeight="true" outlineLevel="0" collapsed="false">
      <c r="A190" s="5" t="n">
        <f aca="false">ROW()-3</f>
        <v>187</v>
      </c>
      <c r="B190" s="6" t="s">
        <v>1271</v>
      </c>
      <c r="C190" s="6" t="s">
        <v>219</v>
      </c>
      <c r="D190" s="6" t="s">
        <v>1212</v>
      </c>
      <c r="E190" s="6" t="s">
        <v>1272</v>
      </c>
      <c r="F190" s="5" t="n">
        <v>12</v>
      </c>
      <c r="G190" s="5" t="n">
        <v>17</v>
      </c>
      <c r="H190" s="5" t="n">
        <v>12</v>
      </c>
      <c r="I190" s="6" t="s">
        <v>1266</v>
      </c>
      <c r="J190" s="6" t="s">
        <v>1267</v>
      </c>
      <c r="K190" s="6" t="s">
        <v>1273</v>
      </c>
      <c r="L190" s="6" t="s">
        <v>1274</v>
      </c>
      <c r="M190" s="7" t="s">
        <v>1275</v>
      </c>
    </row>
    <row r="191" customFormat="false" ht="32.25" hidden="false" customHeight="true" outlineLevel="0" collapsed="false">
      <c r="A191" s="5" t="n">
        <f aca="false">ROW()-3</f>
        <v>188</v>
      </c>
      <c r="B191" s="6" t="s">
        <v>1276</v>
      </c>
      <c r="C191" s="6" t="s">
        <v>219</v>
      </c>
      <c r="D191" s="6" t="s">
        <v>1220</v>
      </c>
      <c r="E191" s="6" t="s">
        <v>1234</v>
      </c>
      <c r="F191" s="5" t="n">
        <v>18</v>
      </c>
      <c r="G191" s="5" t="n">
        <v>99</v>
      </c>
      <c r="H191" s="5" t="n">
        <v>8</v>
      </c>
      <c r="I191" s="6" t="s">
        <v>1277</v>
      </c>
      <c r="J191" s="6" t="s">
        <v>1278</v>
      </c>
      <c r="K191" s="6" t="s">
        <v>1279</v>
      </c>
      <c r="L191" s="6" t="s">
        <v>1280</v>
      </c>
      <c r="M191" s="7" t="s">
        <v>1281</v>
      </c>
    </row>
    <row r="192" customFormat="false" ht="32.25" hidden="false" customHeight="true" outlineLevel="0" collapsed="false">
      <c r="A192" s="5" t="n">
        <f aca="false">ROW()-3</f>
        <v>189</v>
      </c>
      <c r="B192" s="6" t="s">
        <v>1282</v>
      </c>
      <c r="C192" s="6" t="s">
        <v>219</v>
      </c>
      <c r="D192" s="6" t="s">
        <v>1212</v>
      </c>
      <c r="E192" s="6" t="s">
        <v>1272</v>
      </c>
      <c r="F192" s="5" t="n">
        <v>12</v>
      </c>
      <c r="G192" s="5" t="n">
        <v>17</v>
      </c>
      <c r="H192" s="5" t="n">
        <v>8</v>
      </c>
      <c r="I192" s="6" t="s">
        <v>1277</v>
      </c>
      <c r="J192" s="6" t="s">
        <v>1278</v>
      </c>
      <c r="K192" s="6" t="s">
        <v>1283</v>
      </c>
      <c r="L192" s="6" t="s">
        <v>1284</v>
      </c>
      <c r="M192" s="7" t="s">
        <v>1285</v>
      </c>
    </row>
    <row r="193" customFormat="false" ht="32.25" hidden="false" customHeight="true" outlineLevel="0" collapsed="false">
      <c r="A193" s="5" t="n">
        <f aca="false">ROW()-3</f>
        <v>190</v>
      </c>
      <c r="B193" s="6" t="s">
        <v>1286</v>
      </c>
      <c r="C193" s="6" t="s">
        <v>131</v>
      </c>
      <c r="D193" s="6" t="s">
        <v>1212</v>
      </c>
      <c r="E193" s="6" t="s">
        <v>1234</v>
      </c>
      <c r="F193" s="5" t="n">
        <v>18</v>
      </c>
      <c r="G193" s="5" t="n">
        <v>99</v>
      </c>
      <c r="H193" s="5" t="n">
        <v>12</v>
      </c>
      <c r="I193" s="6" t="s">
        <v>1287</v>
      </c>
      <c r="J193" s="6" t="s">
        <v>1288</v>
      </c>
      <c r="K193" s="6" t="s">
        <v>1289</v>
      </c>
      <c r="L193" s="6" t="s">
        <v>1290</v>
      </c>
      <c r="M193" s="7" t="s">
        <v>1291</v>
      </c>
    </row>
    <row r="194" customFormat="false" ht="32.25" hidden="false" customHeight="true" outlineLevel="0" collapsed="false">
      <c r="A194" s="5" t="n">
        <f aca="false">ROW()-3</f>
        <v>191</v>
      </c>
      <c r="B194" s="6" t="s">
        <v>1292</v>
      </c>
      <c r="C194" s="6" t="s">
        <v>131</v>
      </c>
      <c r="D194" s="6" t="s">
        <v>1293</v>
      </c>
      <c r="E194" s="6" t="s">
        <v>1234</v>
      </c>
      <c r="F194" s="5" t="n">
        <v>18</v>
      </c>
      <c r="G194" s="5" t="n">
        <v>99</v>
      </c>
      <c r="H194" s="5" t="n">
        <v>12</v>
      </c>
      <c r="I194" s="6" t="s">
        <v>1294</v>
      </c>
      <c r="J194" s="6" t="s">
        <v>1288</v>
      </c>
      <c r="K194" s="6" t="s">
        <v>1295</v>
      </c>
      <c r="L194" s="6" t="s">
        <v>1296</v>
      </c>
      <c r="M194" s="7" t="s">
        <v>1297</v>
      </c>
    </row>
    <row r="195" customFormat="false" ht="470.85" hidden="false" customHeight="false" outlineLevel="0" collapsed="false">
      <c r="A195" s="5" t="n">
        <f aca="false">ROW()-3</f>
        <v>192</v>
      </c>
      <c r="B195" s="6" t="s">
        <v>1298</v>
      </c>
      <c r="C195" s="6" t="s">
        <v>1299</v>
      </c>
      <c r="D195" s="6" t="s">
        <v>1300</v>
      </c>
      <c r="E195" s="6" t="s">
        <v>514</v>
      </c>
      <c r="F195" s="5" t="n">
        <v>7</v>
      </c>
      <c r="G195" s="5" t="n">
        <v>18</v>
      </c>
      <c r="H195" s="5" t="n">
        <v>13</v>
      </c>
      <c r="I195" s="6" t="s">
        <v>1301</v>
      </c>
      <c r="J195" s="6" t="s">
        <v>1302</v>
      </c>
      <c r="K195" s="6" t="s">
        <v>1303</v>
      </c>
      <c r="L195" s="6" t="s">
        <v>1304</v>
      </c>
      <c r="M195" s="7" t="s">
        <v>1305</v>
      </c>
    </row>
    <row r="196" customFormat="false" ht="481.3" hidden="false" customHeight="false" outlineLevel="0" collapsed="false">
      <c r="A196" s="5" t="n">
        <f aca="false">ROW()-3</f>
        <v>193</v>
      </c>
      <c r="B196" s="6" t="s">
        <v>1306</v>
      </c>
      <c r="C196" s="6" t="s">
        <v>1299</v>
      </c>
      <c r="D196" s="6" t="s">
        <v>1307</v>
      </c>
      <c r="E196" s="6" t="s">
        <v>1234</v>
      </c>
      <c r="F196" s="5" t="n">
        <v>18</v>
      </c>
      <c r="G196" s="5" t="n">
        <v>99</v>
      </c>
      <c r="H196" s="5" t="n">
        <v>14</v>
      </c>
      <c r="I196" s="6" t="s">
        <v>1308</v>
      </c>
      <c r="J196" s="6" t="s">
        <v>1309</v>
      </c>
      <c r="K196" s="6" t="s">
        <v>1310</v>
      </c>
      <c r="L196" s="6" t="s">
        <v>1311</v>
      </c>
      <c r="M196" s="7" t="s">
        <v>1312</v>
      </c>
    </row>
    <row r="197" customFormat="false" ht="544" hidden="false" customHeight="false" outlineLevel="0" collapsed="false">
      <c r="A197" s="5" t="n">
        <f aca="false">ROW()-3</f>
        <v>194</v>
      </c>
      <c r="B197" s="6" t="s">
        <v>1313</v>
      </c>
      <c r="C197" s="6" t="s">
        <v>1299</v>
      </c>
      <c r="D197" s="6" t="s">
        <v>1307</v>
      </c>
      <c r="E197" s="6" t="s">
        <v>1314</v>
      </c>
      <c r="F197" s="5" t="n">
        <v>12</v>
      </c>
      <c r="G197" s="5" t="n">
        <v>99</v>
      </c>
      <c r="H197" s="5" t="n">
        <v>16</v>
      </c>
      <c r="I197" s="6" t="s">
        <v>1315</v>
      </c>
      <c r="J197" s="6" t="s">
        <v>1316</v>
      </c>
      <c r="K197" s="6" t="s">
        <v>1317</v>
      </c>
      <c r="L197" s="6" t="s">
        <v>1318</v>
      </c>
      <c r="M197" s="7" t="s">
        <v>1319</v>
      </c>
    </row>
  </sheetData>
  <mergeCells count="2">
    <mergeCell ref="A1:M1"/>
    <mergeCell ref="A2:M2"/>
  </mergeCells>
  <hyperlinks>
    <hyperlink ref="M4" r:id="rId1" display="https://correiaricardina-ui.github.io/questionarios/ABAS3_Autorrelato_v1.html"/>
    <hyperlink ref="M5" r:id="rId2" display="https://correiaricardina-ui.github.io/questionarios/ABAS3_PreEscolar_Educador.html"/>
    <hyperlink ref="M6" r:id="rId3" display="https://correiaricardina-ui.github.io/questionarios/ABAS3_Pais_v2.html"/>
    <hyperlink ref="M7" r:id="rId4" display="https://correiaricardina-ui.github.io/questionarios/ABAS3_PreEscolar.html"/>
    <hyperlink ref="M8" r:id="rId5" display="https://correiaricardina-ui.github.io/questionarios/ABAS3_Professor_v2.html"/>
    <hyperlink ref="M9" r:id="rId6" display="https://correiaricardina-ui.github.io/questionarios/Anamnese_HP_v1.html"/>
    <hyperlink ref="M10" r:id="rId7" display="https://correiaricardina-ui.github.io/questionarios/Anamnese_complementar_v2.html"/>
    <hyperlink ref="M12" r:id="rId8" display="https://correiaricardina-ui.github.io/questionarios/AQ_BussPerry_v1.html"/>
    <hyperlink ref="M13" r:id="rId9" display="https://correiaricardina-ui.github.io/questionarios/AQ_Child_v1.html"/>
    <hyperlink ref="M14" r:id="rId10" display="https://correiaricardina-ui.github.io/questionarios/CBCL_15_v5.html"/>
    <hyperlink ref="M15" r:id="rId11" display="https://correiaricardina-ui.github.io/questionarios/CBCL_618_v1.html"/>
    <hyperlink ref="M16" r:id="rId12" display="https://correiaricardina-ui.github.io/questionarios/TRF_618_v1.html"/>
    <hyperlink ref="M17" r:id="rId13" display="https://correiaricardina-ui.github.io/questionarios/YSR_1118_v2.html"/>
    <hyperlink ref="M18" r:id="rId14" display="https://correiaricardina-ui.github.io/questionarios/BAS3_v1.html"/>
    <hyperlink ref="M19" r:id="rId15" display="https://correiaricardina-ui.github.io/questionarios/BESAA_v1.html"/>
    <hyperlink ref="M20" r:id="rId16" display="https://correiaricardina-ui.github.io/questionarios/BRIEF_Autoavaliacao_v2.html"/>
    <hyperlink ref="M21" r:id="rId17" display="https://correiaricardina-ui.github.io/questionarios/BRIEF_Pais_v5.html"/>
    <hyperlink ref="M22" r:id="rId18" display="https://correiaricardina-ui.github.io/questionarios/BRIEF_Professores_v3.html"/>
    <hyperlink ref="M23" r:id="rId19" display="https://correiaricardina-ui.github.io/questionarios/BRIEF_PreEscolar_Pais_v2.html"/>
    <hyperlink ref="M24" r:id="rId20" display="https://correiaricardina-ui.github.io/questionarios/BRIEF_PreEscolar_Professores_v2.html"/>
    <hyperlink ref="M25" r:id="rId21" display="https://correiaricardina-ui.github.io/questionarios/BSI_v1.html"/>
    <hyperlink ref="M26" r:id="rId22" display="https://correiaricardina-ui.github.io/questionarios/CABS_Autorrelato.html"/>
    <hyperlink ref="M27" r:id="rId23" display="https://correiaricardina-ui.github.io/questionarios/CABS_Heterorrelato.html"/>
    <hyperlink ref="M28" r:id="rId24" display="https://correiaricardina-ui.github.io/questionarios/CARS2-HP_v1.html"/>
    <hyperlink ref="M29" r:id="rId25" display="https://correiaricardina-ui.github.io/questionarios/CARS2-QPC_v1.html"/>
    <hyperlink ref="M30" r:id="rId26" display="https://correiaricardina-ui.github.io/questionarios/CARS2-ST_v1.html"/>
    <hyperlink ref="M31" r:id="rId27" display="https://correiaricardina-ui.github.io/questionarios/CCBQ_v1.html"/>
    <hyperlink ref="M32" r:id="rId28" display="https://correiaricardina-ui.github.io/questionarios/CDI2_SR_v1.html"/>
    <hyperlink ref="M33" r:id="rId29" display="https://correiaricardina-ui.github.io/questionarios/CERQ_18_v1.html"/>
    <hyperlink ref="M34" r:id="rId30" display="https://correiaricardina-ui.github.io/questionarios/CERQ_36_v1.html"/>
    <hyperlink ref="M35" r:id="rId31" display="https://correiaricardina-ui.github.io/questionarios/CERQ_K_v1.html"/>
    <hyperlink ref="M36" r:id="rId32" display="https://correiaricardina-ui.github.io/questionarios/ChEAT_v1.html"/>
    <hyperlink ref="M37" r:id="rId33" display="https://correiaricardina-ui.github.io/questionarios/checklist_obs_medicacao_PHDA_casa.html"/>
    <hyperlink ref="M38" r:id="rId34" display="https://correiaricardina-ui.github.io/questionarios/checklist_obs_medicacao_PHDA_escola.html"/>
    <hyperlink ref="M39" r:id="rId35" display="https://correiaricardina-ui.github.io/questionarios/CMAS_R_v1.html"/>
    <hyperlink ref="M40" r:id="rId36" display="https://correiaricardina-ui.github.io/questionarios/Collins_Silhuetas.html"/>
    <hyperlink ref="M41" r:id="rId37" display="https://correiaricardina-ui.github.io/questionarios/COMPA_A_Mae.html"/>
    <hyperlink ref="M42" r:id="rId38" display="https://correiaricardina-ui.github.io/questionarios/COMPA_A_Pai.html"/>
    <hyperlink ref="M43" r:id="rId39" display="https://correiaricardina-ui.github.io/questionarios/COMPA_C_Mae.html"/>
    <hyperlink ref="M44" r:id="rId40" display="https://correiaricardina-ui.github.io/questionarios/COMPA_C_Pai.html"/>
    <hyperlink ref="M45" r:id="rId41" display="https://correiaricardina-ui.github.io/questionarios/COMPA_P.html"/>
    <hyperlink ref="M46" r:id="rId42" display="https://correiaricardina-ui.github.io/questionarios/Conners3_Pais_Full.html"/>
    <hyperlink ref="M47" r:id="rId43" display="https://correiaricardina-ui.github.io/questionarios/Conners3_Pais_Short.html"/>
    <hyperlink ref="M48" r:id="rId44" display="https://correiaricardina-ui.github.io/questionarios/Conners3_Professores_Full.html"/>
    <hyperlink ref="M49" r:id="rId45" display="https://correiaricardina-ui.github.io/questionarios/Conners3_Professores_Short.html"/>
    <hyperlink ref="M50" r:id="rId46" display="https://correiaricardina-ui.github.io/questionarios/CSSRS_v1.html"/>
    <hyperlink ref="M51" r:id="rId47" display="https://correiaricardina-ui.github.io/questionarios/C-SSRS-A_Adolescente_v1.html"/>
    <hyperlink ref="M52" r:id="rId48" display="https://correiaricardina-ui.github.io/questionarios/C-SSRS-DC_DeficeCognitivo_v1.html"/>
    <hyperlink ref="M53" r:id="rId49" display="https://correiaricardina-ui.github.io/questionarios/C-SSRS-P_Pediatrica_v1.html"/>
    <hyperlink ref="M54" r:id="rId50" display="https://correiaricardina-ui.github.io/questionarios/CTRF_15_v2.html"/>
    <hyperlink ref="M55" r:id="rId51" display="https://correiaricardina-ui.github.io/questionarios/DERS_v1.html"/>
    <hyperlink ref="M56" r:id="rId52" display="https://correiaricardina-ui.github.io/questionarios/Diario_Episodios_v1.html"/>
    <hyperlink ref="M58" r:id="rId53" display="https://correiaricardina-ui.github.io/questionarios/DIVA5_v1.html"/>
    <hyperlink ref="M59" r:id="rId54" display="https://correiaricardina-ui.github.io/questionarios/EAFE_v2.html"/>
    <hyperlink ref="M60" r:id="rId55" display="https://correiaricardina-ui.github.io/questionarios/EAT26_v2.html"/>
    <hyperlink ref="M61" r:id="rId56" display="https://correiaricardina-ui.github.io/questionarios/ECE-FEA.html"/>
    <hyperlink ref="M62" r:id="rId57" display="https://correiaricardina-ui.github.io/questionarios/EDEQ_v1.html"/>
    <hyperlink ref="M63" r:id="rId58" display="https://correiaricardina-ui.github.io/questionarios/EMP_F_v1.html"/>
    <hyperlink ref="M64" r:id="rId59" display="https://correiaricardina-ui.github.io/questionarios/EMP_HF_v1.html"/>
    <hyperlink ref="M65" r:id="rId60" display="https://correiaricardina-ui.github.io/questionarios/EPCAS_PE_v1.html"/>
    <hyperlink ref="M66" r:id="rId61" display="https://correiaricardina-ui.github.io/questionarios/ERC_Pais_v1.html"/>
    <hyperlink ref="M67" r:id="rId62" display="https://correiaricardina-ui.github.io/questionarios/ERC_Professores_v1.html"/>
    <hyperlink ref="M68" r:id="rId63" display="https://correiaricardina-ui.github.io/questionarios/ERICA_v1.html"/>
    <hyperlink ref="M69" r:id="rId64" display="https://correiaricardina-ui.github.io/questionarios/ERQ_CA_v1.html"/>
    <hyperlink ref="M70" r:id="rId65" display="https://correiaricardina-ui.github.io/questionarios/FACES_IV_adap.html"/>
    <hyperlink ref="M71" r:id="rId66" display="https://correiaricardina-ui.github.io/questionarios/FAD_60_v1.html"/>
    <hyperlink ref="M72" r:id="rId67" display="https://correiaricardina-ui.github.io/questionarios/FAD_GF_v2.html"/>
    <hyperlink ref="M73" r:id="rId68" display="https://correiaricardina-ui.github.io/questionarios/FAS_CR_Adolescencia.html"/>
    <hyperlink ref="M74" r:id="rId69" display="https://correiaricardina-ui.github.io/questionarios/FAS_CR_Infancia.html"/>
    <hyperlink ref="M75" r:id="rId70" display="https://correiaricardina-ui.github.io/questionarios/FAS_Parental.html"/>
    <hyperlink ref="M76" r:id="rId71" display="https://correiaricardina-ui.github.io/questionarios/FASA_CR_Adolescencia.html"/>
    <hyperlink ref="M77" r:id="rId72" display="https://correiaricardina-ui.github.io/questionarios/FASA_CR_Infancia.html"/>
    <hyperlink ref="M78" r:id="rId73" display="https://correiaricardina-ui.github.io/questionarios/FASA_Parental.html"/>
    <hyperlink ref="M79" r:id="rId74" display="https://correiaricardina-ui.github.io/questionarios/FSSC_R_v1.html"/>
    <hyperlink ref="M81" r:id="rId75" display="https://correiaricardina-ui.github.io/questionarios/IIM_AdolAdultos_v1.html"/>
    <hyperlink ref="M82" r:id="rId76" display="https://correiaricardina-ui.github.io/questionarios/IIM_Criancas_v1.html"/>
    <hyperlink ref="M83" r:id="rId77" display="https://correiaricardina-ui.github.io/questionarios/IIM_Heterorrelato_v1.html"/>
    <hyperlink ref="M84" r:id="rId78" display="https://correiaricardina-ui.github.io/questionarios/IMC_C.html"/>
    <hyperlink ref="M85" r:id="rId79" display="https://correiaricardina-ui.github.io/questionarios/IPP-R_v1.html"/>
    <hyperlink ref="M86" r:id="rId80" display="https://correiaricardina-ui.github.io/questionarios/ISAS_v1.html"/>
    <hyperlink ref="M87" r:id="rId81" display="https://correiaricardina-ui.github.io/questionarios/ISC24.html"/>
    <hyperlink ref="M88" r:id="rId82" display="https://correiaricardina-ui.github.io/questionarios/ISS_ESI_v1.html"/>
    <hyperlink ref="M89" r:id="rId83" display="https://correiaricardina-ui.github.io/questionarios/IVP_Super_v1.html"/>
    <hyperlink ref="M90" r:id="rId84" display="https://correiaricardina-ui.github.io/questionarios/JTCI_92.html"/>
    <hyperlink ref="M91" r:id="rId85" display="https://correiaricardina-ui.github.io/questionarios/Kidcope_Adolescentes_v1.html"/>
    <hyperlink ref="M92" r:id="rId86" display="https://correiaricardina-ui.github.io/questionarios/Kidcope_Criancas_v1.html"/>
    <hyperlink ref="M93" r:id="rId87" display="https://correiaricardina-ui.github.io/questionarios/LDS_v2.html"/>
    <hyperlink ref="M95" r:id="rId88" display="https://correiaricardina-ui.github.io/questionarios/MAP_ParentalAvaliacaoSistemica_1214_v1.html"/>
    <hyperlink ref="M96" r:id="rId89" display="https://correiaricardina-ui.github.io/questionarios/MAP_ParentalAvaliacaoSistemica_1518_v1.html"/>
    <hyperlink ref="M97" r:id="rId90" display="https://correiaricardina-ui.github.io/questionarios/MAP_ParentalAvaliacaoSistemica_v1.html"/>
    <hyperlink ref="M98" r:id="rId91" display="https://correiaricardina-ui.github.io/questionarios/MAP_ParentalAvaliacaoSistemica_PI_v1.html"/>
    <hyperlink ref="M99" r:id="rId92" display="https://correiaricardina-ui.github.io/questionarios/MBI-SS_v1.html"/>
    <hyperlink ref="M100" r:id="rId93" display="https://correiaricardina-ui.github.io/questionarios/M-CHAT-R-F_v1.html"/>
    <hyperlink ref="M101" r:id="rId94" display="https://correiaricardina-ui.github.io/questionarios/MCP_Breve.html"/>
    <hyperlink ref="M102" r:id="rId95" display="https://correiaricardina-ui.github.io/questionarios/MCP_Completo.html"/>
    <hyperlink ref="M103" r:id="rId96" display="https://correiaricardina-ui.github.io/questionarios/MDQ_v1.html"/>
    <hyperlink ref="M104" r:id="rId97" display="https://correiaricardina-ui.github.io/questionarios/NEO_PIR_v1.html"/>
    <hyperlink ref="M105" r:id="rId98" display="https://correiaricardina-ui.github.io/questionarios/OCI_CV_R_v1.html"/>
    <hyperlink ref="M106" r:id="rId99" display="https://correiaricardina-ui.github.io/questionarios/OCI_R_v1.html"/>
    <hyperlink ref="M107" r:id="rId100" display="https://correiaricardina-ui.github.io/questionarios/PAI_adult_final.html"/>
    <hyperlink ref="M108" r:id="rId101" display="https://correiaricardina-ui.github.io/questionarios/PAI_A_final.html"/>
    <hyperlink ref="M109" r:id="rId102" display="https://correiaricardina-ui.github.io/questionarios/PALS_Student_2-3ciclo_v1.html"/>
    <hyperlink ref="M110" r:id="rId103" display="https://correiaricardina-ui.github.io/questionarios/PALS_Student_Secundario_v1.html"/>
    <hyperlink ref="M111" r:id="rId104" display="https://correiaricardina-ui.github.io/questionarios/PALS_Student_2-3ciclo_Reduzido_v1.html"/>
    <hyperlink ref="M112" r:id="rId105" display="https://correiaricardina-ui.github.io/questionarios/PALS_Student_Secundario_Reduzido_v1.html"/>
    <hyperlink ref="M113" r:id="rId106" display="https://correiaricardina-ui.github.io/questionarios/PALS_Parent_v1.html"/>
    <hyperlink ref="M114" r:id="rId107" display="https://correiaricardina-ui.github.io/questionarios/PALS_Parent_Reduzido_v1.html"/>
    <hyperlink ref="M115" r:id="rId108" display="https://correiaricardina-ui.github.io/questionarios/PALS_Teacher_v1.html"/>
    <hyperlink ref="M116" r:id="rId109" display="https://correiaricardina-ui.github.io/questionarios/PALS_Teacher_Reduzido_v1.html"/>
    <hyperlink ref="M117" r:id="rId110" display="https://correiaricardina-ui.github.io/questionarios/PPGRJ_v1.html"/>
    <hyperlink ref="M118" r:id="rId111" display="https://correiaricardina-ui.github.io/questionarios/PS2_Escola_v1.html"/>
    <hyperlink ref="M119" r:id="rId112" display="https://correiaricardina-ui.github.io/questionarios/PS2_Pais_v1.html"/>
    <hyperlink ref="M120" r:id="rId113" display="https://correiaricardina-ui.github.io/questionarios/PSI4_adap.html"/>
    <hyperlink ref="M121" r:id="rId114" display="https://correiaricardina-ui.github.io/questionarios/QACSE_C_v1.html"/>
    <hyperlink ref="M122" r:id="rId115" display="https://correiaricardina-ui.github.io/questionarios/QACSE_R_v1.html"/>
    <hyperlink ref="M123" r:id="rId116" display="https://correiaricardina-ui.github.io/questionarios/QC_Mae.html"/>
    <hyperlink ref="M124" r:id="rId117" display="https://correiaricardina-ui.github.io/questionarios/QC_Pai.html"/>
    <hyperlink ref="M125" r:id="rId118" display="https://correiaricardina-ui.github.io/questionarios/QEA_questionario.html"/>
    <hyperlink ref="M126" r:id="rId119" display="https://correiaricardina-ui.github.io/questionarios/QEDP_v2.html"/>
    <hyperlink ref="M127" r:id="rId120" display="https://correiaricardina-ui.github.io/questionarios/QEE_Escola_v1.html"/>
    <hyperlink ref="M128" r:id="rId121" display="https://correiaricardina-ui.github.io/questionarios/QEP_Pais_v1.html"/>
    <hyperlink ref="M129" r:id="rId122" display="https://correiaricardina-ui.github.io/questionarios/RAADS_R_v1.html"/>
    <hyperlink ref="M130" r:id="rId123" display="https://correiaricardina-ui.github.io/questionarios/RBS_R.html"/>
    <hyperlink ref="M131" r:id="rId124" display="https://correiaricardina-ui.github.io/questionarios/RCADS25_Pais_v2.html"/>
    <hyperlink ref="M132" r:id="rId125" display="https://correiaricardina-ui.github.io/questionarios/RCADS25_Youth_v2.html"/>
    <hyperlink ref="M133" r:id="rId126" display="https://correiaricardina-ui.github.io/questionarios/RCADS47_Pais_v2.html"/>
    <hyperlink ref="M134" r:id="rId127" display="https://correiaricardina-ui.github.io/questionarios/RCADS47_Youth_v2.html"/>
    <hyperlink ref="M135" r:id="rId128" display="https://correiaricardina-ui.github.io/questionarios/RSES_v1.html"/>
    <hyperlink ref="M136" r:id="rId129" display="https://correiaricardina-ui.github.io/questionarios/SCARED_R_Crianca.html"/>
    <hyperlink ref="M137" r:id="rId130" display="https://correiaricardina-ui.github.io/questionarios/SCARED_R_Pais.html"/>
    <hyperlink ref="M138" r:id="rId131" display="https://correiaricardina-ui.github.io/questionarios/SDS_Holland.html"/>
    <hyperlink ref="M139" r:id="rId132" display="https://correiaricardina-ui.github.io/questionarios/SEQC_v2.html"/>
    <hyperlink ref="M141" r:id="rId133" display="https://correiaricardina-ui.github.io/questionarios/SOCIOGRAMA_RC_v1.html"/>
    <hyperlink ref="M142" r:id="rId134" display="https://correiaricardina-ui.github.io/questionarios/SPAS_Pais.html"/>
    <hyperlink ref="M143" r:id="rId135" display="https://correiaricardina-ui.github.io/questionarios/SPAS_Educador.html"/>
    <hyperlink ref="M144" r:id="rId136" display="https://correiaricardina-ui.github.io/questionarios/SPPA.html"/>
    <hyperlink ref="M145" r:id="rId137" display="https://correiaricardina-ui.github.io/questionarios/SPPC_Bateria.html"/>
    <hyperlink ref="M146" r:id="rId138" display="https://correiaricardina-ui.github.io/questionarios/SPPC_Professor.html"/>
    <hyperlink ref="M147" r:id="rId139" display="https://correiaricardina-ui.github.io/questionarios/SPPCS_v1.html"/>
    <hyperlink ref="M148" r:id="rId140" display="https://correiaricardina-ui.github.io/questionarios/SPPLD_Bateria.html"/>
    <hyperlink ref="M149" r:id="rId141" display="https://correiaricardina-ui.github.io/questionarios/SRS2_IE_Pais_v1.html"/>
    <hyperlink ref="M150" r:id="rId142" display="https://correiaricardina-ui.github.io/questionarios/SRS2_IE_Prof_v1.html"/>
    <hyperlink ref="M151" r:id="rId143" display="https://correiaricardina-ui.github.io/questionarios/STAIC_C2_v1.html"/>
    <hyperlink ref="M152" r:id="rId144" display="https://correiaricardina-ui.github.io/questionarios/STAXI_NA_v1.html"/>
    <hyperlink ref="M153" r:id="rId145" display="https://correiaricardina-ui.github.io/questionarios/SWAN_v1.html"/>
    <hyperlink ref="M154" r:id="rId146" display="https://correiaricardina-ui.github.io/questionarios/TAS20_v7.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14"/>
  </cols>
  <sheetData>
    <row r="1" customFormat="false" ht="24" hidden="false" customHeight="true" outlineLevel="0" collapsed="false">
      <c r="A1" s="8" t="s">
        <v>1320</v>
      </c>
      <c r="B1" s="8"/>
      <c r="C1" s="8"/>
    </row>
    <row r="2" customFormat="false" ht="15" hidden="false" customHeight="true" outlineLevel="0" collapsed="false">
      <c r="A2" s="4" t="s">
        <v>4</v>
      </c>
      <c r="B2" s="4" t="s">
        <v>1321</v>
      </c>
      <c r="C2" s="4" t="s">
        <v>1322</v>
      </c>
    </row>
    <row r="3" customFormat="false" ht="15" hidden="false" customHeight="true" outlineLevel="0" collapsed="false">
      <c r="A3" s="9" t="s">
        <v>122</v>
      </c>
      <c r="B3" s="9" t="n">
        <f aca="false">COUNTIF(Catálogo!$C$4:$C$1000,A3)</f>
        <v>10</v>
      </c>
      <c r="C3" s="10" t="n">
        <f aca="false">IF($B$30=0,0,B3/$B$30)</f>
        <v>0.0515463917525773</v>
      </c>
    </row>
    <row r="4" customFormat="false" ht="15" hidden="false" customHeight="true" outlineLevel="0" collapsed="false">
      <c r="A4" s="9" t="s">
        <v>51</v>
      </c>
      <c r="B4" s="9" t="n">
        <f aca="false">COUNTIF(Catálogo!$C$4:$C$1000,A4)</f>
        <v>3</v>
      </c>
      <c r="C4" s="10" t="n">
        <f aca="false">IF($B$30=0,0,B4/$B$30)</f>
        <v>0.0154639175257732</v>
      </c>
    </row>
    <row r="5" customFormat="false" ht="15" hidden="false" customHeight="true" outlineLevel="0" collapsed="false">
      <c r="A5" s="9" t="s">
        <v>219</v>
      </c>
      <c r="B5" s="9" t="n">
        <f aca="false">COUNTIF(Catálogo!$C$4:$C$1000,A5)</f>
        <v>30</v>
      </c>
      <c r="C5" s="10" t="n">
        <f aca="false">IF($B$30=0,0,B5/$B$30)</f>
        <v>0.154639175257732</v>
      </c>
    </row>
    <row r="6" customFormat="false" ht="15" hidden="false" customHeight="true" outlineLevel="0" collapsed="false">
      <c r="A6" s="9" t="s">
        <v>131</v>
      </c>
      <c r="B6" s="9" t="n">
        <f aca="false">COUNTIF(Catálogo!$C$4:$C$1000,A6)</f>
        <v>18</v>
      </c>
      <c r="C6" s="10" t="n">
        <f aca="false">IF($B$30=0,0,B6/$B$30)</f>
        <v>0.0927835051546392</v>
      </c>
    </row>
    <row r="7" customFormat="false" ht="15" hidden="false" customHeight="true" outlineLevel="0" collapsed="false">
      <c r="A7" s="9" t="s">
        <v>442</v>
      </c>
      <c r="B7" s="9" t="n">
        <f aca="false">COUNTIF(Catálogo!$C$4:$C$1000,A7)</f>
        <v>6</v>
      </c>
      <c r="C7" s="10" t="n">
        <f aca="false">IF($B$30=0,0,B7/$B$30)</f>
        <v>0.0309278350515464</v>
      </c>
    </row>
    <row r="8" customFormat="false" ht="15" hidden="false" customHeight="true" outlineLevel="0" collapsed="false">
      <c r="A8" s="9" t="s">
        <v>115</v>
      </c>
      <c r="B8" s="9" t="n">
        <f aca="false">COUNTIF(Catálogo!$C$4:$C$1000,A8)</f>
        <v>4</v>
      </c>
      <c r="C8" s="10" t="n">
        <f aca="false">IF($B$30=0,0,B8/$B$30)</f>
        <v>0.0206185567010309</v>
      </c>
    </row>
    <row r="9" customFormat="false" ht="15" hidden="false" customHeight="true" outlineLevel="0" collapsed="false">
      <c r="A9" s="9" t="s">
        <v>171</v>
      </c>
      <c r="B9" s="9" t="n">
        <f aca="false">COUNTIF(Catálogo!$C$4:$C$1000,A9)</f>
        <v>2</v>
      </c>
      <c r="C9" s="10" t="n">
        <f aca="false">IF($B$30=0,0,B9/$B$30)</f>
        <v>0.0103092783505155</v>
      </c>
    </row>
    <row r="10" customFormat="false" ht="15" hidden="false" customHeight="true" outlineLevel="0" collapsed="false">
      <c r="A10" s="9" t="s">
        <v>588</v>
      </c>
      <c r="B10" s="9" t="n">
        <f aca="false">COUNTIF(Catálogo!$C$4:$C$1000,A10)</f>
        <v>1</v>
      </c>
      <c r="C10" s="10" t="n">
        <f aca="false">IF($B$30=0,0,B10/$B$30)</f>
        <v>0.00515463917525773</v>
      </c>
    </row>
    <row r="11" customFormat="false" ht="15" hidden="false" customHeight="true" outlineLevel="0" collapsed="false">
      <c r="A11" s="9" t="s">
        <v>186</v>
      </c>
      <c r="B11" s="9" t="n">
        <f aca="false">COUNTIF(Catálogo!$C$4:$C$1000,A11)</f>
        <v>4</v>
      </c>
      <c r="C11" s="10" t="n">
        <f aca="false">IF($B$30=0,0,B11/$B$30)</f>
        <v>0.0206185567010309</v>
      </c>
    </row>
    <row r="12" customFormat="false" ht="15" hidden="false" customHeight="true" outlineLevel="0" collapsed="false">
      <c r="A12" s="9" t="s">
        <v>401</v>
      </c>
      <c r="B12" s="9" t="n">
        <f aca="false">COUNTIF(Catálogo!$C$4:$C$1000,A12)</f>
        <v>12</v>
      </c>
      <c r="C12" s="10" t="n">
        <f aca="false">IF($B$30=0,0,B12/$B$30)</f>
        <v>0.0618556701030928</v>
      </c>
    </row>
    <row r="13" customFormat="false" ht="15" hidden="false" customHeight="true" outlineLevel="0" collapsed="false">
      <c r="A13" s="9" t="s">
        <v>72</v>
      </c>
      <c r="B13" s="9" t="n">
        <f aca="false">COUNTIF(Catálogo!$C$4:$C$1000,A13)</f>
        <v>9</v>
      </c>
      <c r="C13" s="10" t="n">
        <f aca="false">IF($B$30=0,0,B13/$B$30)</f>
        <v>0.0463917525773196</v>
      </c>
    </row>
    <row r="14" customFormat="false" ht="15" hidden="false" customHeight="true" outlineLevel="0" collapsed="false">
      <c r="A14" s="9" t="s">
        <v>280</v>
      </c>
      <c r="B14" s="9" t="n">
        <f aca="false">COUNTIF(Catálogo!$C$4:$C$1000,A14)</f>
        <v>18</v>
      </c>
      <c r="C14" s="10" t="n">
        <f aca="false">IF($B$30=0,0,B14/$B$30)</f>
        <v>0.0927835051546392</v>
      </c>
    </row>
    <row r="15" customFormat="false" ht="15" hidden="false" customHeight="true" outlineLevel="0" collapsed="false">
      <c r="A15" s="9" t="s">
        <v>1299</v>
      </c>
      <c r="B15" s="9" t="n">
        <f aca="false">COUNTIF(Catálogo!$C$4:$C$1000,A15)</f>
        <v>3</v>
      </c>
      <c r="C15" s="10" t="n">
        <f aca="false">IF($B$30=0,0,B15/$B$30)</f>
        <v>0.0154639175257732</v>
      </c>
    </row>
    <row r="16" customFormat="false" ht="15" hidden="false" customHeight="true" outlineLevel="0" collapsed="false">
      <c r="A16" s="9" t="s">
        <v>521</v>
      </c>
      <c r="B16" s="9" t="n">
        <f aca="false">COUNTIF(Catálogo!$C$4:$C$1000,A16)</f>
        <v>1</v>
      </c>
      <c r="C16" s="10" t="n">
        <f aca="false">IF($B$30=0,0,B16/$B$30)</f>
        <v>0.00515463917525773</v>
      </c>
    </row>
    <row r="17" customFormat="false" ht="15" hidden="false" customHeight="true" outlineLevel="0" collapsed="false">
      <c r="A17" s="9" t="s">
        <v>528</v>
      </c>
      <c r="B17" s="9" t="n">
        <f aca="false">COUNTIF(Catálogo!$C$4:$C$1000,A17)</f>
        <v>2</v>
      </c>
      <c r="C17" s="10" t="n">
        <f aca="false">IF($B$30=0,0,B17/$B$30)</f>
        <v>0.0103092783505155</v>
      </c>
    </row>
    <row r="18" customFormat="false" ht="15" hidden="false" customHeight="true" outlineLevel="0" collapsed="false">
      <c r="A18" s="9" t="s">
        <v>477</v>
      </c>
      <c r="B18" s="9" t="n">
        <f aca="false">COUNTIF(Catálogo!$C$4:$C$1000,A18)</f>
        <v>1</v>
      </c>
      <c r="C18" s="10" t="n">
        <f aca="false">IF($B$30=0,0,B18/$B$30)</f>
        <v>0.00515463917525773</v>
      </c>
    </row>
    <row r="19" customFormat="false" ht="15" hidden="false" customHeight="true" outlineLevel="0" collapsed="false">
      <c r="A19" s="9" t="s">
        <v>500</v>
      </c>
      <c r="B19" s="9" t="n">
        <f aca="false">COUNTIF(Catálogo!$C$4:$C$1000,A19)</f>
        <v>3</v>
      </c>
      <c r="C19" s="10" t="n">
        <f aca="false">IF($B$30=0,0,B19/$B$30)</f>
        <v>0.0154639175257732</v>
      </c>
    </row>
    <row r="20" customFormat="false" ht="15" hidden="false" customHeight="true" outlineLevel="0" collapsed="false">
      <c r="A20" s="9" t="s">
        <v>379</v>
      </c>
      <c r="B20" s="9" t="n">
        <f aca="false">COUNTIF(Catálogo!$C$4:$C$1000,A20)</f>
        <v>1</v>
      </c>
      <c r="C20" s="10" t="n">
        <f aca="false">IF($B$30=0,0,B20/$B$30)</f>
        <v>0.00515463917525773</v>
      </c>
    </row>
    <row r="21" customFormat="false" ht="15" hidden="false" customHeight="true" outlineLevel="0" collapsed="false">
      <c r="A21" s="9" t="s">
        <v>16</v>
      </c>
      <c r="B21" s="9" t="n">
        <f aca="false">COUNTIF(Catálogo!$C$4:$C$1000,A21)</f>
        <v>16</v>
      </c>
      <c r="C21" s="10" t="n">
        <f aca="false">IF($B$30=0,0,B21/$B$30)</f>
        <v>0.0824742268041237</v>
      </c>
    </row>
    <row r="22" customFormat="false" ht="15" hidden="false" customHeight="true" outlineLevel="0" collapsed="false">
      <c r="A22" s="9" t="s">
        <v>554</v>
      </c>
      <c r="B22" s="9" t="n">
        <f aca="false">COUNTIF(Catálogo!$C$4:$C$1000,A22)</f>
        <v>7</v>
      </c>
      <c r="C22" s="10" t="n">
        <f aca="false">IF($B$30=0,0,B22/$B$30)</f>
        <v>0.0360824742268041</v>
      </c>
    </row>
    <row r="23" customFormat="false" ht="15" hidden="false" customHeight="true" outlineLevel="0" collapsed="false">
      <c r="A23" s="9" t="s">
        <v>814</v>
      </c>
      <c r="B23" s="9" t="n">
        <f aca="false">COUNTIF(Catálogo!$C$4:$C$1000,A23)</f>
        <v>1</v>
      </c>
      <c r="C23" s="10" t="n">
        <f aca="false">IF($B$30=0,0,B23/$B$30)</f>
        <v>0.00515463917525773</v>
      </c>
    </row>
    <row r="24" customFormat="false" ht="15" hidden="false" customHeight="true" outlineLevel="0" collapsed="false">
      <c r="A24" s="9" t="s">
        <v>428</v>
      </c>
      <c r="B24" s="9" t="n">
        <f aca="false">COUNTIF(Catálogo!$C$4:$C$1000,A24)</f>
        <v>9</v>
      </c>
      <c r="C24" s="10" t="n">
        <f aca="false">IF($B$30=0,0,B24/$B$30)</f>
        <v>0.0463917525773196</v>
      </c>
    </row>
    <row r="25" customFormat="false" ht="15" hidden="false" customHeight="true" outlineLevel="0" collapsed="false">
      <c r="A25" s="9" t="s">
        <v>210</v>
      </c>
      <c r="B25" s="9" t="n">
        <f aca="false">COUNTIF(Catálogo!$C$4:$C$1000,A25)</f>
        <v>14</v>
      </c>
      <c r="C25" s="10" t="n">
        <f aca="false">IF($B$30=0,0,B25/$B$30)</f>
        <v>0.0721649484536082</v>
      </c>
    </row>
    <row r="26" customFormat="false" ht="15" hidden="false" customHeight="true" outlineLevel="0" collapsed="false">
      <c r="A26" s="9" t="s">
        <v>162</v>
      </c>
      <c r="B26" s="9" t="n">
        <f aca="false">COUNTIF(Catálogo!$C$4:$C$1000,A26)</f>
        <v>6</v>
      </c>
      <c r="C26" s="10" t="n">
        <f aca="false">IF($B$30=0,0,B26/$B$30)</f>
        <v>0.0309278350515464</v>
      </c>
    </row>
    <row r="27" customFormat="false" ht="15" hidden="false" customHeight="true" outlineLevel="0" collapsed="false">
      <c r="A27" s="9" t="s">
        <v>344</v>
      </c>
      <c r="B27" s="9" t="n">
        <f aca="false">COUNTIF(Catálogo!$C$4:$C$1000,A27)</f>
        <v>3</v>
      </c>
      <c r="C27" s="10" t="n">
        <f aca="false">IF($B$30=0,0,B27/$B$30)</f>
        <v>0.0154639175257732</v>
      </c>
    </row>
    <row r="28" customFormat="false" ht="15" hidden="false" customHeight="true" outlineLevel="0" collapsed="false">
      <c r="A28" s="9" t="s">
        <v>1050</v>
      </c>
      <c r="B28" s="9" t="n">
        <f aca="false">COUNTIF(Catálogo!$C$4:$C$1000,A28)</f>
        <v>5</v>
      </c>
      <c r="C28" s="10" t="n">
        <f aca="false">IF($B$30=0,0,B28/$B$30)</f>
        <v>0.0257731958762887</v>
      </c>
    </row>
    <row r="29" customFormat="false" ht="15" hidden="false" customHeight="true" outlineLevel="0" collapsed="false">
      <c r="A29" s="9" t="s">
        <v>1042</v>
      </c>
      <c r="B29" s="9" t="n">
        <f aca="false">COUNTIF(Catálogo!$C$4:$C$1000,A29)</f>
        <v>5</v>
      </c>
      <c r="C29" s="10" t="n">
        <f aca="false">IF($B$30=0,0,B29/$B$30)</f>
        <v>0.0257731958762887</v>
      </c>
    </row>
    <row r="30" customFormat="false" ht="15" hidden="false" customHeight="true" outlineLevel="0" collapsed="false">
      <c r="A30" s="11" t="s">
        <v>1323</v>
      </c>
      <c r="B30" s="11" t="n">
        <f aca="false">COUNTA(Catálogo!$B$4:$B$1000)</f>
        <v>194</v>
      </c>
      <c r="C30" s="12" t="n">
        <f aca="false">IF(B30=0,0,B30/B30)</f>
        <v>1</v>
      </c>
    </row>
    <row r="31" customFormat="false" ht="15" hidden="false" customHeight="true" outlineLevel="0" collapsed="false">
      <c r="A31" s="13" t="s">
        <v>1324</v>
      </c>
    </row>
    <row r="32" customFormat="false" ht="14.25" hidden="false" customHeight="true" outlineLevel="0" collapsed="false">
      <c r="A32" s="14" t="s">
        <v>1324</v>
      </c>
      <c r="B32" s="15" t="str">
        <f aca="false">IF(SUM(B3:B28)=B29,"OK","Existe AREA nova - adicionar linha no resumo")</f>
        <v>Existe AREA nova - adicionar linha no resumo</v>
      </c>
    </row>
    <row r="33" customFormat="false" ht="14.25" hidden="false" customHeight="false" outlineLevel="0" collapsed="false">
      <c r="A33" s="1" t="s">
        <v>1325</v>
      </c>
      <c r="B33" s="1" t="str">
        <f aca="false">IF(SUM(B3:B29)=B30,"OK","Existe AREA nova - adicionar linha no resumo")</f>
        <v>OK</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6"/>
    <col collapsed="false" customWidth="true" hidden="false" outlineLevel="0" max="2" min="2" style="1" width="42"/>
    <col collapsed="false" customWidth="true" hidden="false" outlineLevel="0" max="3" min="3" style="1" width="70"/>
  </cols>
  <sheetData>
    <row r="1" customFormat="false" ht="24" hidden="false" customHeight="true" outlineLevel="0" collapsed="false">
      <c r="A1" s="8" t="s">
        <v>1326</v>
      </c>
      <c r="B1" s="8"/>
      <c r="C1" s="8"/>
    </row>
    <row r="2" customFormat="false" ht="15" hidden="false" customHeight="true" outlineLevel="0" collapsed="false">
      <c r="A2" s="4" t="s">
        <v>1327</v>
      </c>
      <c r="B2" s="4" t="s">
        <v>1328</v>
      </c>
      <c r="C2" s="4" t="s">
        <v>1329</v>
      </c>
    </row>
    <row r="3" customFormat="false" ht="57.75" hidden="false" customHeight="true" outlineLevel="0" collapsed="false">
      <c r="A3" s="16" t="s">
        <v>1330</v>
      </c>
      <c r="B3" s="17" t="s">
        <v>1331</v>
      </c>
      <c r="C3" s="6" t="s">
        <v>1332</v>
      </c>
    </row>
    <row r="4" customFormat="false" ht="57.75" hidden="false" customHeight="true" outlineLevel="0" collapsed="false">
      <c r="A4" s="16" t="s">
        <v>1333</v>
      </c>
      <c r="B4" s="17" t="s">
        <v>1334</v>
      </c>
      <c r="C4" s="6" t="s">
        <v>1335</v>
      </c>
    </row>
    <row r="5" customFormat="false" ht="57.75" hidden="false" customHeight="true" outlineLevel="0" collapsed="false">
      <c r="A5" s="16" t="s">
        <v>1336</v>
      </c>
      <c r="B5" s="17" t="s">
        <v>1337</v>
      </c>
      <c r="C5" s="6" t="s">
        <v>1338</v>
      </c>
    </row>
    <row r="6" customFormat="false" ht="57.75" hidden="false" customHeight="true" outlineLevel="0" collapsed="false">
      <c r="A6" s="16" t="s">
        <v>1339</v>
      </c>
      <c r="B6" s="17" t="s">
        <v>1340</v>
      </c>
      <c r="C6" s="6" t="s">
        <v>1341</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8"/>
    <col collapsed="false" customWidth="true" hidden="false" outlineLevel="0" max="2" min="2" style="1" width="100"/>
  </cols>
  <sheetData>
    <row r="1" customFormat="false" ht="24" hidden="false" customHeight="true" outlineLevel="0" collapsed="false">
      <c r="A1" s="8" t="s">
        <v>1342</v>
      </c>
      <c r="B1" s="8"/>
    </row>
    <row r="2" customFormat="false" ht="42" hidden="false" customHeight="true" outlineLevel="0" collapsed="false">
      <c r="A2" s="18" t="s">
        <v>1343</v>
      </c>
      <c r="B2" s="19" t="s">
        <v>1344</v>
      </c>
    </row>
    <row r="3" customFormat="false" ht="42" hidden="false" customHeight="true" outlineLevel="0" collapsed="false">
      <c r="A3" s="18" t="s">
        <v>1345</v>
      </c>
      <c r="B3" s="19" t="s">
        <v>1346</v>
      </c>
    </row>
    <row r="4" customFormat="false" ht="42" hidden="false" customHeight="true" outlineLevel="0" collapsed="false">
      <c r="A4" s="18" t="s">
        <v>1347</v>
      </c>
      <c r="B4" s="19" t="s">
        <v>1348</v>
      </c>
    </row>
    <row r="5" customFormat="false" ht="42" hidden="false" customHeight="true" outlineLevel="0" collapsed="false">
      <c r="A5" s="18" t="s">
        <v>1349</v>
      </c>
      <c r="B5" s="19" t="s">
        <v>1350</v>
      </c>
    </row>
    <row r="6" customFormat="false" ht="42" hidden="false" customHeight="true" outlineLevel="0" collapsed="false">
      <c r="A6" s="18" t="s">
        <v>1351</v>
      </c>
      <c r="B6" s="19" t="s">
        <v>1352</v>
      </c>
    </row>
    <row r="7" customFormat="false" ht="42" hidden="false" customHeight="true" outlineLevel="0" collapsed="false">
      <c r="A7" s="18" t="s">
        <v>1353</v>
      </c>
      <c r="B7" s="19" t="s">
        <v>1354</v>
      </c>
    </row>
    <row r="8" customFormat="false" ht="9.75" hidden="false" customHeight="true" outlineLevel="0" collapsed="false">
      <c r="A8" s="18"/>
      <c r="B8" s="19"/>
    </row>
    <row r="9" customFormat="false" ht="42" hidden="false" customHeight="true" outlineLevel="0" collapsed="false">
      <c r="A9" s="18" t="s">
        <v>1355</v>
      </c>
      <c r="B9" s="19" t="s">
        <v>1356</v>
      </c>
    </row>
    <row r="10" customFormat="false" ht="42" hidden="false" customHeight="true" outlineLevel="0" collapsed="false">
      <c r="A10" s="18" t="s">
        <v>1357</v>
      </c>
      <c r="B10" s="19" t="s">
        <v>1358</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2026-06-12T21:56:06Z</dcterms:created>
  <dc:creator>openpyxl</dc:creator>
  <dc:description/>
  <dc:language>en-US</dc:language>
  <cp:lastModifiedBy>Ricardina Correia</cp:lastModifiedBy>
  <dcterms:modified xsi:type="dcterms:W3CDTF">2026-08-29T16:14:06Z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