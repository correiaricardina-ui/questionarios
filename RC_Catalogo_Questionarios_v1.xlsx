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Anamnese &amp; História" sheetId="3" state="visible" r:id="rId5"/>
    <sheet name="Neurodesenvolvimento" sheetId="4" state="visible" r:id="rId6"/>
    <sheet name="Atenção, PHDA &amp; FE" sheetId="5" state="visible" r:id="rId7"/>
    <sheet name="Ansiedade &amp; Internalização" sheetId="6" state="visible" r:id="rId8"/>
    <sheet name="Risco &amp; Autolesão" sheetId="7" state="visible" r:id="rId9"/>
    <sheet name="Trauma &amp; Stress" sheetId="8" state="visible" r:id="rId10"/>
    <sheet name="Externalização" sheetId="9" state="visible" r:id="rId11"/>
    <sheet name="Regulação Emocional" sheetId="10" state="visible" r:id="rId12"/>
    <sheet name="Alimentação &amp; Imagem" sheetId="11" state="visible" r:id="rId13"/>
    <sheet name="Sono" sheetId="12" state="visible" r:id="rId14"/>
    <sheet name="Família &amp; Parentalidade" sheetId="13" state="visible" r:id="rId15"/>
    <sheet name="Escola &amp; Aprendizagem" sheetId="14" state="visible" r:id="rId16"/>
    <sheet name="Personalidade &amp; Esquemas" sheetId="15" state="visible" r:id="rId17"/>
    <sheet name="Autoconceito &amp; Autoestima" sheetId="16" state="visible" r:id="rId18"/>
    <sheet name="Comp. Sociais &amp; Assertiv." sheetId="17" state="visible" r:id="rId19"/>
    <sheet name="Vocacional &amp; Inteligências" sheetId="18" state="visible" r:id="rId20"/>
    <sheet name="Interferência Funcional" sheetId="19" state="visible" r:id="rId21"/>
    <sheet name="Comportamentos Aditivos" sheetId="20" state="visible" r:id="rId22"/>
    <sheet name="Índice" sheetId="21" state="hidden" r:id="rId23"/>
    <sheet name="Fluxo de trabalho" sheetId="22" state="visible" r:id="rId24"/>
    <sheet name="Como atualizar" sheetId="23" state="visible" r:id="rId25"/>
  </sheets>
  <definedNames>
    <definedName function="false" hidden="true" localSheetId="10" name="_xlnm._FilterDatabase" vbProcedure="false">'Alimentação &amp; Imagem'!$A$3:$M$21</definedName>
    <definedName function="false" hidden="true" localSheetId="2" name="_xlnm._FilterDatabase" vbProcedure="false">'Anamnese &amp; História'!$A$3:$M$15</definedName>
    <definedName function="false" hidden="true" localSheetId="5" name="_xlnm._FilterDatabase" vbProcedure="false">'Ansiedade &amp; Internalização'!$A$3:$M$42</definedName>
    <definedName function="false" hidden="true" localSheetId="4" name="_xlnm._FilterDatabase" vbProcedure="false">'Atenção, PHDA &amp; FE'!$A$3:$M$29</definedName>
    <definedName function="false" hidden="true" localSheetId="15" name="_xlnm._FilterDatabase" vbProcedure="false">'Autoconceito &amp; Autoestima'!$A$3:$M$17</definedName>
    <definedName function="false" hidden="true" localSheetId="16" name="_xlnm._FilterDatabase" vbProcedure="false">'Comp. Sociais &amp; Assertiv.'!$A$3:$M$16</definedName>
    <definedName function="false" hidden="true" localSheetId="19" name="_xlnm._FilterDatabase" vbProcedure="false">'Comportamentos Aditivos'!$A$3:$M$12</definedName>
    <definedName function="false" hidden="true" localSheetId="13" name="_xlnm._FilterDatabase" vbProcedure="false">'Escola &amp; Aprendizagem'!$A$3:$M$23</definedName>
    <definedName function="false" hidden="true" localSheetId="8" name="_xlnm._FilterDatabase" vbProcedure="false">Externalização!$A$3:$M$20</definedName>
    <definedName function="false" hidden="true" localSheetId="12" name="_xlnm._FilterDatabase" vbProcedure="false">'Família &amp; Parentalidade'!$A$3:$M$37</definedName>
    <definedName function="false" hidden="true" localSheetId="18" name="_xlnm._FilterDatabase" vbProcedure="false">'Interferência Funcional'!$A$3:$M$13</definedName>
    <definedName function="false" hidden="true" localSheetId="3" name="_xlnm._FilterDatabase" vbProcedure="false">Neurodesenvolvimento!$A$3:$M$32</definedName>
    <definedName function="false" hidden="true" localSheetId="14" name="_xlnm._FilterDatabase" vbProcedure="false">'Personalidade &amp; Esquemas'!$A$3:$M$21</definedName>
    <definedName function="false" hidden="true" localSheetId="9" name="_xlnm._FilterDatabase" vbProcedure="false">'Regulação Emocional'!$A$3:$M$25</definedName>
    <definedName function="false" hidden="true" localSheetId="6" name="_xlnm._FilterDatabase" vbProcedure="false">'Risco &amp; Autolesão'!$A$3:$M$21</definedName>
    <definedName function="false" hidden="true" localSheetId="11" name="_xlnm._FilterDatabase" vbProcedure="false">Sono!$A$3:$M$16</definedName>
    <definedName function="false" hidden="true" localSheetId="7" name="_xlnm._FilterDatabase" vbProcedure="false">'Trauma &amp; Stress'!$A$3:$M$16</definedName>
    <definedName function="false" hidden="true" localSheetId="17" name="_xlnm._FilterDatabase" vbProcedure="false">'Vocacional &amp; Inteligências'!$A$3:$M$18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<sst xmlns="http://schemas.openxmlformats.org/spreadsheetml/2006/main" count="2110" uniqueCount="1368">
  <si>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</si>
  <si>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</si>
  <si>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</si>
  <si>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</si>
  <si>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</si>
  <si>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</si>
  <si>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</si>
  <si>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</si>
  <si>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</si>
  <si>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</si>
  <si>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</si>
  <si>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</si>
  <si>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</si>
  <si>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</si>
  <si>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</si>
  <si>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</si>
  <si>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</si>
  <si>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</si>
  <si>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</si>
  <si>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</si>
  <si>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</si>
  <si>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</si>
  <si>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</si>
  <si>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</si>
  <si>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</si>
  <si>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</si>
  <si>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</si>
  <si>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</si>
  <si>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</si>
  <si>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</si>
  <si>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</si>
  <si>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</si>
  <si>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</si>
  <si>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</si>
  <si>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</si>
  <si>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</si>
  <si>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</si>
  <si>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</si>
  <si>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</si>
  <si>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</si>
  <si>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</si>
  <si>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</si>
  <si>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</si>
  <si>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</si>
  <si>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</si>
  <si>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</si>
  <si>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</si>
  <si>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</si>
  <si>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</si>
  <si>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</si>
  <si>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</si>
  <si>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História &amp; Monitorização</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</si>
  <si>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</si>
  <si>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</si>
  <si>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</si>
  <si>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</si>
  <si>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</si>
  <si>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</si>
  <si>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</si>
  <si>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</si>
  <si>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</si>
  <si>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</si>
  <si>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</si>
  <si>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</si>
  <si>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</si>
  <si>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</si>
  <si>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</si>
  <si>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</si>
  <si>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</si>
  <si>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</si>
  <si>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</si>
  <si>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</si>
  <si>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</si>
  <si>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</si>
  <si>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</si>
  <si>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</si>
  <si>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</si>
  <si>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</si>
  <si>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</si>
  <si>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</si>
  <si>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</si>
  <si>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</si>
  <si>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</si>
  <si>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</si>
  <si>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</si>
  <si>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</si>
  <si>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</si>
  <si>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</si>
  <si>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</si>
  <si>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</si>
  <si>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</si>
  <si>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</si>
  <si>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</si>
  <si>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</si>
  <si>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</si>
  <si>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</si>
  <si>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</si>
  <si>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</si>
  <si>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</si>
  <si>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</si>
  <si>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</si>
  <si>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</si>
  <si>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</si>
  <si>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</si>
  <si>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</si>
  <si>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</si>
  <si>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</si>
  <si>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</si>
  <si>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</si>
  <si>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</si>
  <si>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</si>
  <si>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</si>
  <si>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</si>
  <si>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</si>
  <si>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</si>
  <si>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Assertividade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</si>
  <si>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</si>
  <si>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</si>
  <si>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</si>
  <si>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</si>
  <si>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</si>
  <si>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</si>
  <si>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</si>
  <si>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</si>
  <si>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</si>
  <si>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</si>
  <si>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</si>
  <si>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</si>
  <si>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</si>
  <si>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</si>
  <si>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</si>
  <si>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</si>
  <si>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</si>
  <si>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</si>
  <si>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</si>
  <si>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</si>
  <si>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</si>
  <si>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</si>
  <si>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</si>
  <si>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</si>
  <si>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</si>
  <si>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</si>
  <si>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</si>
  <si>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</si>
  <si>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</si>
  <si>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</si>
  <si>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</si>
  <si>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</si>
  <si>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</si>
  <si>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</si>
  <si>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</si>
  <si>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</si>
  <si>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</si>
  <si>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</si>
  <si>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</si>
  <si>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</si>
  <si>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</si>
  <si>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</si>
  <si>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</si>
  <si>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</si>
  <si>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</si>
  <si>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</si>
  <si>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Autolesão &amp; Psicopatologia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</si>
  <si>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</si>
  <si>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</si>
  <si>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</si>
  <si>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</si>
  <si>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</si>
  <si>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</si>
  <si>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</si>
  <si>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</si>
  <si>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</si>
  <si>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</si>
  <si>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</si>
  <si>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</si>
  <si>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</si>
  <si>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</si>
  <si>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</si>
  <si>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</si>
  <si>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</si>
  <si>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</si>
  <si>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</si>
  <si>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</si>
  <si>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</si>
  <si>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</si>
  <si>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</si>
  <si>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</si>
  <si>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</si>
  <si>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</si>
  <si>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</si>
  <si>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</si>
  <si>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</si>
  <si>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</si>
  <si>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</si>
  <si>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</si>
  <si>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</si>
  <si>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</si>
  <si>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</si>
  <si>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</si>
  <si>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</si>
  <si>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</si>
  <si>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</si>
  <si>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</si>
  <si>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</si>
  <si>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</si>
  <si>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</si>
  <si>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</si>
  <si>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</si>
  <si>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</si>
  <si>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</si>
  <si>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</si>
  <si>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</si>
  <si>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</si>
  <si>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</si>
  <si>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</si>
  <si>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</si>
  <si>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</si>
  <si>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</si>
  <si>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</si>
  <si>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</si>
  <si>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</si>
  <si>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</si>
  <si>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</si>
  <si>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</si>
  <si>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</si>
  <si>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</si>
  <si>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</si>
  <si>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</si>
  <si>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</si>
  <si>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</si>
  <si>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</si>
  <si>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</si>
  <si>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</si>
  <si>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</si>
  <si>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</si>
  <si>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</si>
  <si>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</si>
  <si>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</si>
  <si>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</si>
  <si>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</si>
  <si>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</si>
  <si>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</si>
  <si>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</si>
  <si>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</si>
  <si>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</si>
  <si>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</si>
  <si>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</si>
  <si>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</si>
  <si>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</si>
  <si>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</si>
  <si>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</si>
  <si>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</si>
  <si>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</si>
  <si>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</si>
  <si>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</si>
  <si>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</si>
  <si>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</si>
  <si>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</si>
  <si>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</si>
  <si>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</si>
  <si>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</si>
  <si>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</si>
  <si>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</si>
  <si>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</si>
  <si>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</si>
  <si>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</si>
  <si>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</si>
  <si>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</si>
  <si>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</si>
  <si>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</si>
  <si>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</si>
  <si>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</si>
  <si>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</si>
  <si>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</si>
  <si>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</si>
  <si>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</si>
  <si>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</si>
  <si>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</si>
  <si>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</si>
  <si>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</si>
  <si>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</si>
  <si>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</si>
  <si>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</si>
  <si>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</si>
  <si>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</si>
  <si>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</si>
  <si>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</si>
  <si>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</si>
  <si>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</si>
  <si>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</si>
  <si>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</si>
  <si>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</si>
  <si>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</si>
  <si>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</si>
  <si>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</si>
  <si>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</si>
  <si>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</si>
  <si>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</si>
  <si>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</si>
  <si>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</si>
  <si>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</si>
  <si>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</si>
  <si>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</si>
  <si>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</si>
  <si>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</si>
  <si>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</si>
  <si>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</si>
  <si>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</si>
  <si>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</si>
  <si>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</si>
  <si>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</si>
  <si>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</si>
  <si>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</si>
  <si>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</si>
  <si>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</si>
  <si>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</si>
  <si>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</si>
  <si>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</si>
  <si>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</si>
  <si>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</si>
  <si>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</si>
  <si>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</si>
  <si>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</si>
  <si>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</si>
  <si>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</si>
  <si>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</si>
  <si>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</si>
  <si>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</si>
  <si>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</si>
  <si>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</si>
  <si>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</si>
  <si>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</si>
  <si>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</si>
  <si>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</si>
  <si>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</si>
  <si>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</si>
  <si>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</si>
  <si>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</si>
  <si>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</si>
  <si>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</si>
  <si>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</si>
  <si>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</si>
  <si>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</si>
  <si>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</si>
  <si>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</si>
  <si>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</si>
  <si>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</si>
  <si>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</si>
  <si>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</si>
  <si>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</si>
  <si>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</si>
  <si>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</si>
  <si>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</si>
  <si>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</si>
  <si>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</si>
  <si>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</si>
  <si>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</si>
  <si>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</si>
  <si>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</si>
  <si>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</si>
  <si>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</si>
  <si>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</si>
  <si>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</si>
  <si>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</si>
  <si>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</si>
  <si>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</si>
  <si>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</si>
  <si>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</si>
  <si>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</si>
  <si>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</si>
  <si>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</si>
  <si>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</si>
  <si>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</si>
  <si>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</si>
  <si>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</si>
  <si>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</si>
  <si>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</si>
  <si>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</si>
  <si>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</si>
  <si>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</si>
  <si>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</si>
  <si>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</si>
  <si>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</si>
  <si>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</si>
  <si>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</si>
  <si>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</si>
  <si>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</si>
  <si>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</si>
  <si>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</si>
  <si>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Paciente, Cônjuge/Parceiro(a), Mãe, Pai, Enc. Educação, Clínico</t>
  </si>
  <si>
    <t xml:space="preserve">5 anos+</t>
  </si>
  <si>
    <t xml:space="preserve">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t>
  </si>
  <si>
    <t xml:space="preserve">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</si>
  <si>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</si>
  <si>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</si>
  <si>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</si>
  <si>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</si>
  <si>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</si>
  <si>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</si>
  <si>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</si>
  <si>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</si>
  <si>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</si>
  <si>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</si>
  <si>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</si>
  <si>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</si>
  <si>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</si>
  <si>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</si>
  <si>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</si>
  <si>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</si>
  <si>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</si>
  <si>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</si>
  <si>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</si>
  <si>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</si>
  <si>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</si>
  <si>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</si>
  <si>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</si>
  <si>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</si>
  <si>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</si>
  <si>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</si>
  <si>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</si>
  <si>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</si>
  <si>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</si>
  <si>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</si>
  <si>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Perfecionismo (Frost)</t>
  </si>
  <si>
    <t xml:space="preserve">Personalidade &amp; Esquemas</t>
  </si>
  <si>
    <t xml:space="preserve">Adolescentes / Adultos (≥ 12 anos)</t>
  </si>
  <si>
    <t xml:space="preserve">Avalia perfecionismo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</si>
  <si>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</si>
  <si>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</si>
  <si>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</si>
  <si>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</si>
  <si>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Perfecionismo (Hewitt &amp; Flett)</t>
  </si>
  <si>
    <t xml:space="preserve">Avalia perfecionismo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</si>
  <si>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</si>
  <si>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</si>
  <si>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</si>
  <si>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</si>
  <si>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</si>
  <si>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&amp;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</si>
  <si>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</si>
  <si>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</si>
  <si>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</si>
  <si>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</si>
  <si>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</si>
  <si>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</si>
  <si>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</si>
  <si>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</si>
  <si>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</si>
  <si>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</si>
  <si>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</si>
  <si>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</si>
  <si>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</si>
  <si>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</si>
  <si>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</si>
  <si>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</si>
  <si>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</si>
  <si>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</si>
  <si>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</si>
  <si>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</si>
  <si>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</si>
  <si>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</si>
  <si>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</si>
  <si>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</si>
  <si>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</si>
  <si>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</si>
  <si>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</si>
  <si>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</si>
  <si>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</si>
  <si>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</si>
  <si>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</si>
  <si>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</si>
  <si>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</si>
  <si>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</si>
  <si>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</si>
  <si>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</si>
  <si>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</si>
  <si>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</si>
  <si>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</si>
  <si>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</si>
  <si>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</si>
  <si>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</si>
  <si>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</si>
  <si>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</si>
  <si>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</si>
  <si>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</si>
  <si>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</si>
  <si>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</si>
  <si>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</si>
  <si>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</si>
  <si>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</si>
  <si>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</si>
  <si>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</si>
  <si>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</si>
  <si>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</si>
  <si>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</si>
  <si>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</si>
  <si>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</si>
  <si>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</si>
  <si>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</si>
  <si>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</si>
  <si>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</si>
  <si>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</si>
  <si>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</si>
  <si>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</si>
  <si>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</si>
  <si>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</si>
  <si>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</si>
  <si>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</si>
  <si>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</si>
  <si>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</si>
  <si>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</si>
  <si>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</si>
  <si>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</si>
  <si>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</si>
  <si>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</si>
  <si>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</si>
  <si>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</si>
  <si>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</si>
  <si>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</si>
  <si>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</si>
  <si>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</si>
  <si>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</si>
  <si>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</si>
  <si>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</si>
  <si>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</si>
  <si>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</si>
  <si>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</si>
  <si>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</si>
  <si>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</si>
  <si>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</si>
  <si>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</si>
  <si>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</si>
  <si>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</si>
  <si>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</si>
  <si>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</si>
  <si>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</si>
  <si>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</si>
  <si>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</si>
  <si>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</si>
  <si>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</si>
  <si>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</si>
  <si>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</si>
  <si>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</si>
  <si>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</si>
  <si>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</si>
  <si>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</si>
  <si>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</si>
  <si>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</si>
  <si>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</si>
  <si>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</si>
  <si>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</si>
  <si>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</si>
  <si>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</si>
  <si>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</si>
  <si>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</si>
  <si>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</si>
  <si>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</si>
  <si>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</si>
  <si>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</si>
  <si>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</si>
  <si>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</si>
  <si>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</si>
  <si>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</si>
  <si>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</si>
  <si>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</si>
  <si>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</si>
  <si>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</si>
  <si>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</si>
  <si>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</si>
  <si>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</si>
  <si>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</si>
  <si>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</si>
  <si>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</si>
  <si>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</si>
  <si>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</si>
  <si>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</si>
  <si>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</si>
  <si>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</si>
  <si>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</si>
  <si>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</si>
  <si>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</si>
  <si>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</si>
  <si>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</si>
  <si>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</si>
  <si>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</si>
  <si>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</si>
  <si>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</si>
  <si>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</si>
  <si>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</si>
  <si>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</si>
  <si>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</si>
  <si>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</si>
  <si>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</si>
  <si>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</si>
  <si>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</si>
  <si>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</si>
  <si>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</si>
  <si>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</si>
  <si>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</si>
  <si>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</si>
  <si>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</si>
  <si>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</si>
  <si>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</si>
  <si>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</si>
  <si>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</si>
  <si>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</si>
  <si>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</si>
  <si>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</si>
  <si>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</si>
  <si>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</si>
  <si>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</si>
  <si>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</si>
  <si>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</si>
  <si>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</si>
  <si>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</si>
  <si>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</si>
  <si>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</si>
  <si>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</si>
  <si>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</si>
  <si>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</si>
  <si>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</si>
  <si>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</si>
  <si>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</si>
  <si>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</si>
  <si>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</si>
  <si>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</si>
  <si>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</si>
  <si>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</si>
  <si>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</si>
  <si>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</si>
  <si>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</si>
  <si>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</si>
  <si>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</si>
  <si>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</si>
  <si>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</si>
  <si>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</si>
  <si>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</si>
  <si>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</si>
  <si>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</si>
  <si>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</si>
  <si>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</si>
  <si>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</si>
  <si>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</si>
  <si>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</si>
  <si>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</si>
  <si>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</si>
  <si>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</si>
  <si>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</si>
  <si>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</si>
  <si>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</si>
  <si>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</si>
  <si>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</si>
  <si>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</si>
  <si>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</si>
  <si>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</si>
  <si>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</si>
  <si>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</si>
  <si>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</si>
  <si>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</si>
  <si>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</si>
  <si>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</si>
  <si>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</si>
  <si>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</si>
  <si>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</si>
  <si>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</si>
  <si>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</si>
  <si>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</si>
  <si>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</si>
  <si>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</si>
  <si>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</si>
  <si>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</si>
  <si>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</si>
  <si>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</si>
  <si>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</si>
  <si>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</si>
  <si>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</si>
  <si>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</si>
  <si>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</si>
  <si>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</si>
  <si>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</si>
  <si>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</si>
  <si>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</si>
  <si>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</si>
  <si>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</si>
  <si>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</si>
  <si>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</si>
  <si>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</si>
  <si>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</si>
  <si>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</si>
  <si>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</si>
  <si>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</si>
  <si>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</si>
  <si>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</si>
  <si>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</si>
  <si>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</si>
  <si>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</si>
  <si>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</si>
  <si>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</si>
  <si>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</si>
  <si>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</si>
  <si>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</si>
  <si>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</si>
  <si>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</si>
  <si>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</si>
  <si>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</si>
  <si>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</si>
  <si>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</si>
  <si>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</si>
  <si>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</si>
  <si>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</si>
  <si>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</si>
  <si>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</si>
  <si>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</si>
  <si>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</si>
  <si>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</si>
  <si>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</si>
  <si>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</si>
  <si>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</si>
  <si>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</si>
  <si>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</si>
  <si>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</si>
  <si>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</si>
  <si>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</si>
  <si>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</si>
  <si>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</si>
  <si>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</si>
  <si>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</si>
  <si>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</si>
  <si>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</si>
  <si>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</si>
  <si>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</si>
  <si>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</si>
  <si>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</si>
  <si>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</si>
  <si>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</si>
  <si>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</si>
  <si>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</si>
  <si>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</si>
  <si>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</si>
  <si>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</si>
  <si>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</si>
  <si>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</si>
  <si>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</si>
  <si>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</si>
  <si>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</si>
  <si>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</si>
  <si>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</si>
  <si>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</si>
  <si>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</si>
  <si>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</si>
  <si>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</si>
  <si>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</si>
  <si>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</si>
  <si>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</si>
  <si>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</si>
  <si>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</si>
  <si>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</si>
  <si>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</si>
  <si>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</si>
  <si>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</si>
  <si>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</si>
  <si>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</si>
  <si>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</si>
  <si>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</si>
  <si>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</si>
  <si>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</si>
  <si>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</si>
  <si>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</si>
  <si>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</si>
  <si>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</si>
  <si>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</si>
  <si>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</si>
  <si>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</si>
  <si>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</si>
  <si>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</si>
  <si>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</si>
  <si>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</si>
  <si>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</si>
  <si>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</si>
  <si>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</si>
  <si>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</si>
  <si>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</si>
  <si>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</si>
  <si>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</si>
  <si>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</si>
  <si>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</si>
  <si>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</si>
  <si>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</si>
  <si>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</si>
  <si>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</si>
  <si>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</si>
  <si>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</si>
  <si>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</si>
  <si>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</si>
  <si>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</si>
  <si>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</si>
  <si>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</si>
  <si>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</si>
  <si>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</si>
  <si>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</si>
  <si>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</si>
  <si>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</si>
  <si>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</si>
  <si>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</si>
  <si>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</si>
  <si>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</si>
  <si>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</si>
  <si>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</si>
  <si>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</si>
  <si>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</si>
  <si>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</si>
  <si>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</si>
  <si>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</si>
  <si>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</si>
  <si>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</si>
  <si>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</si>
  <si>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</si>
  <si>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</si>
  <si>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</si>
  <si>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</si>
  <si>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</si>
  <si>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</si>
  <si>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</si>
  <si>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</si>
  <si>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</si>
  <si>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</si>
  <si>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</si>
  <si>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</si>
  <si>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</si>
  <si>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</si>
  <si>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</si>
  <si>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</si>
  <si>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</si>
  <si>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</si>
  <si>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</si>
  <si>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</si>
  <si>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</si>
  <si>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</si>
  <si>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</si>
  <si>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</si>
  <si>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</si>
  <si>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</si>
  <si>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</si>
  <si>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</si>
  <si>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</si>
  <si>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</si>
  <si>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</si>
  <si>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</si>
  <si>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</si>
  <si>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</si>
  <si>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</si>
  <si>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</si>
  <si>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</si>
  <si>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</si>
  <si>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</si>
  <si>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</si>
  <si>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</si>
  <si>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</si>
  <si>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</si>
  <si>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</si>
  <si>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</si>
  <si>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</si>
  <si>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</si>
  <si>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</si>
  <si>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</si>
  <si>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</si>
  <si>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</si>
  <si>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</si>
  <si>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</si>
  <si>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</si>
  <si>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</si>
  <si>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</si>
  <si>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</si>
  <si>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</si>
  <si>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</si>
  <si>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</si>
  <si>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</si>
  <si>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</si>
  <si>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</si>
  <si>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</si>
  <si>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</si>
  <si>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</si>
  <si>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</si>
  <si>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</si>
  <si>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</si>
  <si>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</si>
  <si>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</si>
  <si>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</si>
  <si>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</si>
  <si>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</si>
  <si>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</si>
  <si>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</si>
  <si>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</si>
  <si>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</si>
  <si>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</si>
  <si>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</si>
  <si>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</si>
  <si>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</si>
  <si>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</si>
  <si>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</si>
  <si>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</si>
  <si>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</si>
  <si>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</si>
  <si>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</si>
  <si>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</si>
  <si>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</si>
  <si>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</si>
  <si>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</si>
  <si>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</si>
  <si>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</si>
  <si>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</si>
  <si>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</si>
  <si>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</si>
  <si>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</si>
  <si>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</si>
  <si>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</si>
  <si>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</si>
  <si>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</si>
  <si>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</si>
  <si>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</si>
  <si>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</si>
  <si>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</si>
  <si>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</si>
  <si>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</si>
  <si>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</si>
  <si>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</si>
  <si>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</si>
  <si>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</si>
  <si>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</si>
  <si>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</si>
  <si>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</si>
  <si>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</si>
  <si>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</si>
  <si>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</si>
  <si>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</si>
  <si>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</si>
  <si>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</si>
  <si>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</si>
  <si>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</si>
  <si>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</si>
  <si>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</si>
  <si>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</si>
  <si>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</si>
  <si>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</si>
  <si>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</si>
  <si>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</si>
  <si>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</si>
  <si>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</si>
  <si>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</si>
  <si>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</si>
  <si>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</si>
  <si>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</si>
  <si>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</si>
  <si>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</si>
  <si>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</si>
  <si>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</si>
  <si>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</si>
  <si>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</si>
  <si>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</si>
  <si>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</si>
  <si>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</si>
  <si>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</si>
  <si>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</si>
  <si>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</si>
  <si>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</si>
  <si>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</si>
  <si>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</si>
  <si>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</si>
  <si>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</si>
  <si>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</si>
  <si>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</si>
  <si>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</si>
  <si>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</si>
  <si>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</si>
  <si>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</si>
  <si>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</si>
  <si>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</si>
  <si>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</si>
  <si>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</si>
  <si>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</si>
  <si>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</si>
  <si>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</si>
  <si>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</si>
  <si>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</si>
  <si>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</si>
  <si>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</si>
  <si>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</si>
  <si>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</si>
  <si>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</si>
  <si>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</si>
  <si>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</si>
  <si>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</si>
  <si>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</si>
  <si>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</si>
  <si>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</si>
  <si>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</si>
  <si>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</si>
  <si>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</si>
  <si>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</si>
  <si>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</si>
  <si>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</si>
  <si>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</si>
  <si>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</si>
  <si>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</si>
  <si>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</si>
  <si>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</si>
  <si>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</si>
  <si>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</si>
  <si>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</si>
  <si>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</si>
  <si>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</si>
  <si>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</si>
  <si>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</si>
  <si>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</si>
  <si>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</si>
  <si>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</si>
  <si>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</si>
  <si>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</si>
  <si>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</si>
  <si>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</si>
  <si>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</si>
  <si>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</si>
  <si>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</si>
  <si>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</si>
  <si>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</si>
  <si>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</si>
  <si>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</si>
  <si>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</si>
  <si>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</si>
  <si>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</si>
  <si>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</si>
  <si>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</si>
  <si>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</si>
  <si>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</si>
  <si>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</si>
  <si>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</si>
  <si>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</si>
  <si>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</si>
  <si>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</si>
  <si>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</si>
  <si>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</si>
  <si>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</si>
  <si>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</si>
  <si>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</si>
  <si>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</si>
  <si>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</si>
  <si>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</si>
  <si>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</si>
  <si>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</si>
  <si>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</si>
  <si>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</si>
  <si>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</si>
  <si>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</si>
  <si>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</si>
  <si>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</si>
  <si>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</si>
  <si>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</si>
  <si>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</si>
  <si>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</si>
  <si>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</si>
  <si>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</si>
  <si>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</si>
  <si>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</si>
  <si>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</si>
  <si>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</si>
  <si>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</si>
  <si>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</si>
  <si>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</si>
  <si>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</si>
  <si>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</si>
  <si>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</si>
  <si>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</si>
  <si>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</si>
  <si>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</si>
  <si>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</si>
  <si>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</si>
  <si>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</si>
  <si>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</si>
  <si>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</si>
  <si>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</si>
  <si>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</si>
  <si>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</si>
  <si>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</si>
  <si>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</si>
  <si>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</si>
  <si>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</si>
  <si>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</si>
  <si>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</si>
  <si>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</si>
  <si>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</si>
  <si>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</si>
  <si>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</si>
  <si>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</si>
  <si>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</si>
  <si>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</si>
  <si>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</si>
  <si>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</si>
  <si>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</si>
  <si>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</si>
  <si>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</si>
  <si>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</si>
  <si>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</si>
  <si>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</si>
  <si>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</si>
  <si>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</si>
  <si>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</si>
  <si>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</si>
  <si>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</si>
  <si>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</si>
  <si>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</si>
  <si>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</si>
  <si>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</si>
  <si>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</si>
  <si>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</si>
  <si>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</si>
  <si>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</si>
  <si>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</si>
  <si>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</si>
  <si>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</si>
  <si>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</si>
  <si>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</si>
  <si>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</si>
  <si>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</si>
  <si>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</si>
  <si>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</si>
  <si>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</si>
  <si>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</si>
  <si>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</si>
  <si>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</si>
  <si>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</si>
  <si>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</si>
  <si>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</si>
  <si>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</si>
  <si>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</si>
  <si>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</si>
  <si>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</si>
  <si>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</si>
  <si>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</si>
  <si>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</si>
  <si>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</si>
  <si>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</si>
  <si>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</si>
  <si>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</si>
  <si>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</si>
  <si>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</si>
  <si>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</si>
  <si>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</si>
  <si>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</si>
  <si>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</si>
  <si>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</si>
  <si>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</si>
  <si>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</si>
  <si>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</si>
  <si>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</si>
  <si>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</si>
  <si>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</si>
  <si>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</si>
  <si>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</si>
  <si>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</si>
  <si>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</si>
  <si>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</si>
  <si>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</si>
  <si>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</si>
  <si>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</si>
  <si>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</si>
  <si>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</si>
  <si>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</si>
  <si>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</si>
  <si>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</si>
  <si>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</si>
  <si>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</si>
  <si>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</si>
  <si>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</si>
  <si>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</si>
  <si>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</si>
  <si>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</si>
  <si>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</si>
  <si>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</si>
  <si>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</si>
  <si>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</si>
  <si>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</si>
  <si>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</si>
  <si>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</si>
  <si>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</si>
  <si>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</si>
  <si>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</si>
  <si>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</si>
  <si>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</si>
  <si>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</si>
  <si>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</si>
  <si>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</si>
  <si>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</si>
  <si>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</si>
  <si>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</si>
  <si>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</si>
  <si>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</si>
  <si>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</si>
  <si>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</si>
  <si>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</si>
  <si>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</si>
  <si>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</si>
  <si>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SIAS · SPS — Escalas de Ansiedade Social</t>
  </si>
  <si>
    <t xml:space="preserve">Próprio</t>
  </si>
  <si>
    <t xml:space="preserve">14–99 anos</t>
  </si>
  <si>
    <t xml:space="preserve">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t>
  </si>
  <si>
    <t xml:space="preserve">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t>
  </si>
  <si>
    <t xml:space="preserve">sias_sps</t>
  </si>
  <si>
    <t xml:space="preserve">q_sias_sps</t>
  </si>
  <si>
    <t xml:space="preserve">https://correiaricardina-ui.github.io/questionarios/SIAS_SPS_v1.html</t>
  </si>
  <si>
    <t xml:space="preserve">BAI — Inventário de Ansiedade de Beck</t>
  </si>
  <si>
    <t xml:space="preserve">Próprio, Mãe, Pai</t>
  </si>
  <si>
    <t xml:space="preserve">13–99 anos</t>
  </si>
  <si>
    <t xml:space="preserve">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t>
  </si>
  <si>
    <t xml:space="preserve">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t>
  </si>
  <si>
    <t xml:space="preserve">bai</t>
  </si>
  <si>
    <t xml:space="preserve">q_bai</t>
  </si>
  <si>
    <t xml:space="preserve">https://correiaricardina-ui.github.io/questionarios/BAI_v1.html</t>
  </si>
  <si>
    <t xml:space="preserve">BDI-II — Inventário de Depressão de Beck II</t>
  </si>
  <si>
    <t xml:space="preserve">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t>
  </si>
  <si>
    <t xml:space="preserve">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t>
  </si>
  <si>
    <t xml:space="preserve">bdi2</t>
  </si>
  <si>
    <t xml:space="preserve">q_bdi2</t>
  </si>
  <si>
    <t xml:space="preserve">https://correiaricardina-ui.github.io/questionarios/BDI2_v1.html</t>
  </si>
  <si>
    <t xml:space="preserve">PSWQ — Questionário de Preocupação do Estado da Pensilvânia</t>
  </si>
  <si>
    <t xml:space="preserve">18–99 anos</t>
  </si>
  <si>
    <t xml:space="preserve">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t>
  </si>
  <si>
    <t xml:space="preserve">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t>
  </si>
  <si>
    <t xml:space="preserve">pswq</t>
  </si>
  <si>
    <t xml:space="preserve">q_pswq</t>
  </si>
  <si>
    <t xml:space="preserve">https://correiaricardina-ui.github.io/questionarios/PSWQ_v1.html</t>
  </si>
  <si>
    <t xml:space="preserve">BRIEF-A — Autorrelato</t>
  </si>
  <si>
    <t xml:space="preserve">18–90 anos</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</si>
  <si>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t>
  </si>
  <si>
    <t xml:space="preserve">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t>
  </si>
  <si>
    <t xml:space="preserve">brief_a_auto</t>
  </si>
  <si>
    <t xml:space="preserve">q_brief_a_auto</t>
  </si>
  <si>
    <t xml:space="preserve">https://correiaricardina-ui.github.io/questionarios/BRIEF_A_Autorrelato_v1.html</t>
  </si>
  <si>
    <t xml:space="preserve">BRIEF-A — Informante</t>
  </si>
  <si>
    <t xml:space="preserve">Mãe, Pai, Outro</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</si>
  <si>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t>
  </si>
  <si>
    <t xml:space="preserve">brief_a_inf</t>
  </si>
  <si>
    <t xml:space="preserve">q_brief_a_inf</t>
  </si>
  <si>
    <t xml:space="preserve">https://correiaricardina-ui.github.io/questionarios/BRIEF_A_Informante_v1.html</t>
  </si>
  <si>
    <t xml:space="preserve">ESS — Escala de Sonolência de Epworth</t>
  </si>
  <si>
    <t xml:space="preserve">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t>
  </si>
  <si>
    <t xml:space="preserve">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t>
  </si>
  <si>
    <t xml:space="preserve">ess</t>
  </si>
  <si>
    <t xml:space="preserve">q_ess</t>
  </si>
  <si>
    <t xml:space="preserve">https://correiaricardina-ui.github.io/questionarios/ESS_Epworth_v1.html</t>
  </si>
  <si>
    <t xml:space="preserve">STOP-BANG — Rastreio de Risco de Apneia Obstrutiva do Sono</t>
  </si>
  <si>
    <t xml:space="preserve">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t>
  </si>
  <si>
    <t xml:space="preserve">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t>
  </si>
  <si>
    <t xml:space="preserve">stopbang</t>
  </si>
  <si>
    <t xml:space="preserve">q_stopbang</t>
  </si>
  <si>
    <t xml:space="preserve">https://correiaricardina-ui.github.io/questionarios/STOPBANG_v1.html</t>
  </si>
  <si>
    <t xml:space="preserve">EII-27 · Forma A — Escala de Intolerância à Incerteza (versão longa, adultos)</t>
  </si>
  <si>
    <t xml:space="preserve">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t>
  </si>
  <si>
    <t xml:space="preserve">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t>
  </si>
  <si>
    <t xml:space="preserve">eii27_a</t>
  </si>
  <si>
    <t xml:space="preserve">q_eii27_a</t>
  </si>
  <si>
    <t xml:space="preserve">https://correiaricardina-ui.github.io/questionarios/EII27_A_v1.html</t>
  </si>
  <si>
    <t xml:space="preserve">EII-27 · Forma J — Escala de Intolerância à Incerteza (versão longa, adolescentes)</t>
  </si>
  <si>
    <t xml:space="preserve">12–17 anos</t>
  </si>
  <si>
    <t xml:space="preserve">eii27_j</t>
  </si>
  <si>
    <t xml:space="preserve">q_eii27_j</t>
  </si>
  <si>
    <t xml:space="preserve">https://correiaricardina-ui.github.io/questionarios/EII27_J_v1.html</t>
  </si>
  <si>
    <t xml:space="preserve">EII-12 · Forma A — Escala de Intolerância à Incerteza (versão curta, adultos)</t>
  </si>
  <si>
    <t xml:space="preserve">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t>
  </si>
  <si>
    <t xml:space="preserve">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t>
  </si>
  <si>
    <t xml:space="preserve">eii12_a</t>
  </si>
  <si>
    <t xml:space="preserve">q_eii12_a</t>
  </si>
  <si>
    <t xml:space="preserve">https://correiaricardina-ui.github.io/questionarios/EII12_A_v1.html</t>
  </si>
  <si>
    <t xml:space="preserve">EII-12 · Forma J — Escala de Intolerância à Incerteza (versão curta, adolescentes)</t>
  </si>
  <si>
    <t xml:space="preserve">eii12_j</t>
  </si>
  <si>
    <t xml:space="preserve">q_eii12_j</t>
  </si>
  <si>
    <t xml:space="preserve">https://correiaricardina-ui.github.io/questionarios/EII12_J_v1.html</t>
  </si>
  <si>
    <t xml:space="preserve">CAARS–S:L — Conners’ Adult ADHD Rating Scales (forma longa, auto-relato)</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</si>
  <si>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t>
  </si>
  <si>
    <t xml:space="preserve">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t>
  </si>
  <si>
    <t xml:space="preserve">caars_sl</t>
  </si>
  <si>
    <t xml:space="preserve">q_caars_sl</t>
  </si>
  <si>
    <t xml:space="preserve">https://correiaricardina-ui.github.io/questionarios/CAARS_SL_v1.html</t>
  </si>
  <si>
    <t xml:space="preserve">CAARS–O:L — Conners’ Adult ADHD Rating Scales (forma longa, heterorrelato)</t>
  </si>
  <si>
    <t xml:space="preserve">Cônjuge/Parceiro(a), Familiar, Mãe, Pai, Outro familiar</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</si>
  <si>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t>
  </si>
  <si>
    <t xml:space="preserve">caars_ol</t>
  </si>
  <si>
    <t xml:space="preserve">q_caars_ol</t>
  </si>
  <si>
    <t xml:space="preserve">https://correiaricardina-ui.github.io/questionarios/CAARS_OL_v1.html</t>
  </si>
  <si>
    <t xml:space="preserve">EIFP — Escala de Interferência Funcional Pediátrica (Formas C e P)</t>
  </si>
  <si>
    <t xml:space="preserve">Funcionamento &amp; Interferência Funcional</t>
  </si>
  <si>
    <t xml:space="preserve">Criança/Jovem,Mãe,Pai,Enc. Educação</t>
  </si>
  <si>
    <t xml:space="preserve">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t>
  </si>
  <si>
    <t xml:space="preserve">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t>
  </si>
  <si>
    <t xml:space="preserve">eifp</t>
  </si>
  <si>
    <t xml:space="preserve">q_eifp</t>
  </si>
  <si>
    <t xml:space="preserve">https://correiaricardina-ui.github.io/questionarios/EIFP_v1.html</t>
  </si>
  <si>
    <t xml:space="preserve">EIFA — Escala de Interferência Funcional em Adultos (Formas A e S)</t>
  </si>
  <si>
    <t xml:space="preserve">Próprio,Companheiro(a),Familiar</t>
  </si>
  <si>
    <t xml:space="preserve">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t>
  </si>
  <si>
    <t xml:space="preserve">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t>
  </si>
  <si>
    <t xml:space="preserve">eifa</t>
  </si>
  <si>
    <t xml:space="preserve">q_eifa</t>
  </si>
  <si>
    <t xml:space="preserve">https://correiaricardina-ui.github.io/questionarios/EIFA_v1.html</t>
  </si>
  <si>
    <t xml:space="preserve">EIFJ — Escala de Interferência Funcional em Comportamentos de Jogo (Formas J e S)</t>
  </si>
  <si>
    <t xml:space="preserve">Comportamentos Aditivos</t>
  </si>
  <si>
    <t xml:space="preserve">12–99 anos</t>
  </si>
  <si>
    <t xml:space="preserve">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t>
  </si>
  <si>
    <t xml:space="preserve">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t>
  </si>
  <si>
    <t xml:space="preserve">eifj</t>
  </si>
  <si>
    <t xml:space="preserve">q_eifj</t>
  </si>
  <si>
    <t xml:space="preserve">https://correiaricardina-ui.github.io/questionarios/EIFJ_v1.html</t>
  </si>
  <si>
    <t xml:space="preserve">GRET-RC — Grelha de Resposta ao Erro e à Tarefa</t>
  </si>
  <si>
    <t xml:space="preserve">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t>
  </si>
  <si>
    <t xml:space="preserve">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t>
  </si>
  <si>
    <t xml:space="preserve">gret_rc</t>
  </si>
  <si>
    <t xml:space="preserve">q_gret_rc</t>
  </si>
  <si>
    <t xml:space="preserve">https://correiaricardina-ui.github.io/questionarios/GRET_RC_v1.html</t>
  </si>
  <si>
    <t xml:space="preserve">AASP — Perfil Sensorial Adolescente e Adulto</t>
  </si>
  <si>
    <t xml:space="preserve">Próprio, Criança/Jovem</t>
  </si>
  <si>
    <t xml:space="preserve">11–99 anos</t>
  </si>
  <si>
    <t xml:space="preserve">Caracteriza o PADRÃO DE PROCESSAMENTO SENSORIAL segundo o modelo de Dunn (limiar neurológico × estratégia de autorregulação), através do Adolescent/Adult Sensory Profile (Brown &amp; Dunn, 2002; Pearson/PsychCorp). Autorrelato de 60 itens numa escala 1–5 (1 Quase nunca ≈ 5% das vezes → 5 Quase sempre ≈ 85% ou mais), TODOS no sentido directo — não existe um único item invertido. Cada item pode ainda ser marcado NA quando não houve oportunidade de experimentar a situação. Devolve quatro totais brutos de quadrante (amplitude 15–75 cada) e seis totais de secção sensorial. ⚠ A classificação é DESCRITIVA e não uma medida de gravidade: situa o total de cada quadrante face à distribuição do grupo normativo em cinco posições — −− muito menos · − menos · = semelhante · + mais · ++ muito mais que a maioria das pessoas. Por isso o painel usa PALETA AZUL: verde/laranja/vermelho comunicariam uma gravidade que o instrumento não mede. ⚠ LEITURA CONTRA-INTUITIVA do quadrante Baixo Registo: −− ou − significam MENOS comportamentos de baixo registo, isto é MAIOR detecção de estímulos — não um défice. A direcção clínica de cada quadrante lê-se à luz do modelo de Dunn, nunca por analogia com escalas de sintomas. ⚠ NÃO existem normas portuguesas de validação: os pontos de corte são os do quadro normativo ORIGINAL (amostra norte-americana), aplicados por faixa etária — 11–17, 18–64 e 65 ou mais anos. Abaixo dos 11 anos o instrumento não é aplicável (considerar o Perfil Sensorial 2, versão criança) e a classificação fica suspensa. ⚠ REGRA DE OMISSÕES: 0 NA num quadrante → soma directa; 1 a 2 NA → total prorrateado [(soma dos respondidos ÷ n.º de respondidos) × 15], arredondado à unidade e assinalado como ESTIMATIVA, com a classificação a ser lida com reserva; 3 ou mais NA → quadrante NÃO COTÁVEL, sem classificação. O prorrateamento é uma opção operacional desta plataforma e NÃO consta do manual original. Item por responder é distinto de NA e impede a cotação do quadrante. ⚠ As seis secções sensoriais (A a F) NÃO têm quadro normativo publicado em nenhuma das fontes disponíveis: os seus totais e médias por item servem apenas para localizar, de forma descritiva, os domínios com maior densidade de respostas. ⚠ Instrumento comercial protegido por direitos de autor: a administração deve fazer-se com o protocolo licenciado adoptado pelo serviço. ⚠ Contraparte adolescente/adulta do Perfil Sensorial 2 (PS2), já catalogado — daí a mesma área clínica. ⚠ Cotação validada contra o livro de cotação de referência (0 divergências em 22 casos) e pontos de corte verificados exaustivamente nas 732 combinações faixa × quadrante × total (0 erros).</t>
  </si>
  <si>
    <t xml:space="preserve">Quadrante 1 — Baixo Registo (15 itens, total 15–75): limiar neurológico alto com estratégia passiva; a pessoa deteta menos estímulos do que a maioria e pode requerer maior intensidade ou saliência para responder | Quadrante 2 — Procura de Sensação (15 itens, 15–75): limiar alto com estratégia activa; a pessoa cria ou procura activamente estimulação sensorial adicional nas suas rotinas | Quadrante 3 — Sensibilidade Sensorial (15 itens, 15–75): limiar baixo com estratégia passiva; a pessoa deteta e reage a estímulos de baixa intensidade que outros filtram, com maior distratibilidade ou desconforto | Quadrante 4 — Evitamento Sensorial (15 itens, 15–75): limiar baixo com estratégia activa; a pessoa restringe ou controla activamente a exposição sensorial | Classificação normativa por quadrante — cinco posições descritivas (−− · − · = · + · ++) face à faixa etária aplicável; posição face à maioria das pessoas, NUNCA medida de gravidade | Faixa normativa aplicada — 11–17, 18–64 ou 65+ anos, determinada automaticamente pela idade; abaixo dos 11 anos a classificação fica suspensa por o instrumento estar fora de âmbito | Estado de cotação por quadrante — Completo · Prorrateado (estimativa, 1 a 2 NA) · Não cotável (3 ou mais NA) · Incompleto (item por responder); é um resultado de validade e condiciona toda a leitura do quadrante | Secção A — Processamento olfativo/gustativo (8 itens): soma e média por item, leitura estritamente descritiva | Secção B — Processamento do movimento (8 itens): soma e média por item, leitura estritamente descritiva | Secção C — Processamento visual (10 itens): soma e média por item, leitura estritamente descritiva | Secção D — Processamento tátil (13 itens): soma e média por item, leitura estritamente descritiva | Secção E — Nível de atividade (10 itens): soma e média por item, leitura estritamente descritiva | Secção F — Processamento auditivo (11 itens): soma e média por item, leitura estritamente descritiva | Distribuição do perfil pelos quatro quadrantes — quantos se afastam do intervalo esperado, em que direcção, e quais se mantêm semelhantes à maioria; é a leitura primária do instrumento | Registo de omissões (NA) — total de itens sem oportunidade de observação, com sinalização automática dos quadrantes prorrateados e dos não cotáveis</t>
  </si>
  <si>
    <t xml:space="preserve">aasp</t>
  </si>
  <si>
    <t xml:space="preserve">q_aasp</t>
  </si>
  <si>
    <t xml:space="preserve">https://correiaricardina-ui.github.io/questionarios/AASP_v1.html</t>
  </si>
  <si>
    <t xml:space="preserve">Resumo por Área Clínica (recalcula automaticamente)</t>
  </si>
  <si>
    <t xml:space="preserve">Nº de instrumentos</t>
  </si>
  <si>
    <t xml:space="preserve">% do total</t>
  </si>
  <si>
    <t xml:space="preserve">TOTAL CATALOGADO</t>
  </si>
  <si>
    <t xml:space="preserve">Soma por área = total catalogado?</t>
  </si>
  <si>
    <t xml:space="preserve">Áreas fora do vocabulário canónico</t>
  </si>
  <si>
    <t xml:space="preserve">Vista automática da folha «Catálogo». Não editar aqui: acrescente ou altere sempre na folha «Catálogo» e esta atualiza-se sozinha.</t>
  </si>
  <si>
    <t xml:space="preserve">Índice interno — não editar. Chave: área|nº de ocorrência dentro da área.</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</si>
  <si>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</si>
  <si>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</si>
  <si>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</si>
  <si>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</si>
  <si>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</si>
  <si>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</si>
  <si>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</si>
  <si>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</si>
  <si>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</si>
  <si>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</si>
  <si>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</si>
  <si>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</si>
  <si>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</si>
  <si>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</si>
  <si>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</si>
  <si>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</si>
  <si>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</si>
  <si>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</si>
  <si>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</si>
  <si>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</si>
  <si>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</si>
  <si>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</si>
  <si>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</si>
  <si>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</si>
  <si>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</si>
  <si>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</si>
  <si>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</si>
  <si>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</si>
  <si>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</si>
  <si>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</si>
  <si>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</si>
  <si>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</si>
  <si>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</si>
  <si>
    <t xml:space="preserve">Folhas por área:</t>
  </si>
  <si>
    <t xml:space="preserve">As 18 folhas de área são VISTAS automáticas da folha «Catálogo» — não são cópias. Edite sempre na folha «Catálogo»; as folhas de área atualizam-se sozinhas ao abrir. Cada folha avisa em I2 se a área passar a ter mais instrumentos do que linhas disponíveis. A folha «Índice» é interna e está oculta.</t>
  </si>
</sst>
</file>

<file path=xl/styles.xml><?xml version="1.0" encoding="utf-8"?>
<styleSheet xmlns="http://schemas.openxmlformats.org/spreadsheetml/2006/main">
  <numFmts count="3">
    <numFmt numFmtId="164" formatCode="General"/>
    <numFmt numFmtId="165" formatCode="General"/>
    <numFmt numFmtId="166" formatCode="0.0%"/>
  </numFmts>
  <fonts count="19">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2"/>
      <color rgb="FF3B5A7A"/>
      <name val="Arial"/>
      <family val="0"/>
      <charset val="1"/>
    </font>
    <font>
      <sz val="10"/>
      <color rgb="FF5A6A7A"/>
      <name val="Arial"/>
      <family val="0"/>
      <charset val="1"/>
    </font>
    <font>
      <i val="true"/>
      <sz val="9"/>
      <color rgb="FF8B9CB0"/>
      <name val="Arial"/>
      <family val="0"/>
      <charset val="1"/>
    </font>
    <font>
      <b val="true"/>
      <sz val="9"/>
      <name val="Arial"/>
      <family val="0"/>
      <charset val="1"/>
    </font>
    <font>
      <i val="true"/>
      <sz val="9"/>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A7A"/>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5A6A7A"/>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8B9CB0"/>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Catalogo" displayName="Catalogo" ref="A3:M199" headerRowCount="1" totalsRowCount="0" totalsRowShown="0">
  <autoFilter ref="A3:M199"/>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115</v>
      </c>
      <c r="D26" s="6" t="s">
        <v>171</v>
      </c>
      <c r="E26" s="6" t="s">
        <v>172</v>
      </c>
      <c r="F26" s="5" t="n">
        <v>0.7</v>
      </c>
      <c r="G26" s="5" t="n">
        <v>1.5</v>
      </c>
      <c r="H26" s="5" t="n">
        <v>4</v>
      </c>
      <c r="I26" s="6" t="s">
        <v>173</v>
      </c>
      <c r="J26" s="6" t="s">
        <v>174</v>
      </c>
      <c r="K26" s="6" t="s">
        <v>175</v>
      </c>
      <c r="L26" s="6" t="s">
        <v>176</v>
      </c>
      <c r="M26" s="7" t="s">
        <v>177</v>
      </c>
    </row>
    <row r="27" customFormat="false" ht="42" hidden="false" customHeight="true" outlineLevel="0" collapsed="false">
      <c r="A27" s="5" t="n">
        <f aca="false">ROW()-3</f>
        <v>24</v>
      </c>
      <c r="B27" s="6" t="s">
        <v>178</v>
      </c>
      <c r="C27" s="6" t="s">
        <v>115</v>
      </c>
      <c r="D27" s="6" t="s">
        <v>33</v>
      </c>
      <c r="E27" s="6" t="s">
        <v>179</v>
      </c>
      <c r="F27" s="5" t="n">
        <v>0.3</v>
      </c>
      <c r="G27" s="5" t="n">
        <v>1.5</v>
      </c>
      <c r="H27" s="5" t="n">
        <v>4</v>
      </c>
      <c r="I27" s="6" t="s">
        <v>180</v>
      </c>
      <c r="J27" s="6" t="s">
        <v>174</v>
      </c>
      <c r="K27" s="6" t="s">
        <v>181</v>
      </c>
      <c r="L27" s="6" t="s">
        <v>182</v>
      </c>
      <c r="M27" s="7" t="s">
        <v>183</v>
      </c>
    </row>
    <row r="28" customFormat="false" ht="42" hidden="false" customHeight="true" outlineLevel="0" collapsed="false">
      <c r="A28" s="5" t="n">
        <f aca="false">ROW()-3</f>
        <v>25</v>
      </c>
      <c r="B28" s="6" t="s">
        <v>184</v>
      </c>
      <c r="C28" s="6" t="s">
        <v>16</v>
      </c>
      <c r="D28" s="6" t="s">
        <v>185</v>
      </c>
      <c r="E28" s="6" t="s">
        <v>186</v>
      </c>
      <c r="F28" s="5" t="n">
        <v>6</v>
      </c>
      <c r="G28" s="5" t="n">
        <v>100</v>
      </c>
      <c r="H28" s="5" t="n">
        <v>15</v>
      </c>
      <c r="I28" s="6" t="s">
        <v>187</v>
      </c>
      <c r="J28" s="6" t="s">
        <v>188</v>
      </c>
      <c r="K28" s="6" t="s">
        <v>189</v>
      </c>
      <c r="L28" s="6" t="s">
        <v>190</v>
      </c>
      <c r="M28" s="7" t="s">
        <v>191</v>
      </c>
    </row>
    <row r="29" customFormat="false" ht="42" hidden="false" customHeight="true" outlineLevel="0" collapsed="false">
      <c r="A29" s="5" t="n">
        <f aca="false">ROW()-3</f>
        <v>26</v>
      </c>
      <c r="B29" s="6" t="s">
        <v>192</v>
      </c>
      <c r="C29" s="6" t="s">
        <v>16</v>
      </c>
      <c r="D29" s="6" t="s">
        <v>193</v>
      </c>
      <c r="E29" s="6" t="s">
        <v>194</v>
      </c>
      <c r="F29" s="5" t="n">
        <v>0</v>
      </c>
      <c r="G29" s="5" t="n">
        <v>100</v>
      </c>
      <c r="H29" s="5" t="n">
        <v>15</v>
      </c>
      <c r="I29" s="6" t="s">
        <v>195</v>
      </c>
      <c r="J29" s="6" t="s">
        <v>196</v>
      </c>
      <c r="K29" s="6" t="s">
        <v>197</v>
      </c>
      <c r="L29" s="6" t="s">
        <v>198</v>
      </c>
      <c r="M29" s="7" t="s">
        <v>199</v>
      </c>
    </row>
    <row r="30" customFormat="false" ht="42" hidden="false" customHeight="true" outlineLevel="0" collapsed="false">
      <c r="A30" s="5" t="n">
        <f aca="false">ROW()-3</f>
        <v>27</v>
      </c>
      <c r="B30" s="6" t="s">
        <v>200</v>
      </c>
      <c r="C30" s="6" t="s">
        <v>16</v>
      </c>
      <c r="D30" s="6" t="s">
        <v>185</v>
      </c>
      <c r="E30" s="6" t="s">
        <v>201</v>
      </c>
      <c r="F30" s="5" t="n">
        <v>0</v>
      </c>
      <c r="G30" s="5" t="n">
        <v>100</v>
      </c>
      <c r="H30" s="5" t="n">
        <v>15</v>
      </c>
      <c r="I30" s="6" t="s">
        <v>202</v>
      </c>
      <c r="J30" s="6" t="s">
        <v>203</v>
      </c>
      <c r="K30" s="6" t="s">
        <v>204</v>
      </c>
      <c r="L30" s="6" t="s">
        <v>205</v>
      </c>
      <c r="M30" s="7" t="s">
        <v>206</v>
      </c>
    </row>
    <row r="31" customFormat="false" ht="42" hidden="false" customHeight="true" outlineLevel="0" collapsed="false">
      <c r="A31" s="5" t="n">
        <f aca="false">ROW()-3</f>
        <v>28</v>
      </c>
      <c r="B31" s="6" t="s">
        <v>207</v>
      </c>
      <c r="C31" s="6" t="s">
        <v>208</v>
      </c>
      <c r="D31" s="6" t="s">
        <v>209</v>
      </c>
      <c r="E31" s="6" t="s">
        <v>210</v>
      </c>
      <c r="F31" s="5" t="n">
        <v>6</v>
      </c>
      <c r="G31" s="5" t="n">
        <v>99</v>
      </c>
      <c r="H31" s="5" t="n">
        <v>4</v>
      </c>
      <c r="I31" s="6" t="s">
        <v>211</v>
      </c>
      <c r="J31" s="6" t="s">
        <v>212</v>
      </c>
      <c r="K31" s="6" t="s">
        <v>213</v>
      </c>
      <c r="L31" s="6" t="s">
        <v>214</v>
      </c>
      <c r="M31" s="7" t="s">
        <v>215</v>
      </c>
    </row>
    <row r="32" customFormat="false" ht="42" hidden="false" customHeight="true" outlineLevel="0" collapsed="false">
      <c r="A32" s="5" t="n">
        <f aca="false">ROW()-3</f>
        <v>29</v>
      </c>
      <c r="B32" s="6" t="s">
        <v>216</v>
      </c>
      <c r="C32" s="6" t="s">
        <v>217</v>
      </c>
      <c r="D32" s="6" t="s">
        <v>17</v>
      </c>
      <c r="E32" s="6" t="s">
        <v>218</v>
      </c>
      <c r="F32" s="5" t="n">
        <v>7</v>
      </c>
      <c r="G32" s="5" t="n">
        <v>17.9</v>
      </c>
      <c r="H32" s="5" t="n">
        <v>7</v>
      </c>
      <c r="I32" s="6" t="s">
        <v>219</v>
      </c>
      <c r="J32" s="6" t="s">
        <v>220</v>
      </c>
      <c r="K32" s="6" t="s">
        <v>221</v>
      </c>
      <c r="L32" s="6" t="s">
        <v>222</v>
      </c>
      <c r="M32" s="7" t="s">
        <v>223</v>
      </c>
    </row>
    <row r="33" customFormat="false" ht="42" hidden="false" customHeight="true" outlineLevel="0" collapsed="false">
      <c r="A33" s="5" t="n">
        <f aca="false">ROW()-3</f>
        <v>30</v>
      </c>
      <c r="B33" s="6" t="s">
        <v>224</v>
      </c>
      <c r="C33" s="6" t="s">
        <v>208</v>
      </c>
      <c r="D33" s="6" t="s">
        <v>17</v>
      </c>
      <c r="E33" s="6" t="s">
        <v>164</v>
      </c>
      <c r="F33" s="5" t="n">
        <v>13</v>
      </c>
      <c r="G33" s="5" t="n">
        <v>99</v>
      </c>
      <c r="H33" s="5" t="n">
        <v>10</v>
      </c>
      <c r="I33" s="6" t="s">
        <v>225</v>
      </c>
      <c r="J33" s="6" t="s">
        <v>226</v>
      </c>
      <c r="K33" s="6" t="s">
        <v>227</v>
      </c>
      <c r="L33" s="6" t="s">
        <v>228</v>
      </c>
      <c r="M33" s="7" t="s">
        <v>229</v>
      </c>
    </row>
    <row r="34" customFormat="false" ht="42" hidden="false" customHeight="true" outlineLevel="0" collapsed="false">
      <c r="A34" s="5" t="n">
        <f aca="false">ROW()-3</f>
        <v>31</v>
      </c>
      <c r="B34" s="6" t="s">
        <v>230</v>
      </c>
      <c r="C34" s="6" t="s">
        <v>208</v>
      </c>
      <c r="D34" s="6" t="s">
        <v>17</v>
      </c>
      <c r="E34" s="6" t="s">
        <v>231</v>
      </c>
      <c r="F34" s="5" t="n">
        <v>12</v>
      </c>
      <c r="G34" s="5" t="n">
        <v>99</v>
      </c>
      <c r="H34" s="5" t="n">
        <v>11</v>
      </c>
      <c r="I34" s="6" t="s">
        <v>232</v>
      </c>
      <c r="J34" s="6" t="s">
        <v>233</v>
      </c>
      <c r="K34" s="6" t="s">
        <v>234</v>
      </c>
      <c r="L34" s="6" t="s">
        <v>235</v>
      </c>
      <c r="M34" s="7" t="s">
        <v>236</v>
      </c>
    </row>
    <row r="35" customFormat="false" ht="42" hidden="false" customHeight="true" outlineLevel="0" collapsed="false">
      <c r="A35" s="5" t="n">
        <f aca="false">ROW()-3</f>
        <v>32</v>
      </c>
      <c r="B35" s="6" t="s">
        <v>237</v>
      </c>
      <c r="C35" s="6" t="s">
        <v>208</v>
      </c>
      <c r="D35" s="6" t="s">
        <v>17</v>
      </c>
      <c r="E35" s="6" t="s">
        <v>238</v>
      </c>
      <c r="F35" s="5" t="n">
        <v>9</v>
      </c>
      <c r="G35" s="5" t="n">
        <v>11.9</v>
      </c>
      <c r="H35" s="5" t="n">
        <v>11</v>
      </c>
      <c r="I35" s="6" t="s">
        <v>239</v>
      </c>
      <c r="J35" s="6" t="s">
        <v>233</v>
      </c>
      <c r="K35" s="6" t="s">
        <v>240</v>
      </c>
      <c r="L35" s="6" t="s">
        <v>241</v>
      </c>
      <c r="M35" s="7" t="s">
        <v>242</v>
      </c>
    </row>
    <row r="36" customFormat="false" ht="42" hidden="false" customHeight="true" outlineLevel="0" collapsed="false">
      <c r="A36" s="5" t="n">
        <f aca="false">ROW()-3</f>
        <v>33</v>
      </c>
      <c r="B36" s="6" t="s">
        <v>243</v>
      </c>
      <c r="C36" s="6" t="s">
        <v>122</v>
      </c>
      <c r="D36" s="6" t="s">
        <v>17</v>
      </c>
      <c r="E36" s="6" t="s">
        <v>244</v>
      </c>
      <c r="F36" s="5" t="n">
        <v>8</v>
      </c>
      <c r="G36" s="5" t="n">
        <v>12.9</v>
      </c>
      <c r="H36" s="5" t="n">
        <v>4</v>
      </c>
      <c r="I36" s="6" t="s">
        <v>245</v>
      </c>
      <c r="J36" s="6" t="s">
        <v>246</v>
      </c>
      <c r="K36" s="6" t="s">
        <v>247</v>
      </c>
      <c r="L36" s="6" t="s">
        <v>248</v>
      </c>
      <c r="M36" s="7" t="s">
        <v>249</v>
      </c>
    </row>
    <row r="37" customFormat="false" ht="42" hidden="false" customHeight="true" outlineLevel="0" collapsed="false">
      <c r="A37" s="5" t="n">
        <f aca="false">ROW()-3</f>
        <v>34</v>
      </c>
      <c r="B37" s="6" t="s">
        <v>250</v>
      </c>
      <c r="C37" s="6" t="s">
        <v>131</v>
      </c>
      <c r="D37" s="6" t="s">
        <v>33</v>
      </c>
      <c r="E37" s="6" t="s">
        <v>65</v>
      </c>
      <c r="F37" s="5" t="n">
        <v>0</v>
      </c>
      <c r="G37" s="5" t="n">
        <v>99</v>
      </c>
      <c r="H37" s="5" t="n">
        <v>6</v>
      </c>
      <c r="I37" s="6" t="s">
        <v>251</v>
      </c>
      <c r="J37" s="6" t="s">
        <v>252</v>
      </c>
      <c r="K37" s="6" t="s">
        <v>253</v>
      </c>
      <c r="L37" s="6" t="s">
        <v>254</v>
      </c>
      <c r="M37" s="7" t="s">
        <v>255</v>
      </c>
    </row>
    <row r="38" customFormat="false" ht="42" hidden="false" customHeight="true" outlineLevel="0" collapsed="false">
      <c r="A38" s="5" t="n">
        <f aca="false">ROW()-3</f>
        <v>35</v>
      </c>
      <c r="B38" s="6" t="s">
        <v>256</v>
      </c>
      <c r="C38" s="6" t="s">
        <v>131</v>
      </c>
      <c r="D38" s="6" t="s">
        <v>156</v>
      </c>
      <c r="E38" s="6" t="s">
        <v>65</v>
      </c>
      <c r="F38" s="5" t="n">
        <v>0</v>
      </c>
      <c r="G38" s="5" t="n">
        <v>99</v>
      </c>
      <c r="H38" s="5" t="n">
        <v>4</v>
      </c>
      <c r="I38" s="6" t="s">
        <v>257</v>
      </c>
      <c r="J38" s="6" t="s">
        <v>258</v>
      </c>
      <c r="K38" s="6" t="s">
        <v>259</v>
      </c>
      <c r="L38" s="6" t="s">
        <v>260</v>
      </c>
      <c r="M38" s="7" t="s">
        <v>261</v>
      </c>
    </row>
    <row r="39" customFormat="false" ht="42" hidden="false" customHeight="true" outlineLevel="0" collapsed="false">
      <c r="A39" s="5" t="n">
        <f aca="false">ROW()-3</f>
        <v>36</v>
      </c>
      <c r="B39" s="6" t="s">
        <v>262</v>
      </c>
      <c r="C39" s="6" t="s">
        <v>217</v>
      </c>
      <c r="D39" s="6" t="s">
        <v>17</v>
      </c>
      <c r="E39" s="6" t="s">
        <v>263</v>
      </c>
      <c r="F39" s="5" t="n">
        <v>8</v>
      </c>
      <c r="G39" s="5" t="n">
        <v>17.9</v>
      </c>
      <c r="H39" s="5" t="n">
        <v>2</v>
      </c>
      <c r="I39" s="6" t="s">
        <v>264</v>
      </c>
      <c r="J39" s="6" t="s">
        <v>265</v>
      </c>
      <c r="K39" s="6" t="s">
        <v>266</v>
      </c>
      <c r="L39" s="6" t="s">
        <v>267</v>
      </c>
      <c r="M39" s="7" t="s">
        <v>268</v>
      </c>
    </row>
    <row r="40" customFormat="false" ht="42" hidden="false" customHeight="true" outlineLevel="0" collapsed="false">
      <c r="A40" s="5" t="n">
        <f aca="false">ROW()-3</f>
        <v>37</v>
      </c>
      <c r="B40" s="6" t="s">
        <v>269</v>
      </c>
      <c r="C40" s="6" t="s">
        <v>122</v>
      </c>
      <c r="D40" s="6" t="s">
        <v>270</v>
      </c>
      <c r="E40" s="6" t="s">
        <v>271</v>
      </c>
      <c r="F40" s="5" t="n">
        <v>6</v>
      </c>
      <c r="G40" s="5" t="n">
        <v>17.9</v>
      </c>
      <c r="H40" s="5" t="n">
        <v>4</v>
      </c>
      <c r="I40" s="6" t="s">
        <v>272</v>
      </c>
      <c r="J40" s="6" t="s">
        <v>273</v>
      </c>
      <c r="K40" s="6" t="s">
        <v>274</v>
      </c>
      <c r="L40" s="6" t="s">
        <v>275</v>
      </c>
      <c r="M40" s="7" t="s">
        <v>276</v>
      </c>
    </row>
    <row r="41" customFormat="false" ht="42" hidden="false" customHeight="true" outlineLevel="0" collapsed="false">
      <c r="A41" s="5" t="n">
        <f aca="false">ROW()-3</f>
        <v>38</v>
      </c>
      <c r="B41" s="6" t="s">
        <v>277</v>
      </c>
      <c r="C41" s="6" t="s">
        <v>278</v>
      </c>
      <c r="D41" s="6" t="s">
        <v>17</v>
      </c>
      <c r="E41" s="6" t="s">
        <v>279</v>
      </c>
      <c r="F41" s="5" t="n">
        <v>12</v>
      </c>
      <c r="G41" s="5" t="n">
        <v>16.9</v>
      </c>
      <c r="H41" s="5" t="n">
        <v>6</v>
      </c>
      <c r="I41" s="6" t="s">
        <v>280</v>
      </c>
      <c r="J41" s="6" t="s">
        <v>281</v>
      </c>
      <c r="K41" s="6" t="s">
        <v>282</v>
      </c>
      <c r="L41" s="6" t="s">
        <v>283</v>
      </c>
      <c r="M41" s="7" t="s">
        <v>284</v>
      </c>
    </row>
    <row r="42" customFormat="false" ht="42" hidden="false" customHeight="true" outlineLevel="0" collapsed="false">
      <c r="A42" s="5" t="n">
        <f aca="false">ROW()-3</f>
        <v>39</v>
      </c>
      <c r="B42" s="6" t="s">
        <v>285</v>
      </c>
      <c r="C42" s="6" t="s">
        <v>278</v>
      </c>
      <c r="D42" s="6" t="s">
        <v>17</v>
      </c>
      <c r="E42" s="6" t="s">
        <v>279</v>
      </c>
      <c r="F42" s="5" t="n">
        <v>12</v>
      </c>
      <c r="G42" s="5" t="n">
        <v>16.9</v>
      </c>
      <c r="H42" s="5" t="n">
        <v>6</v>
      </c>
      <c r="I42" s="6" t="s">
        <v>286</v>
      </c>
      <c r="J42" s="6" t="s">
        <v>281</v>
      </c>
      <c r="K42" s="6" t="s">
        <v>287</v>
      </c>
      <c r="L42" s="6" t="s">
        <v>288</v>
      </c>
      <c r="M42" s="7" t="s">
        <v>289</v>
      </c>
    </row>
    <row r="43" customFormat="false" ht="42" hidden="false" customHeight="true" outlineLevel="0" collapsed="false">
      <c r="A43" s="5" t="n">
        <f aca="false">ROW()-3</f>
        <v>40</v>
      </c>
      <c r="B43" s="6" t="s">
        <v>290</v>
      </c>
      <c r="C43" s="6" t="s">
        <v>278</v>
      </c>
      <c r="D43" s="6" t="s">
        <v>17</v>
      </c>
      <c r="E43" s="6" t="s">
        <v>291</v>
      </c>
      <c r="F43" s="5" t="n">
        <v>7</v>
      </c>
      <c r="G43" s="5" t="n">
        <v>11.9</v>
      </c>
      <c r="H43" s="5" t="n">
        <v>3</v>
      </c>
      <c r="I43" s="6" t="s">
        <v>292</v>
      </c>
      <c r="J43" s="6" t="s">
        <v>293</v>
      </c>
      <c r="K43" s="6" t="s">
        <v>294</v>
      </c>
      <c r="L43" s="6" t="s">
        <v>295</v>
      </c>
      <c r="M43" s="7" t="s">
        <v>296</v>
      </c>
    </row>
    <row r="44" customFormat="false" ht="42" hidden="false" customHeight="true" outlineLevel="0" collapsed="false">
      <c r="A44" s="5" t="n">
        <f aca="false">ROW()-3</f>
        <v>41</v>
      </c>
      <c r="B44" s="6" t="s">
        <v>297</v>
      </c>
      <c r="C44" s="6" t="s">
        <v>278</v>
      </c>
      <c r="D44" s="6" t="s">
        <v>17</v>
      </c>
      <c r="E44" s="6" t="s">
        <v>291</v>
      </c>
      <c r="F44" s="5" t="n">
        <v>7</v>
      </c>
      <c r="G44" s="5" t="n">
        <v>11.9</v>
      </c>
      <c r="H44" s="5" t="n">
        <v>3</v>
      </c>
      <c r="I44" s="6" t="s">
        <v>298</v>
      </c>
      <c r="J44" s="6" t="s">
        <v>293</v>
      </c>
      <c r="K44" s="6" t="s">
        <v>299</v>
      </c>
      <c r="L44" s="6" t="s">
        <v>300</v>
      </c>
      <c r="M44" s="7" t="s">
        <v>301</v>
      </c>
    </row>
    <row r="45" customFormat="false" ht="42" hidden="false" customHeight="true" outlineLevel="0" collapsed="false">
      <c r="A45" s="5" t="n">
        <f aca="false">ROW()-3</f>
        <v>42</v>
      </c>
      <c r="B45" s="6" t="s">
        <v>302</v>
      </c>
      <c r="C45" s="6" t="s">
        <v>278</v>
      </c>
      <c r="D45" s="6" t="s">
        <v>33</v>
      </c>
      <c r="E45" s="6" t="s">
        <v>303</v>
      </c>
      <c r="F45" s="5" t="n">
        <v>0</v>
      </c>
      <c r="G45" s="5" t="n">
        <v>83.2</v>
      </c>
      <c r="H45" s="5" t="n">
        <v>6</v>
      </c>
      <c r="I45" s="6" t="s">
        <v>304</v>
      </c>
      <c r="J45" s="6" t="s">
        <v>305</v>
      </c>
      <c r="K45" s="6" t="s">
        <v>306</v>
      </c>
      <c r="L45" s="6" t="s">
        <v>307</v>
      </c>
      <c r="M45" s="7" t="s">
        <v>308</v>
      </c>
    </row>
    <row r="46" customFormat="false" ht="42" hidden="false" customHeight="true" outlineLevel="0" collapsed="false">
      <c r="A46" s="5" t="n">
        <f aca="false">ROW()-3</f>
        <v>43</v>
      </c>
      <c r="B46" s="6" t="s">
        <v>309</v>
      </c>
      <c r="C46" s="6" t="s">
        <v>131</v>
      </c>
      <c r="D46" s="6" t="s">
        <v>33</v>
      </c>
      <c r="E46" s="6" t="s">
        <v>95</v>
      </c>
      <c r="F46" s="5" t="n">
        <v>6</v>
      </c>
      <c r="G46" s="5" t="n">
        <v>17.9</v>
      </c>
      <c r="H46" s="5" t="n">
        <v>10</v>
      </c>
      <c r="I46" s="6" t="s">
        <v>310</v>
      </c>
      <c r="J46" s="6" t="s">
        <v>311</v>
      </c>
      <c r="K46" s="6" t="s">
        <v>312</v>
      </c>
      <c r="L46" s="6" t="s">
        <v>313</v>
      </c>
      <c r="M46" s="7" t="s">
        <v>314</v>
      </c>
    </row>
    <row r="47" customFormat="false" ht="42" hidden="false" customHeight="true" outlineLevel="0" collapsed="false">
      <c r="A47" s="5" t="n">
        <f aca="false">ROW()-3</f>
        <v>44</v>
      </c>
      <c r="B47" s="6" t="s">
        <v>315</v>
      </c>
      <c r="C47" s="6" t="s">
        <v>131</v>
      </c>
      <c r="D47" s="6" t="s">
        <v>33</v>
      </c>
      <c r="E47" s="6" t="s">
        <v>95</v>
      </c>
      <c r="F47" s="5" t="n">
        <v>6</v>
      </c>
      <c r="G47" s="5" t="n">
        <v>17.9</v>
      </c>
      <c r="H47" s="5" t="n">
        <v>6</v>
      </c>
      <c r="I47" s="6" t="s">
        <v>316</v>
      </c>
      <c r="J47" s="6" t="s">
        <v>317</v>
      </c>
      <c r="K47" s="6" t="s">
        <v>318</v>
      </c>
      <c r="L47" s="6" t="s">
        <v>319</v>
      </c>
      <c r="M47" s="7" t="s">
        <v>320</v>
      </c>
    </row>
    <row r="48" customFormat="false" ht="42" hidden="false" customHeight="true" outlineLevel="0" collapsed="false">
      <c r="A48" s="5" t="n">
        <f aca="false">ROW()-3</f>
        <v>45</v>
      </c>
      <c r="B48" s="6" t="s">
        <v>321</v>
      </c>
      <c r="C48" s="6" t="s">
        <v>131</v>
      </c>
      <c r="D48" s="6" t="s">
        <v>45</v>
      </c>
      <c r="E48" s="6" t="s">
        <v>95</v>
      </c>
      <c r="F48" s="5" t="n">
        <v>6</v>
      </c>
      <c r="G48" s="5" t="n">
        <v>17.9</v>
      </c>
      <c r="H48" s="5" t="n">
        <v>9</v>
      </c>
      <c r="I48" s="6" t="s">
        <v>322</v>
      </c>
      <c r="J48" s="6" t="s">
        <v>323</v>
      </c>
      <c r="K48" s="6" t="s">
        <v>324</v>
      </c>
      <c r="L48" s="6" t="s">
        <v>325</v>
      </c>
      <c r="M48" s="7" t="s">
        <v>326</v>
      </c>
    </row>
    <row r="49" customFormat="false" ht="42" hidden="false" customHeight="true" outlineLevel="0" collapsed="false">
      <c r="A49" s="5" t="n">
        <f aca="false">ROW()-3</f>
        <v>46</v>
      </c>
      <c r="B49" s="6" t="s">
        <v>327</v>
      </c>
      <c r="C49" s="6" t="s">
        <v>131</v>
      </c>
      <c r="D49" s="6" t="s">
        <v>45</v>
      </c>
      <c r="E49" s="6" t="s">
        <v>95</v>
      </c>
      <c r="F49" s="5" t="n">
        <v>6</v>
      </c>
      <c r="G49" s="5" t="n">
        <v>17.9</v>
      </c>
      <c r="H49" s="5" t="n">
        <v>5</v>
      </c>
      <c r="I49" s="6" t="s">
        <v>328</v>
      </c>
      <c r="J49" s="6" t="s">
        <v>329</v>
      </c>
      <c r="K49" s="6" t="s">
        <v>330</v>
      </c>
      <c r="L49" s="6" t="s">
        <v>331</v>
      </c>
      <c r="M49" s="7" t="s">
        <v>332</v>
      </c>
    </row>
    <row r="50" customFormat="false" ht="42" hidden="false" customHeight="true" outlineLevel="0" collapsed="false">
      <c r="A50" s="5" t="n">
        <f aca="false">ROW()-3</f>
        <v>47</v>
      </c>
      <c r="B50" s="6" t="s">
        <v>333</v>
      </c>
      <c r="C50" s="6" t="s">
        <v>162</v>
      </c>
      <c r="D50" s="6" t="s">
        <v>334</v>
      </c>
      <c r="E50" s="6" t="s">
        <v>335</v>
      </c>
      <c r="F50" s="5" t="n">
        <v>0</v>
      </c>
      <c r="G50" s="5" t="n">
        <v>99</v>
      </c>
      <c r="H50" s="5" t="n">
        <v>6</v>
      </c>
      <c r="I50" s="6" t="s">
        <v>336</v>
      </c>
      <c r="J50" s="6" t="s">
        <v>337</v>
      </c>
      <c r="K50" s="6" t="s">
        <v>338</v>
      </c>
      <c r="L50" s="6" t="s">
        <v>339</v>
      </c>
      <c r="M50" s="7" t="s">
        <v>340</v>
      </c>
    </row>
    <row r="51" customFormat="false" ht="42" hidden="false" customHeight="true" outlineLevel="0" collapsed="false">
      <c r="A51" s="5" t="n">
        <f aca="false">ROW()-3</f>
        <v>48</v>
      </c>
      <c r="B51" s="6" t="s">
        <v>341</v>
      </c>
      <c r="C51" s="6" t="s">
        <v>162</v>
      </c>
      <c r="D51" s="6" t="s">
        <v>17</v>
      </c>
      <c r="E51" s="6" t="s">
        <v>342</v>
      </c>
      <c r="F51" s="5" t="n">
        <v>12</v>
      </c>
      <c r="G51" s="5" t="n">
        <v>17.9</v>
      </c>
      <c r="H51" s="5" t="n">
        <v>5</v>
      </c>
      <c r="I51" s="6" t="s">
        <v>343</v>
      </c>
      <c r="J51" s="6" t="s">
        <v>344</v>
      </c>
      <c r="K51" s="6" t="s">
        <v>345</v>
      </c>
      <c r="L51" s="6" t="s">
        <v>346</v>
      </c>
      <c r="M51" s="7" t="s">
        <v>347</v>
      </c>
    </row>
    <row r="52" customFormat="false" ht="42" hidden="false" customHeight="true" outlineLevel="0" collapsed="false">
      <c r="A52" s="5" t="n">
        <f aca="false">ROW()-3</f>
        <v>49</v>
      </c>
      <c r="B52" s="6" t="s">
        <v>348</v>
      </c>
      <c r="C52" s="6" t="s">
        <v>162</v>
      </c>
      <c r="D52" s="6" t="s">
        <v>185</v>
      </c>
      <c r="E52" s="6" t="s">
        <v>349</v>
      </c>
      <c r="F52" s="5" t="n">
        <v>0</v>
      </c>
      <c r="G52" s="5" t="n">
        <v>100</v>
      </c>
      <c r="H52" s="5" t="n">
        <v>5</v>
      </c>
      <c r="I52" s="6" t="s">
        <v>350</v>
      </c>
      <c r="J52" s="6" t="s">
        <v>351</v>
      </c>
      <c r="K52" s="6" t="s">
        <v>352</v>
      </c>
      <c r="L52" s="6" t="s">
        <v>353</v>
      </c>
      <c r="M52" s="7" t="s">
        <v>354</v>
      </c>
    </row>
    <row r="53" customFormat="false" ht="42" hidden="false" customHeight="true" outlineLevel="0" collapsed="false">
      <c r="A53" s="5" t="n">
        <f aca="false">ROW()-3</f>
        <v>50</v>
      </c>
      <c r="B53" s="6" t="s">
        <v>355</v>
      </c>
      <c r="C53" s="6" t="s">
        <v>162</v>
      </c>
      <c r="D53" s="6" t="s">
        <v>185</v>
      </c>
      <c r="E53" s="6" t="s">
        <v>356</v>
      </c>
      <c r="F53" s="5" t="n">
        <v>6</v>
      </c>
      <c r="G53" s="5" t="n">
        <v>11.9</v>
      </c>
      <c r="H53" s="5" t="n">
        <v>5</v>
      </c>
      <c r="I53" s="6" t="s">
        <v>357</v>
      </c>
      <c r="J53" s="6" t="s">
        <v>358</v>
      </c>
      <c r="K53" s="6" t="s">
        <v>359</v>
      </c>
      <c r="L53" s="6" t="s">
        <v>360</v>
      </c>
      <c r="M53" s="7" t="s">
        <v>361</v>
      </c>
    </row>
    <row r="54" customFormat="false" ht="42" hidden="false" customHeight="true" outlineLevel="0" collapsed="false">
      <c r="A54" s="5" t="n">
        <f aca="false">ROW()-3</f>
        <v>51</v>
      </c>
      <c r="B54" s="6" t="s">
        <v>362</v>
      </c>
      <c r="C54" s="6" t="s">
        <v>72</v>
      </c>
      <c r="D54" s="6" t="s">
        <v>156</v>
      </c>
      <c r="E54" s="6" t="s">
        <v>88</v>
      </c>
      <c r="F54" s="5" t="n">
        <v>1.5</v>
      </c>
      <c r="G54" s="5" t="n">
        <v>5.9</v>
      </c>
      <c r="H54" s="5" t="n">
        <v>1</v>
      </c>
      <c r="I54" s="6" t="s">
        <v>363</v>
      </c>
      <c r="J54" s="6" t="s">
        <v>364</v>
      </c>
      <c r="K54" s="6" t="s">
        <v>365</v>
      </c>
      <c r="L54" s="6" t="s">
        <v>366</v>
      </c>
      <c r="M54" s="7" t="s">
        <v>367</v>
      </c>
    </row>
    <row r="55" customFormat="false" ht="42" hidden="false" customHeight="true" outlineLevel="0" collapsed="false">
      <c r="A55" s="5" t="n">
        <f aca="false">ROW()-3</f>
        <v>52</v>
      </c>
      <c r="B55" s="6" t="s">
        <v>368</v>
      </c>
      <c r="C55" s="6" t="s">
        <v>208</v>
      </c>
      <c r="D55" s="6" t="s">
        <v>17</v>
      </c>
      <c r="E55" s="6" t="s">
        <v>369</v>
      </c>
      <c r="F55" s="5" t="n">
        <v>14</v>
      </c>
      <c r="G55" s="5" t="n">
        <v>99</v>
      </c>
      <c r="H55" s="5" t="n">
        <v>7</v>
      </c>
      <c r="I55" s="6" t="s">
        <v>370</v>
      </c>
      <c r="J55" s="6" t="s">
        <v>371</v>
      </c>
      <c r="K55" s="6" t="s">
        <v>372</v>
      </c>
      <c r="L55" s="6" t="s">
        <v>373</v>
      </c>
      <c r="M55" s="7" t="s">
        <v>374</v>
      </c>
    </row>
    <row r="56" customFormat="false" ht="42" hidden="false" customHeight="true" outlineLevel="0" collapsed="false">
      <c r="A56" s="5" t="n">
        <f aca="false">ROW()-3</f>
        <v>53</v>
      </c>
      <c r="B56" s="6" t="s">
        <v>375</v>
      </c>
      <c r="C56" s="6" t="s">
        <v>51</v>
      </c>
      <c r="D56" s="6" t="s">
        <v>33</v>
      </c>
      <c r="E56" s="6" t="s">
        <v>65</v>
      </c>
      <c r="F56" s="5" t="n">
        <v>0</v>
      </c>
      <c r="G56" s="5" t="n">
        <v>99</v>
      </c>
      <c r="H56" s="5" t="n">
        <v>3</v>
      </c>
      <c r="I56" s="6" t="s">
        <v>376</v>
      </c>
      <c r="J56" s="6" t="s">
        <v>377</v>
      </c>
      <c r="K56" s="6" t="s">
        <v>378</v>
      </c>
      <c r="L56" s="6" t="s">
        <v>379</v>
      </c>
      <c r="M56" s="7" t="s">
        <v>380</v>
      </c>
    </row>
    <row r="57" customFormat="false" ht="42" hidden="false" customHeight="true" outlineLevel="0" collapsed="false">
      <c r="A57" s="5" t="n">
        <f aca="false">ROW()-3</f>
        <v>54</v>
      </c>
      <c r="B57" s="6" t="s">
        <v>381</v>
      </c>
      <c r="C57" s="6" t="s">
        <v>162</v>
      </c>
      <c r="D57" s="6" t="s">
        <v>185</v>
      </c>
      <c r="E57" s="6" t="s">
        <v>382</v>
      </c>
      <c r="F57" s="5" t="n">
        <v>7</v>
      </c>
      <c r="G57" s="5" t="n">
        <v>9</v>
      </c>
      <c r="H57" s="5" t="n">
        <v>8</v>
      </c>
      <c r="I57" s="6" t="s">
        <v>383</v>
      </c>
      <c r="J57" s="6" t="s">
        <v>384</v>
      </c>
      <c r="K57" s="6" t="s">
        <v>385</v>
      </c>
      <c r="L57" s="6" t="s">
        <v>386</v>
      </c>
      <c r="M57" s="7" t="s">
        <v>387</v>
      </c>
    </row>
    <row r="58" customFormat="false" ht="42" hidden="false" customHeight="true" outlineLevel="0" collapsed="false">
      <c r="A58" s="5" t="n">
        <f aca="false">ROW()-3</f>
        <v>55</v>
      </c>
      <c r="B58" s="6" t="s">
        <v>388</v>
      </c>
      <c r="C58" s="6" t="s">
        <v>131</v>
      </c>
      <c r="D58" s="6" t="s">
        <v>389</v>
      </c>
      <c r="E58" s="6" t="s">
        <v>390</v>
      </c>
      <c r="F58" s="5" t="n">
        <v>5</v>
      </c>
      <c r="G58" s="5" t="n">
        <v>99</v>
      </c>
      <c r="H58" s="5" t="n">
        <v>11</v>
      </c>
      <c r="I58" s="6" t="s">
        <v>391</v>
      </c>
      <c r="J58" s="6" t="s">
        <v>392</v>
      </c>
      <c r="K58" s="6" t="s">
        <v>393</v>
      </c>
      <c r="L58" s="6" t="s">
        <v>394</v>
      </c>
      <c r="M58" s="7" t="s">
        <v>395</v>
      </c>
    </row>
    <row r="59" customFormat="false" ht="42" hidden="false" customHeight="true" outlineLevel="0" collapsed="false">
      <c r="A59" s="5" t="n">
        <f aca="false">ROW()-3</f>
        <v>56</v>
      </c>
      <c r="B59" s="6" t="s">
        <v>396</v>
      </c>
      <c r="C59" s="6" t="s">
        <v>397</v>
      </c>
      <c r="D59" s="6" t="s">
        <v>17</v>
      </c>
      <c r="E59" s="6" t="s">
        <v>172</v>
      </c>
      <c r="F59" s="5" t="n">
        <v>8</v>
      </c>
      <c r="G59" s="5" t="n">
        <v>17.9</v>
      </c>
      <c r="H59" s="5" t="n">
        <v>5</v>
      </c>
      <c r="I59" s="6" t="s">
        <v>398</v>
      </c>
      <c r="J59" s="6" t="s">
        <v>399</v>
      </c>
      <c r="K59" s="6" t="s">
        <v>400</v>
      </c>
      <c r="L59" s="6" t="s">
        <v>401</v>
      </c>
      <c r="M59" s="7" t="s">
        <v>402</v>
      </c>
    </row>
    <row r="60" customFormat="false" ht="42" hidden="false" customHeight="true" outlineLevel="0" collapsed="false">
      <c r="A60" s="5" t="n">
        <f aca="false">ROW()-3</f>
        <v>57</v>
      </c>
      <c r="B60" s="6" t="s">
        <v>403</v>
      </c>
      <c r="C60" s="6" t="s">
        <v>122</v>
      </c>
      <c r="D60" s="6" t="s">
        <v>17</v>
      </c>
      <c r="E60" s="6" t="s">
        <v>404</v>
      </c>
      <c r="F60" s="5" t="n">
        <v>11</v>
      </c>
      <c r="G60" s="5" t="n">
        <v>99</v>
      </c>
      <c r="H60" s="5" t="n">
        <v>4</v>
      </c>
      <c r="I60" s="6" t="s">
        <v>405</v>
      </c>
      <c r="J60" s="6" t="s">
        <v>406</v>
      </c>
      <c r="K60" s="6" t="s">
        <v>407</v>
      </c>
      <c r="L60" s="6" t="s">
        <v>408</v>
      </c>
      <c r="M60" s="7" t="s">
        <v>409</v>
      </c>
    </row>
    <row r="61" customFormat="false" ht="42" hidden="false" customHeight="true" outlineLevel="0" collapsed="false">
      <c r="A61" s="5" t="n">
        <f aca="false">ROW()-3</f>
        <v>58</v>
      </c>
      <c r="B61" s="6" t="s">
        <v>410</v>
      </c>
      <c r="C61" s="6" t="s">
        <v>122</v>
      </c>
      <c r="D61" s="6" t="s">
        <v>17</v>
      </c>
      <c r="E61" s="6" t="s">
        <v>411</v>
      </c>
      <c r="F61" s="5" t="n">
        <v>10</v>
      </c>
      <c r="G61" s="5" t="n">
        <v>99</v>
      </c>
      <c r="H61" s="5" t="n">
        <v>6</v>
      </c>
      <c r="I61" s="6" t="s">
        <v>412</v>
      </c>
      <c r="J61" s="6" t="s">
        <v>413</v>
      </c>
      <c r="K61" s="6" t="s">
        <v>414</v>
      </c>
      <c r="L61" s="6" t="s">
        <v>415</v>
      </c>
      <c r="M61" s="7" t="s">
        <v>416</v>
      </c>
    </row>
    <row r="62" customFormat="false" ht="42" hidden="false" customHeight="true" outlineLevel="0" collapsed="false">
      <c r="A62" s="5" t="n">
        <f aca="false">ROW()-3</f>
        <v>59</v>
      </c>
      <c r="B62" s="6" t="s">
        <v>417</v>
      </c>
      <c r="C62" s="6" t="s">
        <v>122</v>
      </c>
      <c r="D62" s="6" t="s">
        <v>17</v>
      </c>
      <c r="E62" s="6" t="s">
        <v>404</v>
      </c>
      <c r="F62" s="5" t="n">
        <v>11</v>
      </c>
      <c r="G62" s="5" t="n">
        <v>99</v>
      </c>
      <c r="H62" s="5" t="n">
        <v>5</v>
      </c>
      <c r="I62" s="6" t="s">
        <v>418</v>
      </c>
      <c r="J62" s="6" t="s">
        <v>419</v>
      </c>
      <c r="K62" s="6" t="s">
        <v>420</v>
      </c>
      <c r="L62" s="6" t="s">
        <v>421</v>
      </c>
      <c r="M62" s="7" t="s">
        <v>422</v>
      </c>
    </row>
    <row r="63" customFormat="false" ht="42" hidden="false" customHeight="true" outlineLevel="0" collapsed="false">
      <c r="A63" s="5" t="n">
        <f aca="false">ROW()-3</f>
        <v>60</v>
      </c>
      <c r="B63" s="6" t="s">
        <v>423</v>
      </c>
      <c r="C63" s="6" t="s">
        <v>424</v>
      </c>
      <c r="D63" s="6" t="s">
        <v>270</v>
      </c>
      <c r="E63" s="6" t="s">
        <v>425</v>
      </c>
      <c r="F63" s="5" t="n">
        <v>12</v>
      </c>
      <c r="G63" s="5" t="n">
        <v>99</v>
      </c>
      <c r="H63" s="5" t="n">
        <v>6</v>
      </c>
      <c r="I63" s="6" t="s">
        <v>426</v>
      </c>
      <c r="J63" s="6" t="s">
        <v>427</v>
      </c>
      <c r="K63" s="6" t="s">
        <v>428</v>
      </c>
      <c r="L63" s="6" t="s">
        <v>429</v>
      </c>
      <c r="M63" s="7" t="s">
        <v>430</v>
      </c>
    </row>
    <row r="64" customFormat="false" ht="42" hidden="false" customHeight="true" outlineLevel="0" collapsed="false">
      <c r="A64" s="5" t="n">
        <f aca="false">ROW()-3</f>
        <v>61</v>
      </c>
      <c r="B64" s="6" t="s">
        <v>431</v>
      </c>
      <c r="C64" s="6" t="s">
        <v>424</v>
      </c>
      <c r="D64" s="6" t="s">
        <v>270</v>
      </c>
      <c r="E64" s="6" t="s">
        <v>425</v>
      </c>
      <c r="F64" s="5" t="n">
        <v>12</v>
      </c>
      <c r="G64" s="5" t="n">
        <v>99</v>
      </c>
      <c r="H64" s="5" t="n">
        <v>4</v>
      </c>
      <c r="I64" s="6" t="s">
        <v>432</v>
      </c>
      <c r="J64" s="6" t="s">
        <v>433</v>
      </c>
      <c r="K64" s="6" t="s">
        <v>434</v>
      </c>
      <c r="L64" s="6" t="s">
        <v>435</v>
      </c>
      <c r="M64" s="7" t="s">
        <v>436</v>
      </c>
    </row>
    <row r="65" customFormat="false" ht="42" hidden="false" customHeight="true" outlineLevel="0" collapsed="false">
      <c r="A65" s="5" t="n">
        <f aca="false">ROW()-3</f>
        <v>62</v>
      </c>
      <c r="B65" s="6" t="s">
        <v>437</v>
      </c>
      <c r="C65" s="6" t="s">
        <v>438</v>
      </c>
      <c r="D65" s="6" t="s">
        <v>439</v>
      </c>
      <c r="E65" s="6" t="s">
        <v>440</v>
      </c>
      <c r="F65" s="5" t="n">
        <v>0.3</v>
      </c>
      <c r="G65" s="5" t="n">
        <v>0.6</v>
      </c>
      <c r="H65" s="5" t="n">
        <v>7</v>
      </c>
      <c r="I65" s="6" t="s">
        <v>441</v>
      </c>
      <c r="J65" s="6" t="s">
        <v>442</v>
      </c>
      <c r="K65" s="6" t="s">
        <v>443</v>
      </c>
      <c r="L65" s="6" t="s">
        <v>444</v>
      </c>
      <c r="M65" s="7" t="s">
        <v>445</v>
      </c>
    </row>
    <row r="66" customFormat="false" ht="42" hidden="false" customHeight="true" outlineLevel="0" collapsed="false">
      <c r="A66" s="5" t="n">
        <f aca="false">ROW()-3</f>
        <v>63</v>
      </c>
      <c r="B66" s="6" t="s">
        <v>446</v>
      </c>
      <c r="C66" s="6" t="s">
        <v>208</v>
      </c>
      <c r="D66" s="6" t="s">
        <v>33</v>
      </c>
      <c r="E66" s="6" t="s">
        <v>447</v>
      </c>
      <c r="F66" s="5" t="n">
        <v>3</v>
      </c>
      <c r="G66" s="5" t="n">
        <v>17.9</v>
      </c>
      <c r="H66" s="5" t="n">
        <v>3</v>
      </c>
      <c r="I66" s="6" t="s">
        <v>448</v>
      </c>
      <c r="J66" s="6" t="s">
        <v>449</v>
      </c>
      <c r="K66" s="6" t="s">
        <v>450</v>
      </c>
      <c r="L66" s="6" t="s">
        <v>451</v>
      </c>
      <c r="M66" s="7" t="s">
        <v>452</v>
      </c>
    </row>
    <row r="67" customFormat="false" ht="42" hidden="false" customHeight="true" outlineLevel="0" collapsed="false">
      <c r="A67" s="5" t="n">
        <f aca="false">ROW()-3</f>
        <v>64</v>
      </c>
      <c r="B67" s="6" t="s">
        <v>453</v>
      </c>
      <c r="C67" s="6" t="s">
        <v>208</v>
      </c>
      <c r="D67" s="6" t="s">
        <v>156</v>
      </c>
      <c r="E67" s="6" t="s">
        <v>447</v>
      </c>
      <c r="F67" s="5" t="n">
        <v>3</v>
      </c>
      <c r="G67" s="5" t="n">
        <v>17.9</v>
      </c>
      <c r="H67" s="5" t="n">
        <v>3</v>
      </c>
      <c r="I67" s="6" t="s">
        <v>454</v>
      </c>
      <c r="J67" s="6" t="s">
        <v>449</v>
      </c>
      <c r="K67" s="6" t="s">
        <v>455</v>
      </c>
      <c r="L67" s="6" t="s">
        <v>456</v>
      </c>
      <c r="M67" s="7" t="s">
        <v>457</v>
      </c>
    </row>
    <row r="68" customFormat="false" ht="42" hidden="false" customHeight="true" outlineLevel="0" collapsed="false">
      <c r="A68" s="5" t="n">
        <f aca="false">ROW()-3</f>
        <v>65</v>
      </c>
      <c r="B68" s="6" t="s">
        <v>458</v>
      </c>
      <c r="C68" s="6" t="s">
        <v>208</v>
      </c>
      <c r="D68" s="6" t="s">
        <v>17</v>
      </c>
      <c r="E68" s="6" t="s">
        <v>459</v>
      </c>
      <c r="F68" s="5" t="n">
        <v>9</v>
      </c>
      <c r="G68" s="5" t="n">
        <v>17</v>
      </c>
      <c r="H68" s="5" t="n">
        <v>4</v>
      </c>
      <c r="I68" s="6" t="s">
        <v>460</v>
      </c>
      <c r="J68" s="6" t="s">
        <v>461</v>
      </c>
      <c r="K68" s="6" t="s">
        <v>462</v>
      </c>
      <c r="L68" s="6" t="s">
        <v>463</v>
      </c>
      <c r="M68" s="7" t="s">
        <v>464</v>
      </c>
    </row>
    <row r="69" customFormat="false" ht="42" hidden="false" customHeight="true" outlineLevel="0" collapsed="false">
      <c r="A69" s="5" t="n">
        <f aca="false">ROW()-3</f>
        <v>66</v>
      </c>
      <c r="B69" s="6" t="s">
        <v>465</v>
      </c>
      <c r="C69" s="6" t="s">
        <v>208</v>
      </c>
      <c r="D69" s="6" t="s">
        <v>17</v>
      </c>
      <c r="E69" s="6" t="s">
        <v>466</v>
      </c>
      <c r="F69" s="5" t="n">
        <v>10</v>
      </c>
      <c r="G69" s="5" t="n">
        <v>19</v>
      </c>
      <c r="H69" s="5" t="n">
        <v>2</v>
      </c>
      <c r="I69" s="6" t="s">
        <v>467</v>
      </c>
      <c r="J69" s="6" t="s">
        <v>468</v>
      </c>
      <c r="K69" s="6" t="s">
        <v>469</v>
      </c>
      <c r="L69" s="6" t="s">
        <v>470</v>
      </c>
      <c r="M69" s="7" t="s">
        <v>471</v>
      </c>
    </row>
    <row r="70" customFormat="false" ht="42" hidden="false" customHeight="true" outlineLevel="0" collapsed="false">
      <c r="A70" s="5" t="n">
        <f aca="false">ROW()-3</f>
        <v>67</v>
      </c>
      <c r="B70" s="6" t="s">
        <v>472</v>
      </c>
      <c r="C70" s="6" t="s">
        <v>278</v>
      </c>
      <c r="D70" s="6" t="s">
        <v>473</v>
      </c>
      <c r="E70" s="6" t="s">
        <v>474</v>
      </c>
      <c r="F70" s="5" t="n">
        <v>1</v>
      </c>
      <c r="G70" s="5" t="n">
        <v>8.2</v>
      </c>
      <c r="H70" s="5" t="n">
        <v>7</v>
      </c>
      <c r="I70" s="6" t="s">
        <v>475</v>
      </c>
      <c r="J70" s="6" t="s">
        <v>476</v>
      </c>
      <c r="K70" s="6" t="s">
        <v>477</v>
      </c>
      <c r="L70" s="6" t="s">
        <v>478</v>
      </c>
      <c r="M70" s="7" t="s">
        <v>479</v>
      </c>
    </row>
    <row r="71" customFormat="false" ht="42" hidden="false" customHeight="true" outlineLevel="0" collapsed="false">
      <c r="A71" s="5" t="n">
        <f aca="false">ROW()-3</f>
        <v>68</v>
      </c>
      <c r="B71" s="6" t="s">
        <v>480</v>
      </c>
      <c r="C71" s="6" t="s">
        <v>278</v>
      </c>
      <c r="D71" s="6" t="s">
        <v>481</v>
      </c>
      <c r="E71" s="6" t="s">
        <v>482</v>
      </c>
      <c r="F71" s="5" t="n">
        <v>0</v>
      </c>
      <c r="G71" s="5" t="n">
        <v>83.2</v>
      </c>
      <c r="H71" s="5" t="n">
        <v>7</v>
      </c>
      <c r="I71" s="6" t="s">
        <v>483</v>
      </c>
      <c r="J71" s="6" t="s">
        <v>484</v>
      </c>
      <c r="K71" s="6" t="s">
        <v>485</v>
      </c>
      <c r="L71" s="6" t="s">
        <v>486</v>
      </c>
      <c r="M71" s="7" t="s">
        <v>487</v>
      </c>
    </row>
    <row r="72" customFormat="false" ht="42" hidden="false" customHeight="true" outlineLevel="0" collapsed="false">
      <c r="A72" s="5" t="n">
        <f aca="false">ROW()-3</f>
        <v>69</v>
      </c>
      <c r="B72" s="6" t="s">
        <v>488</v>
      </c>
      <c r="C72" s="6" t="s">
        <v>278</v>
      </c>
      <c r="D72" s="6" t="s">
        <v>481</v>
      </c>
      <c r="E72" s="6" t="s">
        <v>482</v>
      </c>
      <c r="F72" s="5" t="n">
        <v>0</v>
      </c>
      <c r="G72" s="5" t="n">
        <v>83.2</v>
      </c>
      <c r="H72" s="5" t="n">
        <v>2</v>
      </c>
      <c r="I72" s="6" t="s">
        <v>489</v>
      </c>
      <c r="J72" s="6" t="s">
        <v>490</v>
      </c>
      <c r="K72" s="6" t="s">
        <v>491</v>
      </c>
      <c r="L72" s="6" t="s">
        <v>492</v>
      </c>
      <c r="M72" s="7" t="s">
        <v>493</v>
      </c>
    </row>
    <row r="73" customFormat="false" ht="42" hidden="false" customHeight="true" outlineLevel="0" collapsed="false">
      <c r="A73" s="5" t="n">
        <f aca="false">ROW()-3</f>
        <v>70</v>
      </c>
      <c r="B73" s="6" t="s">
        <v>494</v>
      </c>
      <c r="C73" s="6" t="s">
        <v>278</v>
      </c>
      <c r="D73" s="6" t="s">
        <v>17</v>
      </c>
      <c r="E73" s="6" t="s">
        <v>495</v>
      </c>
      <c r="F73" s="5" t="n">
        <v>11</v>
      </c>
      <c r="G73" s="5" t="n">
        <v>17.9</v>
      </c>
      <c r="H73" s="5" t="n">
        <v>6</v>
      </c>
      <c r="I73" s="6" t="s">
        <v>496</v>
      </c>
      <c r="J73" s="6" t="s">
        <v>497</v>
      </c>
      <c r="K73" s="6" t="s">
        <v>498</v>
      </c>
      <c r="L73" s="6" t="s">
        <v>499</v>
      </c>
      <c r="M73" s="7" t="s">
        <v>500</v>
      </c>
    </row>
    <row r="74" customFormat="false" ht="42" hidden="false" customHeight="true" outlineLevel="0" collapsed="false">
      <c r="A74" s="5" t="n">
        <f aca="false">ROW()-3</f>
        <v>71</v>
      </c>
      <c r="B74" s="6" t="s">
        <v>501</v>
      </c>
      <c r="C74" s="6" t="s">
        <v>278</v>
      </c>
      <c r="D74" s="6" t="s">
        <v>17</v>
      </c>
      <c r="E74" s="6" t="s">
        <v>502</v>
      </c>
      <c r="F74" s="5" t="n">
        <v>7</v>
      </c>
      <c r="G74" s="5" t="n">
        <v>10.9</v>
      </c>
      <c r="H74" s="5" t="n">
        <v>6</v>
      </c>
      <c r="I74" s="6" t="s">
        <v>503</v>
      </c>
      <c r="J74" s="6" t="s">
        <v>497</v>
      </c>
      <c r="K74" s="6" t="s">
        <v>504</v>
      </c>
      <c r="L74" s="6" t="s">
        <v>505</v>
      </c>
      <c r="M74" s="7" t="s">
        <v>506</v>
      </c>
    </row>
    <row r="75" customFormat="false" ht="42" hidden="false" customHeight="true" outlineLevel="0" collapsed="false">
      <c r="A75" s="5" t="n">
        <f aca="false">ROW()-3</f>
        <v>72</v>
      </c>
      <c r="B75" s="6" t="s">
        <v>507</v>
      </c>
      <c r="C75" s="6" t="s">
        <v>278</v>
      </c>
      <c r="D75" s="6" t="s">
        <v>33</v>
      </c>
      <c r="E75" s="6" t="s">
        <v>508</v>
      </c>
      <c r="F75" s="5" t="n">
        <v>7</v>
      </c>
      <c r="G75" s="5" t="n">
        <v>17.9</v>
      </c>
      <c r="H75" s="5" t="n">
        <v>7</v>
      </c>
      <c r="I75" s="6" t="s">
        <v>509</v>
      </c>
      <c r="J75" s="6" t="s">
        <v>510</v>
      </c>
      <c r="K75" s="6" t="s">
        <v>511</v>
      </c>
      <c r="L75" s="6" t="s">
        <v>512</v>
      </c>
      <c r="M75" s="7" t="s">
        <v>513</v>
      </c>
    </row>
    <row r="76" customFormat="false" ht="42" hidden="false" customHeight="true" outlineLevel="0" collapsed="false">
      <c r="A76" s="5" t="n">
        <f aca="false">ROW()-3</f>
        <v>73</v>
      </c>
      <c r="B76" s="6" t="s">
        <v>514</v>
      </c>
      <c r="C76" s="6" t="s">
        <v>278</v>
      </c>
      <c r="D76" s="6" t="s">
        <v>17</v>
      </c>
      <c r="E76" s="6" t="s">
        <v>495</v>
      </c>
      <c r="F76" s="5" t="n">
        <v>11</v>
      </c>
      <c r="G76" s="5" t="n">
        <v>17.9</v>
      </c>
      <c r="H76" s="5" t="n">
        <v>6</v>
      </c>
      <c r="I76" s="6" t="s">
        <v>515</v>
      </c>
      <c r="J76" s="6" t="s">
        <v>516</v>
      </c>
      <c r="K76" s="6" t="s">
        <v>517</v>
      </c>
      <c r="L76" s="6" t="s">
        <v>518</v>
      </c>
      <c r="M76" s="7" t="s">
        <v>519</v>
      </c>
    </row>
    <row r="77" customFormat="false" ht="42" hidden="false" customHeight="true" outlineLevel="0" collapsed="false">
      <c r="A77" s="5" t="n">
        <f aca="false">ROW()-3</f>
        <v>74</v>
      </c>
      <c r="B77" s="6" t="s">
        <v>520</v>
      </c>
      <c r="C77" s="6" t="s">
        <v>278</v>
      </c>
      <c r="D77" s="6" t="s">
        <v>17</v>
      </c>
      <c r="E77" s="6" t="s">
        <v>502</v>
      </c>
      <c r="F77" s="5" t="n">
        <v>7</v>
      </c>
      <c r="G77" s="5" t="n">
        <v>10.9</v>
      </c>
      <c r="H77" s="5" t="n">
        <v>6</v>
      </c>
      <c r="I77" s="6" t="s">
        <v>521</v>
      </c>
      <c r="J77" s="6" t="s">
        <v>516</v>
      </c>
      <c r="K77" s="6" t="s">
        <v>522</v>
      </c>
      <c r="L77" s="6" t="s">
        <v>523</v>
      </c>
      <c r="M77" s="7" t="s">
        <v>524</v>
      </c>
    </row>
    <row r="78" customFormat="false" ht="42" hidden="false" customHeight="true" outlineLevel="0" collapsed="false">
      <c r="A78" s="5" t="n">
        <f aca="false">ROW()-3</f>
        <v>75</v>
      </c>
      <c r="B78" s="6" t="s">
        <v>525</v>
      </c>
      <c r="C78" s="6" t="s">
        <v>278</v>
      </c>
      <c r="D78" s="6" t="s">
        <v>33</v>
      </c>
      <c r="E78" s="6" t="s">
        <v>526</v>
      </c>
      <c r="F78" s="5" t="n">
        <v>2</v>
      </c>
      <c r="G78" s="5" t="n">
        <v>17.9</v>
      </c>
      <c r="H78" s="5" t="n">
        <v>6</v>
      </c>
      <c r="I78" s="6" t="s">
        <v>527</v>
      </c>
      <c r="J78" s="6" t="s">
        <v>528</v>
      </c>
      <c r="K78" s="6" t="s">
        <v>529</v>
      </c>
      <c r="L78" s="6" t="s">
        <v>530</v>
      </c>
      <c r="M78" s="7" t="s">
        <v>531</v>
      </c>
    </row>
    <row r="79" customFormat="false" ht="42" hidden="false" customHeight="true" outlineLevel="0" collapsed="false">
      <c r="A79" s="5" t="n">
        <f aca="false">ROW()-3</f>
        <v>76</v>
      </c>
      <c r="B79" s="6" t="s">
        <v>532</v>
      </c>
      <c r="C79" s="6" t="s">
        <v>217</v>
      </c>
      <c r="D79" s="6" t="s">
        <v>17</v>
      </c>
      <c r="E79" s="6" t="s">
        <v>263</v>
      </c>
      <c r="F79" s="5" t="n">
        <v>8</v>
      </c>
      <c r="G79" s="5" t="n">
        <v>17.9</v>
      </c>
      <c r="H79" s="5" t="n">
        <v>7</v>
      </c>
      <c r="I79" s="6" t="s">
        <v>533</v>
      </c>
      <c r="J79" s="6" t="s">
        <v>534</v>
      </c>
      <c r="K79" s="6" t="s">
        <v>535</v>
      </c>
      <c r="L79" s="6" t="s">
        <v>536</v>
      </c>
      <c r="M79" s="7" t="s">
        <v>537</v>
      </c>
    </row>
    <row r="80" customFormat="false" ht="42" hidden="false" customHeight="true" outlineLevel="0" collapsed="false">
      <c r="A80" s="5" t="n">
        <f aca="false">ROW()-3</f>
        <v>77</v>
      </c>
      <c r="B80" s="6" t="s">
        <v>538</v>
      </c>
      <c r="C80" s="6" t="s">
        <v>162</v>
      </c>
      <c r="D80" s="6" t="s">
        <v>539</v>
      </c>
      <c r="E80" s="6" t="s">
        <v>263</v>
      </c>
      <c r="F80" s="5" t="n">
        <v>8</v>
      </c>
      <c r="G80" s="5" t="n">
        <v>17</v>
      </c>
      <c r="H80" s="5" t="n">
        <v>4</v>
      </c>
      <c r="I80" s="6" t="s">
        <v>540</v>
      </c>
      <c r="J80" s="6" t="s">
        <v>541</v>
      </c>
      <c r="K80" s="6" t="s">
        <v>542</v>
      </c>
      <c r="L80" s="6" t="s">
        <v>543</v>
      </c>
      <c r="M80" s="7" t="s">
        <v>544</v>
      </c>
    </row>
    <row r="81" customFormat="false" ht="42" hidden="false" customHeight="true" outlineLevel="0" collapsed="false">
      <c r="A81" s="5" t="n">
        <f aca="false">ROW()-3</f>
        <v>78</v>
      </c>
      <c r="B81" s="6" t="s">
        <v>545</v>
      </c>
      <c r="C81" s="6" t="s">
        <v>546</v>
      </c>
      <c r="D81" s="6" t="s">
        <v>17</v>
      </c>
      <c r="E81" s="6" t="s">
        <v>164</v>
      </c>
      <c r="F81" s="5" t="n">
        <v>13</v>
      </c>
      <c r="G81" s="5" t="n">
        <v>99</v>
      </c>
      <c r="H81" s="5" t="n">
        <v>16</v>
      </c>
      <c r="I81" s="6" t="s">
        <v>547</v>
      </c>
      <c r="J81" s="6" t="s">
        <v>548</v>
      </c>
      <c r="K81" s="6" t="s">
        <v>549</v>
      </c>
      <c r="L81" s="6" t="s">
        <v>550</v>
      </c>
      <c r="M81" s="7" t="s">
        <v>551</v>
      </c>
    </row>
    <row r="82" customFormat="false" ht="42" hidden="false" customHeight="true" outlineLevel="0" collapsed="false">
      <c r="A82" s="5" t="n">
        <f aca="false">ROW()-3</f>
        <v>79</v>
      </c>
      <c r="B82" s="6" t="s">
        <v>552</v>
      </c>
      <c r="C82" s="6" t="s">
        <v>546</v>
      </c>
      <c r="D82" s="6" t="s">
        <v>17</v>
      </c>
      <c r="E82" s="6" t="s">
        <v>553</v>
      </c>
      <c r="F82" s="5" t="n">
        <v>8</v>
      </c>
      <c r="G82" s="5" t="n">
        <v>12.9</v>
      </c>
      <c r="H82" s="5" t="n">
        <v>16</v>
      </c>
      <c r="I82" s="6" t="s">
        <v>554</v>
      </c>
      <c r="J82" s="6" t="s">
        <v>548</v>
      </c>
      <c r="K82" s="6" t="s">
        <v>555</v>
      </c>
      <c r="L82" s="6" t="s">
        <v>556</v>
      </c>
      <c r="M82" s="7" t="s">
        <v>557</v>
      </c>
    </row>
    <row r="83" customFormat="false" ht="42" hidden="false" customHeight="true" outlineLevel="0" collapsed="false">
      <c r="A83" s="5" t="n">
        <f aca="false">ROW()-3</f>
        <v>80</v>
      </c>
      <c r="B83" s="6" t="s">
        <v>558</v>
      </c>
      <c r="C83" s="6" t="s">
        <v>546</v>
      </c>
      <c r="D83" s="6" t="s">
        <v>559</v>
      </c>
      <c r="E83" s="6" t="s">
        <v>95</v>
      </c>
      <c r="F83" s="5" t="n">
        <v>6</v>
      </c>
      <c r="G83" s="5" t="n">
        <v>17.9</v>
      </c>
      <c r="H83" s="5" t="n">
        <v>16</v>
      </c>
      <c r="I83" s="6" t="s">
        <v>560</v>
      </c>
      <c r="J83" s="6" t="s">
        <v>548</v>
      </c>
      <c r="K83" s="6" t="s">
        <v>561</v>
      </c>
      <c r="L83" s="6" t="s">
        <v>562</v>
      </c>
      <c r="M83" s="7" t="s">
        <v>563</v>
      </c>
    </row>
    <row r="84" customFormat="false" ht="42" hidden="false" customHeight="true" outlineLevel="0" collapsed="false">
      <c r="A84" s="5" t="n">
        <f aca="false">ROW()-3</f>
        <v>81</v>
      </c>
      <c r="B84" s="6" t="s">
        <v>564</v>
      </c>
      <c r="C84" s="6" t="s">
        <v>546</v>
      </c>
      <c r="D84" s="6" t="s">
        <v>565</v>
      </c>
      <c r="E84" s="6" t="s">
        <v>566</v>
      </c>
      <c r="F84" s="5" t="n">
        <v>14</v>
      </c>
      <c r="G84" s="5" t="n">
        <v>99</v>
      </c>
      <c r="H84" s="5" t="n">
        <v>5</v>
      </c>
      <c r="I84" s="6" t="s">
        <v>567</v>
      </c>
      <c r="J84" s="6" t="s">
        <v>568</v>
      </c>
      <c r="K84" s="6" t="s">
        <v>569</v>
      </c>
      <c r="L84" s="6" t="s">
        <v>570</v>
      </c>
      <c r="M84" s="7" t="s">
        <v>571</v>
      </c>
    </row>
    <row r="85" customFormat="false" ht="42" hidden="false" customHeight="true" outlineLevel="0" collapsed="false">
      <c r="A85" s="5" t="n">
        <f aca="false">ROW()-3</f>
        <v>82</v>
      </c>
      <c r="B85" s="6" t="s">
        <v>572</v>
      </c>
      <c r="C85" s="6" t="s">
        <v>546</v>
      </c>
      <c r="D85" s="6" t="s">
        <v>565</v>
      </c>
      <c r="E85" s="6" t="s">
        <v>573</v>
      </c>
      <c r="F85" s="5" t="n">
        <v>14</v>
      </c>
      <c r="G85" s="5" t="n">
        <v>99</v>
      </c>
      <c r="H85" s="5" t="n">
        <v>15</v>
      </c>
      <c r="I85" s="6" t="s">
        <v>574</v>
      </c>
      <c r="J85" s="6" t="s">
        <v>575</v>
      </c>
      <c r="K85" s="6" t="s">
        <v>576</v>
      </c>
      <c r="L85" s="6" t="s">
        <v>577</v>
      </c>
      <c r="M85" s="7" t="s">
        <v>578</v>
      </c>
    </row>
    <row r="86" customFormat="false" ht="42" hidden="false" customHeight="true" outlineLevel="0" collapsed="false">
      <c r="A86" s="5" t="n">
        <f aca="false">ROW()-3</f>
        <v>83</v>
      </c>
      <c r="B86" s="6" t="s">
        <v>579</v>
      </c>
      <c r="C86" s="6" t="s">
        <v>162</v>
      </c>
      <c r="D86" s="6" t="s">
        <v>580</v>
      </c>
      <c r="E86" s="6" t="s">
        <v>581</v>
      </c>
      <c r="F86" s="5" t="n">
        <v>12</v>
      </c>
      <c r="G86" s="5" t="n">
        <v>25</v>
      </c>
      <c r="H86" s="5" t="n">
        <v>8</v>
      </c>
      <c r="I86" s="6" t="s">
        <v>582</v>
      </c>
      <c r="J86" s="6" t="s">
        <v>583</v>
      </c>
      <c r="K86" s="6" t="s">
        <v>584</v>
      </c>
      <c r="L86" s="6" t="s">
        <v>585</v>
      </c>
      <c r="M86" s="7" t="s">
        <v>586</v>
      </c>
    </row>
    <row r="87" customFormat="false" ht="42" hidden="false" customHeight="true" outlineLevel="0" collapsed="false">
      <c r="A87" s="5" t="n">
        <f aca="false">ROW()-3</f>
        <v>84</v>
      </c>
      <c r="B87" s="6" t="s">
        <v>587</v>
      </c>
      <c r="C87" s="6" t="s">
        <v>208</v>
      </c>
      <c r="D87" s="6" t="s">
        <v>588</v>
      </c>
      <c r="E87" s="6" t="s">
        <v>172</v>
      </c>
      <c r="F87" s="5" t="n">
        <v>8</v>
      </c>
      <c r="G87" s="5" t="n">
        <v>18.9</v>
      </c>
      <c r="H87" s="5" t="n">
        <v>5</v>
      </c>
      <c r="I87" s="6" t="s">
        <v>589</v>
      </c>
      <c r="J87" s="6" t="s">
        <v>590</v>
      </c>
      <c r="K87" s="6" t="s">
        <v>591</v>
      </c>
      <c r="L87" s="6" t="s">
        <v>592</v>
      </c>
      <c r="M87" s="7" t="s">
        <v>593</v>
      </c>
    </row>
    <row r="88" customFormat="false" ht="42" hidden="false" customHeight="true" outlineLevel="0" collapsed="false">
      <c r="A88" s="5" t="n">
        <f aca="false">ROW()-3</f>
        <v>85</v>
      </c>
      <c r="B88" s="6" t="s">
        <v>594</v>
      </c>
      <c r="C88" s="6" t="s">
        <v>217</v>
      </c>
      <c r="D88" s="6" t="s">
        <v>17</v>
      </c>
      <c r="E88" s="6" t="s">
        <v>595</v>
      </c>
      <c r="F88" s="5" t="n">
        <v>6</v>
      </c>
      <c r="G88" s="5" t="n">
        <v>14.9</v>
      </c>
      <c r="H88" s="5" t="n">
        <v>5</v>
      </c>
      <c r="I88" s="6" t="s">
        <v>596</v>
      </c>
      <c r="J88" s="6" t="s">
        <v>597</v>
      </c>
      <c r="K88" s="6" t="s">
        <v>598</v>
      </c>
      <c r="L88" s="6" t="s">
        <v>599</v>
      </c>
      <c r="M88" s="7" t="s">
        <v>600</v>
      </c>
    </row>
    <row r="89" customFormat="false" ht="42" hidden="false" customHeight="true" outlineLevel="0" collapsed="false">
      <c r="A89" s="5" t="n">
        <f aca="false">ROW()-3</f>
        <v>86</v>
      </c>
      <c r="B89" s="6" t="s">
        <v>601</v>
      </c>
      <c r="C89" s="6" t="s">
        <v>546</v>
      </c>
      <c r="D89" s="6" t="s">
        <v>565</v>
      </c>
      <c r="E89" s="6" t="s">
        <v>602</v>
      </c>
      <c r="F89" s="5" t="n">
        <v>14</v>
      </c>
      <c r="G89" s="5" t="n">
        <v>99</v>
      </c>
      <c r="H89" s="5" t="n">
        <v>15</v>
      </c>
      <c r="I89" s="6" t="s">
        <v>603</v>
      </c>
      <c r="J89" s="6" t="s">
        <v>604</v>
      </c>
      <c r="K89" s="6" t="s">
        <v>605</v>
      </c>
      <c r="L89" s="6" t="s">
        <v>606</v>
      </c>
      <c r="M89" s="7" t="s">
        <v>607</v>
      </c>
    </row>
    <row r="90" customFormat="false" ht="42" hidden="false" customHeight="true" outlineLevel="0" collapsed="false">
      <c r="A90" s="5" t="n">
        <f aca="false">ROW()-3</f>
        <v>87</v>
      </c>
      <c r="B90" s="6" t="s">
        <v>608</v>
      </c>
      <c r="C90" s="6" t="s">
        <v>424</v>
      </c>
      <c r="D90" s="6" t="s">
        <v>17</v>
      </c>
      <c r="E90" s="6" t="s">
        <v>609</v>
      </c>
      <c r="F90" s="5" t="n">
        <v>9</v>
      </c>
      <c r="G90" s="5" t="n">
        <v>17.9</v>
      </c>
      <c r="H90" s="5" t="n">
        <v>6</v>
      </c>
      <c r="I90" s="6" t="s">
        <v>610</v>
      </c>
      <c r="J90" s="6" t="s">
        <v>611</v>
      </c>
      <c r="K90" s="6" t="s">
        <v>612</v>
      </c>
      <c r="L90" s="6" t="s">
        <v>613</v>
      </c>
      <c r="M90" s="7" t="s">
        <v>614</v>
      </c>
    </row>
    <row r="91" customFormat="false" ht="42" hidden="false" customHeight="true" outlineLevel="0" collapsed="false">
      <c r="A91" s="5" t="n">
        <f aca="false">ROW()-3</f>
        <v>88</v>
      </c>
      <c r="B91" s="6" t="s">
        <v>615</v>
      </c>
      <c r="C91" s="6" t="s">
        <v>208</v>
      </c>
      <c r="D91" s="6" t="s">
        <v>270</v>
      </c>
      <c r="E91" s="6" t="s">
        <v>616</v>
      </c>
      <c r="F91" s="5" t="n">
        <v>13</v>
      </c>
      <c r="G91" s="5" t="n">
        <v>18.9</v>
      </c>
      <c r="H91" s="5" t="n">
        <v>6</v>
      </c>
      <c r="I91" s="6" t="s">
        <v>617</v>
      </c>
      <c r="J91" s="6" t="s">
        <v>618</v>
      </c>
      <c r="K91" s="6" t="s">
        <v>619</v>
      </c>
      <c r="L91" s="6" t="s">
        <v>620</v>
      </c>
      <c r="M91" s="7" t="s">
        <v>621</v>
      </c>
    </row>
    <row r="92" customFormat="false" ht="42" hidden="false" customHeight="true" outlineLevel="0" collapsed="false">
      <c r="A92" s="5" t="n">
        <f aca="false">ROW()-3</f>
        <v>89</v>
      </c>
      <c r="B92" s="6" t="s">
        <v>622</v>
      </c>
      <c r="C92" s="6" t="s">
        <v>208</v>
      </c>
      <c r="D92" s="6" t="s">
        <v>623</v>
      </c>
      <c r="E92" s="6" t="s">
        <v>624</v>
      </c>
      <c r="F92" s="5" t="n">
        <v>7</v>
      </c>
      <c r="G92" s="5" t="n">
        <v>12.9</v>
      </c>
      <c r="H92" s="5" t="n">
        <v>5</v>
      </c>
      <c r="I92" s="6" t="s">
        <v>625</v>
      </c>
      <c r="J92" s="6" t="s">
        <v>626</v>
      </c>
      <c r="K92" s="6" t="s">
        <v>627</v>
      </c>
      <c r="L92" s="6" t="s">
        <v>628</v>
      </c>
      <c r="M92" s="7" t="s">
        <v>629</v>
      </c>
    </row>
    <row r="93" customFormat="false" ht="42" hidden="false" customHeight="true" outlineLevel="0" collapsed="false">
      <c r="A93" s="5" t="n">
        <f aca="false">ROW()-3</f>
        <v>90</v>
      </c>
      <c r="B93" s="6" t="s">
        <v>630</v>
      </c>
      <c r="C93" s="6" t="s">
        <v>16</v>
      </c>
      <c r="D93" s="6" t="s">
        <v>33</v>
      </c>
      <c r="E93" s="6" t="s">
        <v>631</v>
      </c>
      <c r="F93" s="5" t="n">
        <v>1.5</v>
      </c>
      <c r="G93" s="5" t="n">
        <v>2.9</v>
      </c>
      <c r="H93" s="5" t="n">
        <v>2</v>
      </c>
      <c r="I93" s="6" t="s">
        <v>632</v>
      </c>
      <c r="J93" s="6" t="s">
        <v>633</v>
      </c>
      <c r="K93" s="6" t="s">
        <v>634</v>
      </c>
      <c r="L93" s="6" t="s">
        <v>635</v>
      </c>
      <c r="M93" s="7" t="s">
        <v>636</v>
      </c>
    </row>
    <row r="94" customFormat="false" ht="42" hidden="false" customHeight="true" outlineLevel="0" collapsed="false">
      <c r="A94" s="5" t="n">
        <f aca="false">ROW()-3</f>
        <v>91</v>
      </c>
      <c r="B94" s="6" t="s">
        <v>637</v>
      </c>
      <c r="C94" s="6" t="s">
        <v>16</v>
      </c>
      <c r="D94" s="6" t="s">
        <v>638</v>
      </c>
      <c r="E94" s="6" t="s">
        <v>639</v>
      </c>
      <c r="F94" s="5" t="n">
        <v>5</v>
      </c>
      <c r="G94" s="5" t="n">
        <v>12</v>
      </c>
      <c r="H94" s="5" t="n">
        <v>4</v>
      </c>
      <c r="I94" s="6" t="s">
        <v>640</v>
      </c>
      <c r="J94" s="6" t="s">
        <v>641</v>
      </c>
      <c r="K94" s="6" t="s">
        <v>642</v>
      </c>
      <c r="L94" s="6" t="s">
        <v>643</v>
      </c>
      <c r="M94" s="7" t="s">
        <v>644</v>
      </c>
    </row>
    <row r="95" customFormat="false" ht="42" hidden="false" customHeight="true" outlineLevel="0" collapsed="false">
      <c r="A95" s="5" t="n">
        <f aca="false">ROW()-3</f>
        <v>92</v>
      </c>
      <c r="B95" s="6" t="s">
        <v>645</v>
      </c>
      <c r="C95" s="6" t="s">
        <v>278</v>
      </c>
      <c r="D95" s="6" t="s">
        <v>33</v>
      </c>
      <c r="E95" s="6" t="s">
        <v>646</v>
      </c>
      <c r="F95" s="5" t="n">
        <v>0</v>
      </c>
      <c r="G95" s="5" t="n">
        <v>99</v>
      </c>
      <c r="H95" s="5" t="n">
        <v>3</v>
      </c>
      <c r="I95" s="6" t="s">
        <v>647</v>
      </c>
      <c r="J95" s="6" t="s">
        <v>648</v>
      </c>
      <c r="K95" s="6" t="s">
        <v>649</v>
      </c>
      <c r="L95" s="6" t="s">
        <v>650</v>
      </c>
      <c r="M95" s="7" t="s">
        <v>651</v>
      </c>
    </row>
    <row r="96" customFormat="false" ht="42" hidden="false" customHeight="true" outlineLevel="0" collapsed="false">
      <c r="A96" s="5" t="n">
        <f aca="false">ROW()-3</f>
        <v>93</v>
      </c>
      <c r="B96" s="6" t="s">
        <v>652</v>
      </c>
      <c r="C96" s="6" t="s">
        <v>278</v>
      </c>
      <c r="D96" s="6" t="s">
        <v>33</v>
      </c>
      <c r="E96" s="6" t="s">
        <v>653</v>
      </c>
      <c r="F96" s="5" t="n">
        <v>0</v>
      </c>
      <c r="G96" s="5" t="n">
        <v>99</v>
      </c>
      <c r="H96" s="5" t="n">
        <v>3</v>
      </c>
      <c r="I96" s="6" t="s">
        <v>654</v>
      </c>
      <c r="J96" s="6" t="s">
        <v>648</v>
      </c>
      <c r="K96" s="6" t="s">
        <v>655</v>
      </c>
      <c r="L96" s="6" t="s">
        <v>656</v>
      </c>
      <c r="M96" s="7" t="s">
        <v>657</v>
      </c>
    </row>
    <row r="97" customFormat="false" ht="42" hidden="false" customHeight="true" outlineLevel="0" collapsed="false">
      <c r="A97" s="5" t="n">
        <f aca="false">ROW()-3</f>
        <v>94</v>
      </c>
      <c r="B97" s="6" t="s">
        <v>658</v>
      </c>
      <c r="C97" s="6" t="s">
        <v>278</v>
      </c>
      <c r="D97" s="6" t="s">
        <v>33</v>
      </c>
      <c r="E97" s="6" t="s">
        <v>65</v>
      </c>
      <c r="F97" s="5" t="n">
        <v>0</v>
      </c>
      <c r="G97" s="5" t="n">
        <v>99</v>
      </c>
      <c r="H97" s="5" t="n">
        <v>3</v>
      </c>
      <c r="I97" s="6" t="s">
        <v>659</v>
      </c>
      <c r="J97" s="6" t="s">
        <v>648</v>
      </c>
      <c r="K97" s="6" t="s">
        <v>660</v>
      </c>
      <c r="L97" s="6" t="s">
        <v>661</v>
      </c>
      <c r="M97" s="7" t="s">
        <v>662</v>
      </c>
    </row>
    <row r="98" customFormat="false" ht="42" hidden="false" customHeight="true" outlineLevel="0" collapsed="false">
      <c r="A98" s="5" t="n">
        <f aca="false">ROW()-3</f>
        <v>95</v>
      </c>
      <c r="B98" s="6" t="s">
        <v>663</v>
      </c>
      <c r="C98" s="6" t="s">
        <v>278</v>
      </c>
      <c r="D98" s="6" t="s">
        <v>33</v>
      </c>
      <c r="E98" s="6" t="s">
        <v>26</v>
      </c>
      <c r="F98" s="5" t="n">
        <v>0</v>
      </c>
      <c r="G98" s="5" t="n">
        <v>99</v>
      </c>
      <c r="H98" s="5" t="n">
        <v>3</v>
      </c>
      <c r="I98" s="6" t="s">
        <v>664</v>
      </c>
      <c r="J98" s="6" t="s">
        <v>648</v>
      </c>
      <c r="K98" s="6" t="s">
        <v>665</v>
      </c>
      <c r="L98" s="6" t="s">
        <v>666</v>
      </c>
      <c r="M98" s="7" t="s">
        <v>667</v>
      </c>
    </row>
    <row r="99" customFormat="false" ht="42" hidden="false" customHeight="true" outlineLevel="0" collapsed="false">
      <c r="A99" s="5" t="n">
        <f aca="false">ROW()-3</f>
        <v>96</v>
      </c>
      <c r="B99" s="6" t="s">
        <v>668</v>
      </c>
      <c r="C99" s="6" t="s">
        <v>397</v>
      </c>
      <c r="D99" s="6" t="s">
        <v>17</v>
      </c>
      <c r="E99" s="6" t="s">
        <v>669</v>
      </c>
      <c r="F99" s="5" t="n">
        <v>17</v>
      </c>
      <c r="G99" s="5" t="n">
        <v>99</v>
      </c>
      <c r="H99" s="5" t="n">
        <v>3</v>
      </c>
      <c r="I99" s="6" t="s">
        <v>670</v>
      </c>
      <c r="J99" s="6" t="s">
        <v>671</v>
      </c>
      <c r="K99" s="6" t="s">
        <v>672</v>
      </c>
      <c r="L99" s="6" t="s">
        <v>673</v>
      </c>
      <c r="M99" s="7" t="s">
        <v>674</v>
      </c>
    </row>
    <row r="100" customFormat="false" ht="42" hidden="false" customHeight="true" outlineLevel="0" collapsed="false">
      <c r="A100" s="5" t="n">
        <f aca="false">ROW()-3</f>
        <v>97</v>
      </c>
      <c r="B100" s="6" t="s">
        <v>675</v>
      </c>
      <c r="C100" s="6" t="s">
        <v>16</v>
      </c>
      <c r="D100" s="6" t="s">
        <v>17</v>
      </c>
      <c r="E100" s="6" t="s">
        <v>676</v>
      </c>
      <c r="F100" s="5" t="n">
        <v>1.3</v>
      </c>
      <c r="G100" s="5" t="n">
        <v>2.5</v>
      </c>
      <c r="H100" s="5" t="n">
        <v>7</v>
      </c>
      <c r="I100" s="6" t="s">
        <v>677</v>
      </c>
      <c r="J100" s="6" t="s">
        <v>678</v>
      </c>
      <c r="K100" s="6" t="s">
        <v>679</v>
      </c>
      <c r="L100" s="6" t="s">
        <v>680</v>
      </c>
      <c r="M100" s="7" t="s">
        <v>681</v>
      </c>
    </row>
    <row r="101" customFormat="false" ht="42" hidden="false" customHeight="true" outlineLevel="0" collapsed="false">
      <c r="A101" s="5" t="n">
        <f aca="false">ROW()-3</f>
        <v>98</v>
      </c>
      <c r="B101" s="6" t="s">
        <v>682</v>
      </c>
      <c r="C101" s="6" t="s">
        <v>278</v>
      </c>
      <c r="D101" s="6" t="s">
        <v>683</v>
      </c>
      <c r="E101" s="6" t="s">
        <v>684</v>
      </c>
      <c r="F101" s="5" t="n">
        <v>3</v>
      </c>
      <c r="G101" s="5" t="n">
        <v>17.9</v>
      </c>
      <c r="H101" s="5" t="n">
        <v>6</v>
      </c>
      <c r="I101" s="6" t="s">
        <v>685</v>
      </c>
      <c r="J101" s="6" t="s">
        <v>686</v>
      </c>
      <c r="K101" s="6" t="s">
        <v>687</v>
      </c>
      <c r="L101" s="6" t="s">
        <v>688</v>
      </c>
      <c r="M101" s="7" t="s">
        <v>689</v>
      </c>
    </row>
    <row r="102" customFormat="false" ht="42" hidden="false" customHeight="true" outlineLevel="0" collapsed="false">
      <c r="A102" s="5" t="n">
        <f aca="false">ROW()-3</f>
        <v>99</v>
      </c>
      <c r="B102" s="6" t="s">
        <v>690</v>
      </c>
      <c r="C102" s="6" t="s">
        <v>278</v>
      </c>
      <c r="D102" s="6" t="s">
        <v>683</v>
      </c>
      <c r="E102" s="6" t="s">
        <v>684</v>
      </c>
      <c r="F102" s="5" t="n">
        <v>3</v>
      </c>
      <c r="G102" s="5" t="n">
        <v>17.9</v>
      </c>
      <c r="H102" s="5" t="n">
        <v>10</v>
      </c>
      <c r="I102" s="6" t="s">
        <v>691</v>
      </c>
      <c r="J102" s="6" t="s">
        <v>692</v>
      </c>
      <c r="K102" s="6" t="s">
        <v>693</v>
      </c>
      <c r="L102" s="6" t="s">
        <v>694</v>
      </c>
      <c r="M102" s="7" t="s">
        <v>695</v>
      </c>
    </row>
    <row r="103" customFormat="false" ht="42" hidden="false" customHeight="true" outlineLevel="0" collapsed="false">
      <c r="A103" s="5" t="n">
        <f aca="false">ROW()-3</f>
        <v>100</v>
      </c>
      <c r="B103" s="6" t="s">
        <v>696</v>
      </c>
      <c r="C103" s="6" t="s">
        <v>162</v>
      </c>
      <c r="D103" s="6" t="s">
        <v>17</v>
      </c>
      <c r="E103" s="6" t="s">
        <v>697</v>
      </c>
      <c r="F103" s="5" t="n">
        <v>18</v>
      </c>
      <c r="G103" s="5" t="n">
        <v>99</v>
      </c>
      <c r="H103" s="5" t="n">
        <v>11</v>
      </c>
      <c r="I103" s="6" t="s">
        <v>698</v>
      </c>
      <c r="J103" s="6" t="s">
        <v>699</v>
      </c>
      <c r="K103" s="6" t="s">
        <v>700</v>
      </c>
      <c r="L103" s="6" t="s">
        <v>701</v>
      </c>
      <c r="M103" s="7" t="s">
        <v>702</v>
      </c>
    </row>
    <row r="104" customFormat="false" ht="42" hidden="false" customHeight="true" outlineLevel="0" collapsed="false">
      <c r="A104" s="5" t="n">
        <f aca="false">ROW()-3</f>
        <v>101</v>
      </c>
      <c r="B104" s="6" t="s">
        <v>703</v>
      </c>
      <c r="C104" s="6" t="s">
        <v>424</v>
      </c>
      <c r="D104" s="6" t="s">
        <v>17</v>
      </c>
      <c r="E104" s="6" t="s">
        <v>669</v>
      </c>
      <c r="F104" s="5" t="n">
        <v>17</v>
      </c>
      <c r="G104" s="5" t="n">
        <v>99</v>
      </c>
      <c r="H104" s="5" t="n">
        <v>5</v>
      </c>
      <c r="I104" s="6" t="s">
        <v>704</v>
      </c>
      <c r="J104" s="6" t="s">
        <v>705</v>
      </c>
      <c r="K104" s="6" t="s">
        <v>706</v>
      </c>
      <c r="L104" s="6" t="s">
        <v>707</v>
      </c>
      <c r="M104" s="7" t="s">
        <v>708</v>
      </c>
    </row>
    <row r="105" customFormat="false" ht="42" hidden="false" customHeight="true" outlineLevel="0" collapsed="false">
      <c r="A105" s="5" t="n">
        <f aca="false">ROW()-3</f>
        <v>102</v>
      </c>
      <c r="B105" s="6" t="s">
        <v>709</v>
      </c>
      <c r="C105" s="6" t="s">
        <v>217</v>
      </c>
      <c r="D105" s="6" t="s">
        <v>710</v>
      </c>
      <c r="E105" s="6" t="s">
        <v>218</v>
      </c>
      <c r="F105" s="5" t="n">
        <v>7</v>
      </c>
      <c r="G105" s="5" t="n">
        <v>17.9</v>
      </c>
      <c r="H105" s="5" t="n">
        <v>6</v>
      </c>
      <c r="I105" s="6" t="s">
        <v>711</v>
      </c>
      <c r="J105" s="6" t="s">
        <v>712</v>
      </c>
      <c r="K105" s="6" t="s">
        <v>713</v>
      </c>
      <c r="L105" s="6" t="s">
        <v>714</v>
      </c>
      <c r="M105" s="7" t="s">
        <v>715</v>
      </c>
    </row>
    <row r="106" customFormat="false" ht="42" hidden="false" customHeight="true" outlineLevel="0" collapsed="false">
      <c r="A106" s="5" t="n">
        <f aca="false">ROW()-3</f>
        <v>103</v>
      </c>
      <c r="B106" s="6" t="s">
        <v>716</v>
      </c>
      <c r="C106" s="6" t="s">
        <v>217</v>
      </c>
      <c r="D106" s="6" t="s">
        <v>17</v>
      </c>
      <c r="E106" s="6" t="s">
        <v>717</v>
      </c>
      <c r="F106" s="5" t="n">
        <v>18</v>
      </c>
      <c r="G106" s="5" t="n">
        <v>99</v>
      </c>
      <c r="H106" s="5" t="n">
        <v>7</v>
      </c>
      <c r="I106" s="6" t="s">
        <v>718</v>
      </c>
      <c r="J106" s="6" t="s">
        <v>719</v>
      </c>
      <c r="K106" s="6" t="s">
        <v>720</v>
      </c>
      <c r="L106" s="6" t="s">
        <v>721</v>
      </c>
      <c r="M106" s="7" t="s">
        <v>722</v>
      </c>
    </row>
    <row r="107" customFormat="false" ht="42" hidden="false" customHeight="true" outlineLevel="0" collapsed="false">
      <c r="A107" s="5" t="n">
        <f aca="false">ROW()-3</f>
        <v>104</v>
      </c>
      <c r="B107" s="6" t="s">
        <v>723</v>
      </c>
      <c r="C107" s="6" t="s">
        <v>424</v>
      </c>
      <c r="D107" s="6" t="s">
        <v>17</v>
      </c>
      <c r="E107" s="6" t="s">
        <v>724</v>
      </c>
      <c r="F107" s="5" t="n">
        <v>18</v>
      </c>
      <c r="G107" s="5" t="n">
        <v>99</v>
      </c>
      <c r="H107" s="5" t="n">
        <v>18</v>
      </c>
      <c r="I107" s="6" t="s">
        <v>725</v>
      </c>
      <c r="J107" s="6" t="s">
        <v>726</v>
      </c>
      <c r="K107" s="6" t="s">
        <v>727</v>
      </c>
      <c r="L107" s="6" t="s">
        <v>728</v>
      </c>
      <c r="M107" s="7" t="s">
        <v>729</v>
      </c>
    </row>
    <row r="108" customFormat="false" ht="42" hidden="false" customHeight="true" outlineLevel="0" collapsed="false">
      <c r="A108" s="5" t="n">
        <f aca="false">ROW()-3</f>
        <v>105</v>
      </c>
      <c r="B108" s="6" t="s">
        <v>730</v>
      </c>
      <c r="C108" s="6" t="s">
        <v>424</v>
      </c>
      <c r="D108" s="6" t="s">
        <v>17</v>
      </c>
      <c r="E108" s="6" t="s">
        <v>342</v>
      </c>
      <c r="F108" s="5" t="n">
        <v>12</v>
      </c>
      <c r="G108" s="5" t="n">
        <v>17.9</v>
      </c>
      <c r="H108" s="5" t="n">
        <v>19</v>
      </c>
      <c r="I108" s="6" t="s">
        <v>731</v>
      </c>
      <c r="J108" s="6" t="s">
        <v>732</v>
      </c>
      <c r="K108" s="6" t="s">
        <v>733</v>
      </c>
      <c r="L108" s="6" t="s">
        <v>734</v>
      </c>
      <c r="M108" s="7" t="s">
        <v>735</v>
      </c>
    </row>
    <row r="109" customFormat="false" ht="42" hidden="false" customHeight="true" outlineLevel="0" collapsed="false">
      <c r="A109" s="5" t="n">
        <f aca="false">ROW()-3</f>
        <v>106</v>
      </c>
      <c r="B109" s="6" t="s">
        <v>736</v>
      </c>
      <c r="C109" s="6" t="s">
        <v>397</v>
      </c>
      <c r="D109" s="6" t="s">
        <v>17</v>
      </c>
      <c r="E109" s="6" t="s">
        <v>737</v>
      </c>
      <c r="F109" s="5" t="n">
        <v>10</v>
      </c>
      <c r="G109" s="5" t="n">
        <v>13.9</v>
      </c>
      <c r="H109" s="5" t="n">
        <v>10</v>
      </c>
      <c r="I109" s="6" t="s">
        <v>738</v>
      </c>
      <c r="J109" s="6" t="s">
        <v>739</v>
      </c>
      <c r="K109" s="6" t="s">
        <v>740</v>
      </c>
      <c r="L109" s="6" t="s">
        <v>741</v>
      </c>
      <c r="M109" s="7" t="s">
        <v>742</v>
      </c>
    </row>
    <row r="110" customFormat="false" ht="42" hidden="false" customHeight="true" outlineLevel="0" collapsed="false">
      <c r="A110" s="5" t="n">
        <f aca="false">ROW()-3</f>
        <v>107</v>
      </c>
      <c r="B110" s="6" t="s">
        <v>743</v>
      </c>
      <c r="C110" s="6" t="s">
        <v>397</v>
      </c>
      <c r="D110" s="6" t="s">
        <v>17</v>
      </c>
      <c r="E110" s="6" t="s">
        <v>744</v>
      </c>
      <c r="F110" s="5" t="n">
        <v>14</v>
      </c>
      <c r="G110" s="5" t="n">
        <v>17.9</v>
      </c>
      <c r="H110" s="5" t="n">
        <v>11</v>
      </c>
      <c r="I110" s="6" t="s">
        <v>745</v>
      </c>
      <c r="J110" s="6" t="s">
        <v>746</v>
      </c>
      <c r="K110" s="6" t="s">
        <v>747</v>
      </c>
      <c r="L110" s="6" t="s">
        <v>748</v>
      </c>
      <c r="M110" s="7" t="s">
        <v>749</v>
      </c>
    </row>
    <row r="111" customFormat="false" ht="42" hidden="false" customHeight="true" outlineLevel="0" collapsed="false">
      <c r="A111" s="5" t="n">
        <f aca="false">ROW()-3</f>
        <v>108</v>
      </c>
      <c r="B111" s="6" t="s">
        <v>750</v>
      </c>
      <c r="C111" s="6" t="s">
        <v>397</v>
      </c>
      <c r="D111" s="6" t="s">
        <v>17</v>
      </c>
      <c r="E111" s="6" t="s">
        <v>737</v>
      </c>
      <c r="F111" s="5" t="n">
        <v>10</v>
      </c>
      <c r="G111" s="5" t="n">
        <v>13.9</v>
      </c>
      <c r="H111" s="5" t="n">
        <v>10</v>
      </c>
      <c r="I111" s="6" t="s">
        <v>751</v>
      </c>
      <c r="J111" s="6" t="s">
        <v>739</v>
      </c>
      <c r="K111" s="6" t="s">
        <v>752</v>
      </c>
      <c r="L111" s="6" t="s">
        <v>753</v>
      </c>
      <c r="M111" s="7" t="s">
        <v>754</v>
      </c>
    </row>
    <row r="112" customFormat="false" ht="42" hidden="false" customHeight="true" outlineLevel="0" collapsed="false">
      <c r="A112" s="5" t="n">
        <f aca="false">ROW()-3</f>
        <v>109</v>
      </c>
      <c r="B112" s="6" t="s">
        <v>755</v>
      </c>
      <c r="C112" s="6" t="s">
        <v>397</v>
      </c>
      <c r="D112" s="6" t="s">
        <v>17</v>
      </c>
      <c r="E112" s="6" t="s">
        <v>744</v>
      </c>
      <c r="F112" s="5" t="n">
        <v>14</v>
      </c>
      <c r="G112" s="5" t="n">
        <v>17.9</v>
      </c>
      <c r="H112" s="5" t="n">
        <v>11</v>
      </c>
      <c r="I112" s="6" t="s">
        <v>756</v>
      </c>
      <c r="J112" s="6" t="s">
        <v>746</v>
      </c>
      <c r="K112" s="6" t="s">
        <v>757</v>
      </c>
      <c r="L112" s="6" t="s">
        <v>758</v>
      </c>
      <c r="M112" s="7" t="s">
        <v>759</v>
      </c>
    </row>
    <row r="113" customFormat="false" ht="42" hidden="false" customHeight="true" outlineLevel="0" collapsed="false">
      <c r="A113" s="5" t="n">
        <f aca="false">ROW()-3</f>
        <v>110</v>
      </c>
      <c r="B113" s="6" t="s">
        <v>760</v>
      </c>
      <c r="C113" s="6" t="s">
        <v>397</v>
      </c>
      <c r="D113" s="6" t="s">
        <v>33</v>
      </c>
      <c r="E113" s="6" t="s">
        <v>95</v>
      </c>
      <c r="F113" s="5" t="n">
        <v>6</v>
      </c>
      <c r="G113" s="5" t="n">
        <v>17.9</v>
      </c>
      <c r="H113" s="5" t="n">
        <v>15</v>
      </c>
      <c r="I113" s="6" t="s">
        <v>761</v>
      </c>
      <c r="J113" s="6" t="s">
        <v>762</v>
      </c>
      <c r="K113" s="6" t="s">
        <v>763</v>
      </c>
      <c r="L113" s="6" t="s">
        <v>764</v>
      </c>
      <c r="M113" s="7" t="s">
        <v>765</v>
      </c>
    </row>
    <row r="114" customFormat="false" ht="42" hidden="false" customHeight="true" outlineLevel="0" collapsed="false">
      <c r="A114" s="5" t="n">
        <f aca="false">ROW()-3</f>
        <v>111</v>
      </c>
      <c r="B114" s="6" t="s">
        <v>766</v>
      </c>
      <c r="C114" s="6" t="s">
        <v>397</v>
      </c>
      <c r="D114" s="6" t="s">
        <v>33</v>
      </c>
      <c r="E114" s="6" t="s">
        <v>95</v>
      </c>
      <c r="F114" s="5" t="n">
        <v>6</v>
      </c>
      <c r="G114" s="5" t="n">
        <v>17.9</v>
      </c>
      <c r="H114" s="5" t="n">
        <v>15</v>
      </c>
      <c r="I114" s="6" t="s">
        <v>767</v>
      </c>
      <c r="J114" s="6" t="s">
        <v>762</v>
      </c>
      <c r="K114" s="6" t="s">
        <v>768</v>
      </c>
      <c r="L114" s="6" t="s">
        <v>769</v>
      </c>
      <c r="M114" s="7" t="s">
        <v>770</v>
      </c>
    </row>
    <row r="115" customFormat="false" ht="42" hidden="false" customHeight="true" outlineLevel="0" collapsed="false">
      <c r="A115" s="5" t="n">
        <f aca="false">ROW()-3</f>
        <v>112</v>
      </c>
      <c r="B115" s="6" t="s">
        <v>771</v>
      </c>
      <c r="C115" s="6" t="s">
        <v>397</v>
      </c>
      <c r="D115" s="6" t="s">
        <v>45</v>
      </c>
      <c r="E115" s="6" t="s">
        <v>95</v>
      </c>
      <c r="F115" s="5" t="n">
        <v>6</v>
      </c>
      <c r="G115" s="5" t="n">
        <v>17.9</v>
      </c>
      <c r="H115" s="5" t="n">
        <v>11</v>
      </c>
      <c r="I115" s="6" t="s">
        <v>772</v>
      </c>
      <c r="J115" s="6" t="s">
        <v>773</v>
      </c>
      <c r="K115" s="6" t="s">
        <v>774</v>
      </c>
      <c r="L115" s="6" t="s">
        <v>775</v>
      </c>
      <c r="M115" s="7" t="s">
        <v>776</v>
      </c>
    </row>
    <row r="116" customFormat="false" ht="42" hidden="false" customHeight="true" outlineLevel="0" collapsed="false">
      <c r="A116" s="5" t="n">
        <f aca="false">ROW()-3</f>
        <v>113</v>
      </c>
      <c r="B116" s="6" t="s">
        <v>777</v>
      </c>
      <c r="C116" s="6" t="s">
        <v>397</v>
      </c>
      <c r="D116" s="6" t="s">
        <v>45</v>
      </c>
      <c r="E116" s="6" t="s">
        <v>95</v>
      </c>
      <c r="F116" s="5" t="n">
        <v>6</v>
      </c>
      <c r="G116" s="5" t="n">
        <v>17.9</v>
      </c>
      <c r="H116" s="5" t="n">
        <v>11</v>
      </c>
      <c r="I116" s="6" t="s">
        <v>778</v>
      </c>
      <c r="J116" s="6" t="s">
        <v>773</v>
      </c>
      <c r="K116" s="6" t="s">
        <v>779</v>
      </c>
      <c r="L116" s="6" t="s">
        <v>780</v>
      </c>
      <c r="M116" s="7" t="s">
        <v>781</v>
      </c>
    </row>
    <row r="117" customFormat="false" ht="42" hidden="false" customHeight="true" outlineLevel="0" collapsed="false">
      <c r="A117" s="5" t="n">
        <f aca="false">ROW()-3</f>
        <v>114</v>
      </c>
      <c r="B117" s="6" t="s">
        <v>782</v>
      </c>
      <c r="C117" s="6" t="s">
        <v>217</v>
      </c>
      <c r="D117" s="6" t="s">
        <v>783</v>
      </c>
      <c r="E117" s="6" t="s">
        <v>784</v>
      </c>
      <c r="F117" s="5" t="n">
        <v>12</v>
      </c>
      <c r="G117" s="5" t="n">
        <v>99</v>
      </c>
      <c r="H117" s="5" t="n">
        <v>8</v>
      </c>
      <c r="I117" s="6" t="s">
        <v>785</v>
      </c>
      <c r="J117" s="6" t="s">
        <v>786</v>
      </c>
      <c r="K117" s="6" t="s">
        <v>787</v>
      </c>
      <c r="L117" s="6" t="s">
        <v>788</v>
      </c>
      <c r="M117" s="7" t="s">
        <v>789</v>
      </c>
    </row>
    <row r="118" customFormat="false" ht="42" hidden="false" customHeight="true" outlineLevel="0" collapsed="false">
      <c r="A118" s="5" t="n">
        <f aca="false">ROW()-3</f>
        <v>115</v>
      </c>
      <c r="B118" s="6" t="s">
        <v>790</v>
      </c>
      <c r="C118" s="6" t="s">
        <v>16</v>
      </c>
      <c r="D118" s="6" t="s">
        <v>156</v>
      </c>
      <c r="E118" s="6" t="s">
        <v>791</v>
      </c>
      <c r="F118" s="5" t="n">
        <v>3</v>
      </c>
      <c r="G118" s="5" t="n">
        <v>14.9</v>
      </c>
      <c r="H118" s="5" t="n">
        <v>13</v>
      </c>
      <c r="I118" s="6" t="s">
        <v>792</v>
      </c>
      <c r="J118" s="6" t="s">
        <v>793</v>
      </c>
      <c r="K118" s="6" t="s">
        <v>794</v>
      </c>
      <c r="L118" s="6" t="s">
        <v>795</v>
      </c>
      <c r="M118" s="7" t="s">
        <v>796</v>
      </c>
    </row>
    <row r="119" customFormat="false" ht="42" hidden="false" customHeight="true" outlineLevel="0" collapsed="false">
      <c r="A119" s="5" t="n">
        <f aca="false">ROW()-3</f>
        <v>116</v>
      </c>
      <c r="B119" s="6" t="s">
        <v>797</v>
      </c>
      <c r="C119" s="6" t="s">
        <v>16</v>
      </c>
      <c r="D119" s="6" t="s">
        <v>798</v>
      </c>
      <c r="E119" s="6" t="s">
        <v>791</v>
      </c>
      <c r="F119" s="5" t="n">
        <v>3</v>
      </c>
      <c r="G119" s="5" t="n">
        <v>14.9</v>
      </c>
      <c r="H119" s="5" t="n">
        <v>13</v>
      </c>
      <c r="I119" s="6" t="s">
        <v>799</v>
      </c>
      <c r="J119" s="6" t="s">
        <v>800</v>
      </c>
      <c r="K119" s="6" t="s">
        <v>801</v>
      </c>
      <c r="L119" s="6" t="s">
        <v>802</v>
      </c>
      <c r="M119" s="7" t="s">
        <v>803</v>
      </c>
    </row>
    <row r="120" customFormat="false" ht="42" hidden="false" customHeight="true" outlineLevel="0" collapsed="false">
      <c r="A120" s="5" t="n">
        <f aca="false">ROW()-3</f>
        <v>117</v>
      </c>
      <c r="B120" s="6" t="s">
        <v>804</v>
      </c>
      <c r="C120" s="6" t="s">
        <v>278</v>
      </c>
      <c r="D120" s="6" t="s">
        <v>805</v>
      </c>
      <c r="E120" s="6" t="s">
        <v>806</v>
      </c>
      <c r="F120" s="5" t="n">
        <v>0</v>
      </c>
      <c r="G120" s="5" t="n">
        <v>13</v>
      </c>
      <c r="H120" s="5" t="n">
        <v>4</v>
      </c>
      <c r="I120" s="6" t="s">
        <v>807</v>
      </c>
      <c r="J120" s="6" t="s">
        <v>808</v>
      </c>
      <c r="K120" s="6" t="s">
        <v>809</v>
      </c>
      <c r="L120" s="6" t="s">
        <v>810</v>
      </c>
      <c r="M120" s="7" t="s">
        <v>811</v>
      </c>
    </row>
    <row r="121" customFormat="false" ht="42" hidden="false" customHeight="true" outlineLevel="0" collapsed="false">
      <c r="A121" s="5" t="n">
        <f aca="false">ROW()-3</f>
        <v>118</v>
      </c>
      <c r="B121" s="6" t="s">
        <v>812</v>
      </c>
      <c r="C121" s="6" t="s">
        <v>115</v>
      </c>
      <c r="D121" s="6" t="s">
        <v>17</v>
      </c>
      <c r="E121" s="6" t="s">
        <v>813</v>
      </c>
      <c r="F121" s="5" t="n">
        <v>10</v>
      </c>
      <c r="G121" s="5" t="n">
        <v>17.9</v>
      </c>
      <c r="H121" s="5" t="n">
        <v>5</v>
      </c>
      <c r="I121" s="6" t="s">
        <v>814</v>
      </c>
      <c r="J121" s="6" t="s">
        <v>815</v>
      </c>
      <c r="K121" s="6" t="s">
        <v>816</v>
      </c>
      <c r="L121" s="6" t="s">
        <v>817</v>
      </c>
      <c r="M121" s="7" t="s">
        <v>818</v>
      </c>
    </row>
    <row r="122" customFormat="false" ht="42" hidden="false" customHeight="true" outlineLevel="0" collapsed="false">
      <c r="A122" s="5" t="n">
        <f aca="false">ROW()-3</f>
        <v>119</v>
      </c>
      <c r="B122" s="6" t="s">
        <v>819</v>
      </c>
      <c r="C122" s="6" t="s">
        <v>115</v>
      </c>
      <c r="D122" s="6" t="s">
        <v>17</v>
      </c>
      <c r="E122" s="6" t="s">
        <v>820</v>
      </c>
      <c r="F122" s="5" t="n">
        <v>10</v>
      </c>
      <c r="G122" s="5" t="n">
        <v>15.9</v>
      </c>
      <c r="H122" s="5" t="n">
        <v>4</v>
      </c>
      <c r="I122" s="6" t="s">
        <v>821</v>
      </c>
      <c r="J122" s="6" t="s">
        <v>822</v>
      </c>
      <c r="K122" s="6" t="s">
        <v>823</v>
      </c>
      <c r="L122" s="6" t="s">
        <v>824</v>
      </c>
      <c r="M122" s="7" t="s">
        <v>825</v>
      </c>
    </row>
    <row r="123" customFormat="false" ht="42" hidden="false" customHeight="true" outlineLevel="0" collapsed="false">
      <c r="A123" s="5" t="n">
        <f aca="false">ROW()-3</f>
        <v>120</v>
      </c>
      <c r="B123" s="6" t="s">
        <v>826</v>
      </c>
      <c r="C123" s="6" t="s">
        <v>278</v>
      </c>
      <c r="D123" s="6" t="s">
        <v>827</v>
      </c>
      <c r="E123" s="6" t="s">
        <v>828</v>
      </c>
      <c r="F123" s="5" t="n">
        <v>0</v>
      </c>
      <c r="G123" s="5" t="n">
        <v>99</v>
      </c>
      <c r="H123" s="5" t="n">
        <v>3</v>
      </c>
      <c r="I123" s="6" t="s">
        <v>829</v>
      </c>
      <c r="J123" s="6" t="s">
        <v>830</v>
      </c>
      <c r="K123" s="6" t="s">
        <v>831</v>
      </c>
      <c r="L123" s="6" t="s">
        <v>832</v>
      </c>
      <c r="M123" s="7" t="s">
        <v>833</v>
      </c>
    </row>
    <row r="124" customFormat="false" ht="42" hidden="false" customHeight="true" outlineLevel="0" collapsed="false">
      <c r="A124" s="5" t="n">
        <f aca="false">ROW()-3</f>
        <v>121</v>
      </c>
      <c r="B124" s="6" t="s">
        <v>834</v>
      </c>
      <c r="C124" s="6" t="s">
        <v>278</v>
      </c>
      <c r="D124" s="6" t="s">
        <v>835</v>
      </c>
      <c r="E124" s="6" t="s">
        <v>828</v>
      </c>
      <c r="F124" s="5" t="n">
        <v>0</v>
      </c>
      <c r="G124" s="5" t="n">
        <v>99</v>
      </c>
      <c r="H124" s="5" t="n">
        <v>3</v>
      </c>
      <c r="I124" s="6" t="s">
        <v>836</v>
      </c>
      <c r="J124" s="6" t="s">
        <v>830</v>
      </c>
      <c r="K124" s="6" t="s">
        <v>837</v>
      </c>
      <c r="L124" s="6" t="s">
        <v>838</v>
      </c>
      <c r="M124" s="7" t="s">
        <v>839</v>
      </c>
    </row>
    <row r="125" customFormat="false" ht="42" hidden="false" customHeight="true" outlineLevel="0" collapsed="false">
      <c r="A125" s="5" t="n">
        <f aca="false">ROW()-3</f>
        <v>122</v>
      </c>
      <c r="B125" s="6" t="s">
        <v>840</v>
      </c>
      <c r="C125" s="6" t="s">
        <v>424</v>
      </c>
      <c r="D125" s="6" t="s">
        <v>270</v>
      </c>
      <c r="E125" s="6" t="s">
        <v>841</v>
      </c>
      <c r="F125" s="5" t="n">
        <v>10</v>
      </c>
      <c r="G125" s="5" t="n">
        <v>24.9</v>
      </c>
      <c r="H125" s="5" t="n">
        <v>22</v>
      </c>
      <c r="I125" s="6" t="s">
        <v>842</v>
      </c>
      <c r="J125" s="6" t="s">
        <v>843</v>
      </c>
      <c r="K125" s="6" t="s">
        <v>844</v>
      </c>
      <c r="L125" s="6" t="s">
        <v>845</v>
      </c>
      <c r="M125" s="7" t="s">
        <v>846</v>
      </c>
    </row>
    <row r="126" customFormat="false" ht="42" hidden="false" customHeight="true" outlineLevel="0" collapsed="false">
      <c r="A126" s="5" t="n">
        <f aca="false">ROW()-3</f>
        <v>123</v>
      </c>
      <c r="B126" s="6" t="s">
        <v>847</v>
      </c>
      <c r="C126" s="6" t="s">
        <v>278</v>
      </c>
      <c r="D126" s="6" t="s">
        <v>33</v>
      </c>
      <c r="E126" s="6" t="s">
        <v>26</v>
      </c>
      <c r="F126" s="5" t="n">
        <v>0</v>
      </c>
      <c r="G126" s="5" t="n">
        <v>5.9</v>
      </c>
      <c r="H126" s="5" t="n">
        <v>3</v>
      </c>
      <c r="I126" s="6" t="s">
        <v>848</v>
      </c>
      <c r="J126" s="6" t="s">
        <v>849</v>
      </c>
      <c r="K126" s="6" t="s">
        <v>850</v>
      </c>
      <c r="L126" s="6" t="s">
        <v>851</v>
      </c>
      <c r="M126" s="7" t="s">
        <v>852</v>
      </c>
    </row>
    <row r="127" customFormat="false" ht="42" hidden="false" customHeight="true" outlineLevel="0" collapsed="false">
      <c r="A127" s="5" t="n">
        <f aca="false">ROW()-3</f>
        <v>124</v>
      </c>
      <c r="B127" s="6" t="s">
        <v>853</v>
      </c>
      <c r="C127" s="6" t="s">
        <v>72</v>
      </c>
      <c r="D127" s="6" t="s">
        <v>854</v>
      </c>
      <c r="E127" s="6" t="s">
        <v>95</v>
      </c>
      <c r="F127" s="5" t="n">
        <v>6</v>
      </c>
      <c r="G127" s="5" t="n">
        <v>17.9</v>
      </c>
      <c r="H127" s="5" t="n">
        <v>9</v>
      </c>
      <c r="I127" s="6" t="s">
        <v>855</v>
      </c>
      <c r="J127" s="6" t="s">
        <v>856</v>
      </c>
      <c r="K127" s="6" t="s">
        <v>857</v>
      </c>
      <c r="L127" s="6" t="s">
        <v>858</v>
      </c>
      <c r="M127" s="7" t="s">
        <v>859</v>
      </c>
    </row>
    <row r="128" customFormat="false" ht="42" hidden="false" customHeight="true" outlineLevel="0" collapsed="false">
      <c r="A128" s="5" t="n">
        <f aca="false">ROW()-3</f>
        <v>125</v>
      </c>
      <c r="B128" s="6" t="s">
        <v>860</v>
      </c>
      <c r="C128" s="6" t="s">
        <v>72</v>
      </c>
      <c r="D128" s="6" t="s">
        <v>33</v>
      </c>
      <c r="E128" s="6" t="s">
        <v>95</v>
      </c>
      <c r="F128" s="5" t="n">
        <v>6</v>
      </c>
      <c r="G128" s="5" t="n">
        <v>17.9</v>
      </c>
      <c r="H128" s="5" t="n">
        <v>9</v>
      </c>
      <c r="I128" s="6" t="s">
        <v>861</v>
      </c>
      <c r="J128" s="6" t="s">
        <v>862</v>
      </c>
      <c r="K128" s="6" t="s">
        <v>863</v>
      </c>
      <c r="L128" s="6" t="s">
        <v>864</v>
      </c>
      <c r="M128" s="7" t="s">
        <v>865</v>
      </c>
    </row>
    <row r="129" customFormat="false" ht="42" hidden="false" customHeight="true" outlineLevel="0" collapsed="false">
      <c r="A129" s="5" t="n">
        <f aca="false">ROW()-3</f>
        <v>126</v>
      </c>
      <c r="B129" s="6" t="s">
        <v>866</v>
      </c>
      <c r="C129" s="6" t="s">
        <v>16</v>
      </c>
      <c r="D129" s="6" t="s">
        <v>17</v>
      </c>
      <c r="E129" s="6" t="s">
        <v>73</v>
      </c>
      <c r="F129" s="5" t="n">
        <v>16</v>
      </c>
      <c r="G129" s="5" t="n">
        <v>99</v>
      </c>
      <c r="H129" s="5" t="n">
        <v>5</v>
      </c>
      <c r="I129" s="6" t="s">
        <v>867</v>
      </c>
      <c r="J129" s="6" t="s">
        <v>868</v>
      </c>
      <c r="K129" s="6" t="s">
        <v>869</v>
      </c>
      <c r="L129" s="6" t="s">
        <v>870</v>
      </c>
      <c r="M129" s="7" t="s">
        <v>871</v>
      </c>
    </row>
    <row r="130" customFormat="false" ht="42" hidden="false" customHeight="true" outlineLevel="0" collapsed="false">
      <c r="A130" s="5" t="n">
        <f aca="false">ROW()-3</f>
        <v>127</v>
      </c>
      <c r="B130" s="6" t="s">
        <v>872</v>
      </c>
      <c r="C130" s="6" t="s">
        <v>16</v>
      </c>
      <c r="D130" s="6" t="s">
        <v>873</v>
      </c>
      <c r="E130" s="6" t="s">
        <v>874</v>
      </c>
      <c r="F130" s="5" t="n">
        <v>3</v>
      </c>
      <c r="G130" s="5" t="n">
        <v>70</v>
      </c>
      <c r="H130" s="5" t="n">
        <v>7</v>
      </c>
      <c r="I130" s="6" t="s">
        <v>875</v>
      </c>
      <c r="J130" s="6" t="s">
        <v>876</v>
      </c>
      <c r="K130" s="6" t="s">
        <v>877</v>
      </c>
      <c r="L130" s="6" t="s">
        <v>878</v>
      </c>
      <c r="M130" s="7" t="s">
        <v>879</v>
      </c>
    </row>
    <row r="131" customFormat="false" ht="42" hidden="false" customHeight="true" outlineLevel="0" collapsed="false">
      <c r="A131" s="5" t="n">
        <f aca="false">ROW()-3</f>
        <v>128</v>
      </c>
      <c r="B131" s="6" t="s">
        <v>880</v>
      </c>
      <c r="C131" s="6" t="s">
        <v>217</v>
      </c>
      <c r="D131" s="6" t="s">
        <v>805</v>
      </c>
      <c r="E131" s="6" t="s">
        <v>609</v>
      </c>
      <c r="F131" s="5" t="n">
        <v>9</v>
      </c>
      <c r="G131" s="5" t="n">
        <v>18</v>
      </c>
      <c r="H131" s="5" t="n">
        <v>8</v>
      </c>
      <c r="I131" s="6" t="s">
        <v>881</v>
      </c>
      <c r="J131" s="6" t="s">
        <v>882</v>
      </c>
      <c r="K131" s="6" t="s">
        <v>883</v>
      </c>
      <c r="L131" s="6" t="s">
        <v>884</v>
      </c>
      <c r="M131" s="7" t="s">
        <v>885</v>
      </c>
    </row>
    <row r="132" customFormat="false" ht="42" hidden="false" customHeight="true" outlineLevel="0" collapsed="false">
      <c r="A132" s="5" t="n">
        <f aca="false">ROW()-3</f>
        <v>129</v>
      </c>
      <c r="B132" s="6" t="s">
        <v>886</v>
      </c>
      <c r="C132" s="6" t="s">
        <v>217</v>
      </c>
      <c r="D132" s="6" t="s">
        <v>17</v>
      </c>
      <c r="E132" s="6" t="s">
        <v>609</v>
      </c>
      <c r="F132" s="5" t="n">
        <v>9</v>
      </c>
      <c r="G132" s="5" t="n">
        <v>18</v>
      </c>
      <c r="H132" s="5" t="n">
        <v>8</v>
      </c>
      <c r="I132" s="6" t="s">
        <v>887</v>
      </c>
      <c r="J132" s="6" t="s">
        <v>882</v>
      </c>
      <c r="K132" s="6" t="s">
        <v>888</v>
      </c>
      <c r="L132" s="6" t="s">
        <v>889</v>
      </c>
      <c r="M132" s="7" t="s">
        <v>890</v>
      </c>
    </row>
    <row r="133" customFormat="false" ht="42" hidden="false" customHeight="true" outlineLevel="0" collapsed="false">
      <c r="A133" s="5" t="n">
        <f aca="false">ROW()-3</f>
        <v>130</v>
      </c>
      <c r="B133" s="6" t="s">
        <v>891</v>
      </c>
      <c r="C133" s="6" t="s">
        <v>217</v>
      </c>
      <c r="D133" s="6" t="s">
        <v>805</v>
      </c>
      <c r="E133" s="6" t="s">
        <v>609</v>
      </c>
      <c r="F133" s="5" t="n">
        <v>9</v>
      </c>
      <c r="G133" s="5" t="n">
        <v>18</v>
      </c>
      <c r="H133" s="5" t="n">
        <v>13</v>
      </c>
      <c r="I133" s="6" t="s">
        <v>892</v>
      </c>
      <c r="J133" s="6" t="s">
        <v>893</v>
      </c>
      <c r="K133" s="6" t="s">
        <v>894</v>
      </c>
      <c r="L133" s="6" t="s">
        <v>895</v>
      </c>
      <c r="M133" s="7" t="s">
        <v>896</v>
      </c>
    </row>
    <row r="134" customFormat="false" ht="42" hidden="false" customHeight="true" outlineLevel="0" collapsed="false">
      <c r="A134" s="5" t="n">
        <f aca="false">ROW()-3</f>
        <v>131</v>
      </c>
      <c r="B134" s="6" t="s">
        <v>897</v>
      </c>
      <c r="C134" s="6" t="s">
        <v>217</v>
      </c>
      <c r="D134" s="6" t="s">
        <v>17</v>
      </c>
      <c r="E134" s="6" t="s">
        <v>609</v>
      </c>
      <c r="F134" s="5" t="n">
        <v>9</v>
      </c>
      <c r="G134" s="5" t="n">
        <v>18</v>
      </c>
      <c r="H134" s="5" t="n">
        <v>13</v>
      </c>
      <c r="I134" s="6" t="s">
        <v>898</v>
      </c>
      <c r="J134" s="6" t="s">
        <v>893</v>
      </c>
      <c r="K134" s="6" t="s">
        <v>899</v>
      </c>
      <c r="L134" s="6" t="s">
        <v>900</v>
      </c>
      <c r="M134" s="7" t="s">
        <v>901</v>
      </c>
    </row>
    <row r="135" customFormat="false" ht="42" hidden="false" customHeight="true" outlineLevel="0" collapsed="false">
      <c r="A135" s="5" t="n">
        <f aca="false">ROW()-3</f>
        <v>132</v>
      </c>
      <c r="B135" s="6" t="s">
        <v>902</v>
      </c>
      <c r="C135" s="6" t="s">
        <v>217</v>
      </c>
      <c r="D135" s="6" t="s">
        <v>17</v>
      </c>
      <c r="E135" s="6" t="s">
        <v>903</v>
      </c>
      <c r="F135" s="5" t="n">
        <v>12</v>
      </c>
      <c r="G135" s="5" t="n">
        <v>20</v>
      </c>
      <c r="H135" s="5" t="n">
        <v>1</v>
      </c>
      <c r="I135" s="6" t="s">
        <v>904</v>
      </c>
      <c r="J135" s="6" t="s">
        <v>905</v>
      </c>
      <c r="K135" s="6" t="s">
        <v>906</v>
      </c>
      <c r="L135" s="6" t="s">
        <v>907</v>
      </c>
      <c r="M135" s="7" t="s">
        <v>908</v>
      </c>
    </row>
    <row r="136" customFormat="false" ht="42" hidden="false" customHeight="true" outlineLevel="0" collapsed="false">
      <c r="A136" s="5" t="n">
        <f aca="false">ROW()-3</f>
        <v>133</v>
      </c>
      <c r="B136" s="6" t="s">
        <v>909</v>
      </c>
      <c r="C136" s="6" t="s">
        <v>217</v>
      </c>
      <c r="D136" s="6" t="s">
        <v>17</v>
      </c>
      <c r="E136" s="6" t="s">
        <v>172</v>
      </c>
      <c r="F136" s="5" t="n">
        <v>8</v>
      </c>
      <c r="G136" s="5" t="n">
        <v>17.9</v>
      </c>
      <c r="H136" s="5" t="n">
        <v>8</v>
      </c>
      <c r="I136" s="6" t="s">
        <v>910</v>
      </c>
      <c r="J136" s="6" t="s">
        <v>911</v>
      </c>
      <c r="K136" s="6" t="s">
        <v>912</v>
      </c>
      <c r="L136" s="6" t="s">
        <v>913</v>
      </c>
      <c r="M136" s="7" t="s">
        <v>914</v>
      </c>
    </row>
    <row r="137" customFormat="false" ht="42" hidden="false" customHeight="true" outlineLevel="0" collapsed="false">
      <c r="A137" s="5" t="n">
        <f aca="false">ROW()-3</f>
        <v>134</v>
      </c>
      <c r="B137" s="6" t="s">
        <v>915</v>
      </c>
      <c r="C137" s="6" t="s">
        <v>217</v>
      </c>
      <c r="D137" s="6" t="s">
        <v>33</v>
      </c>
      <c r="E137" s="6" t="s">
        <v>172</v>
      </c>
      <c r="F137" s="5" t="n">
        <v>8</v>
      </c>
      <c r="G137" s="5" t="n">
        <v>17.9</v>
      </c>
      <c r="H137" s="5" t="n">
        <v>8</v>
      </c>
      <c r="I137" s="6" t="s">
        <v>916</v>
      </c>
      <c r="J137" s="6" t="s">
        <v>911</v>
      </c>
      <c r="K137" s="6" t="s">
        <v>917</v>
      </c>
      <c r="L137" s="6" t="s">
        <v>918</v>
      </c>
      <c r="M137" s="7" t="s">
        <v>919</v>
      </c>
    </row>
    <row r="138" customFormat="false" ht="42" hidden="false" customHeight="true" outlineLevel="0" collapsed="false">
      <c r="A138" s="5" t="n">
        <f aca="false">ROW()-3</f>
        <v>135</v>
      </c>
      <c r="B138" s="6" t="s">
        <v>920</v>
      </c>
      <c r="C138" s="6" t="s">
        <v>546</v>
      </c>
      <c r="D138" s="6" t="s">
        <v>565</v>
      </c>
      <c r="E138" s="6" t="s">
        <v>921</v>
      </c>
      <c r="F138" s="5" t="n">
        <v>13</v>
      </c>
      <c r="G138" s="5" t="n">
        <v>99</v>
      </c>
      <c r="H138" s="5" t="n">
        <v>7</v>
      </c>
      <c r="I138" s="6" t="s">
        <v>922</v>
      </c>
      <c r="J138" s="6" t="s">
        <v>923</v>
      </c>
      <c r="K138" s="6" t="s">
        <v>924</v>
      </c>
      <c r="L138" s="6" t="s">
        <v>925</v>
      </c>
      <c r="M138" s="7" t="s">
        <v>926</v>
      </c>
    </row>
    <row r="139" customFormat="false" ht="42" hidden="false" customHeight="true" outlineLevel="0" collapsed="false">
      <c r="A139" s="5" t="n">
        <f aca="false">ROW()-3</f>
        <v>136</v>
      </c>
      <c r="B139" s="6" t="s">
        <v>927</v>
      </c>
      <c r="C139" s="6" t="s">
        <v>397</v>
      </c>
      <c r="D139" s="6" t="s">
        <v>270</v>
      </c>
      <c r="E139" s="6" t="s">
        <v>928</v>
      </c>
      <c r="F139" s="5" t="n">
        <v>11</v>
      </c>
      <c r="G139" s="5" t="n">
        <v>17.9</v>
      </c>
      <c r="H139" s="5" t="n">
        <v>4</v>
      </c>
      <c r="I139" s="6" t="s">
        <v>929</v>
      </c>
      <c r="J139" s="6" t="s">
        <v>930</v>
      </c>
      <c r="K139" s="6" t="s">
        <v>931</v>
      </c>
      <c r="L139" s="6" t="s">
        <v>932</v>
      </c>
      <c r="M139" s="7" t="s">
        <v>933</v>
      </c>
    </row>
    <row r="140" customFormat="false" ht="42" hidden="false" customHeight="true" outlineLevel="0" collapsed="false">
      <c r="A140" s="5" t="n">
        <f aca="false">ROW()-3</f>
        <v>137</v>
      </c>
      <c r="B140" s="6" t="s">
        <v>934</v>
      </c>
      <c r="C140" s="6" t="s">
        <v>131</v>
      </c>
      <c r="D140" s="6" t="s">
        <v>935</v>
      </c>
      <c r="E140" s="6" t="s">
        <v>936</v>
      </c>
      <c r="F140" s="5" t="n">
        <v>5</v>
      </c>
      <c r="G140" s="5" t="n">
        <v>11</v>
      </c>
      <c r="H140" s="5" t="n">
        <v>3</v>
      </c>
      <c r="I140" s="6" t="s">
        <v>937</v>
      </c>
      <c r="J140" s="6" t="s">
        <v>938</v>
      </c>
      <c r="K140" s="6" t="s">
        <v>939</v>
      </c>
      <c r="L140" s="6" t="s">
        <v>940</v>
      </c>
      <c r="M140" s="7" t="s">
        <v>941</v>
      </c>
    </row>
    <row r="141" customFormat="false" ht="42" hidden="false" customHeight="true" outlineLevel="0" collapsed="false">
      <c r="A141" s="5" t="n">
        <f aca="false">ROW()-3</f>
        <v>138</v>
      </c>
      <c r="B141" s="6" t="s">
        <v>942</v>
      </c>
      <c r="C141" s="6" t="s">
        <v>397</v>
      </c>
      <c r="D141" s="6" t="s">
        <v>943</v>
      </c>
      <c r="E141" s="6" t="s">
        <v>95</v>
      </c>
      <c r="F141" s="5" t="n">
        <v>6</v>
      </c>
      <c r="G141" s="5" t="n">
        <v>17.9</v>
      </c>
      <c r="H141" s="5" t="n">
        <v>6</v>
      </c>
      <c r="I141" s="6" t="s">
        <v>944</v>
      </c>
      <c r="J141" s="6" t="s">
        <v>945</v>
      </c>
      <c r="K141" s="6" t="s">
        <v>946</v>
      </c>
      <c r="L141" s="6" t="s">
        <v>947</v>
      </c>
      <c r="M141" s="7" t="s">
        <v>948</v>
      </c>
    </row>
    <row r="142" customFormat="false" ht="42" hidden="false" customHeight="true" outlineLevel="0" collapsed="false">
      <c r="A142" s="5" t="n">
        <f aca="false">ROW()-3</f>
        <v>139</v>
      </c>
      <c r="B142" s="6" t="s">
        <v>949</v>
      </c>
      <c r="C142" s="6" t="s">
        <v>217</v>
      </c>
      <c r="D142" s="6" t="s">
        <v>33</v>
      </c>
      <c r="E142" s="6" t="s">
        <v>950</v>
      </c>
      <c r="F142" s="5" t="n">
        <v>3</v>
      </c>
      <c r="G142" s="5" t="n">
        <v>12.9</v>
      </c>
      <c r="H142" s="5" t="n">
        <v>6</v>
      </c>
      <c r="I142" s="6" t="s">
        <v>951</v>
      </c>
      <c r="J142" s="6" t="s">
        <v>952</v>
      </c>
      <c r="K142" s="6" t="s">
        <v>953</v>
      </c>
      <c r="L142" s="6" t="s">
        <v>954</v>
      </c>
      <c r="M142" s="7" t="s">
        <v>955</v>
      </c>
    </row>
    <row r="143" customFormat="false" ht="42" hidden="false" customHeight="true" outlineLevel="0" collapsed="false">
      <c r="A143" s="5" t="n">
        <f aca="false">ROW()-3</f>
        <v>140</v>
      </c>
      <c r="B143" s="6" t="s">
        <v>956</v>
      </c>
      <c r="C143" s="6" t="s">
        <v>217</v>
      </c>
      <c r="D143" s="6" t="s">
        <v>156</v>
      </c>
      <c r="E143" s="6" t="s">
        <v>950</v>
      </c>
      <c r="F143" s="5" t="n">
        <v>3</v>
      </c>
      <c r="G143" s="5" t="n">
        <v>12.9</v>
      </c>
      <c r="H143" s="5" t="n">
        <v>6</v>
      </c>
      <c r="I143" s="6" t="s">
        <v>957</v>
      </c>
      <c r="J143" s="6" t="s">
        <v>952</v>
      </c>
      <c r="K143" s="6" t="s">
        <v>958</v>
      </c>
      <c r="L143" s="6" t="s">
        <v>959</v>
      </c>
      <c r="M143" s="7" t="s">
        <v>960</v>
      </c>
    </row>
    <row r="144" customFormat="false" ht="42" hidden="false" customHeight="true" outlineLevel="0" collapsed="false">
      <c r="A144" s="5" t="n">
        <f aca="false">ROW()-3</f>
        <v>141</v>
      </c>
      <c r="B144" s="6" t="s">
        <v>961</v>
      </c>
      <c r="C144" s="6" t="s">
        <v>438</v>
      </c>
      <c r="D144" s="6" t="s">
        <v>171</v>
      </c>
      <c r="E144" s="6" t="s">
        <v>616</v>
      </c>
      <c r="F144" s="5" t="n">
        <v>1.1</v>
      </c>
      <c r="G144" s="5" t="n">
        <v>1.5</v>
      </c>
      <c r="H144" s="5" t="n">
        <v>11</v>
      </c>
      <c r="I144" s="6" t="s">
        <v>962</v>
      </c>
      <c r="J144" s="6" t="s">
        <v>963</v>
      </c>
      <c r="K144" s="6" t="s">
        <v>964</v>
      </c>
      <c r="L144" s="6" t="s">
        <v>965</v>
      </c>
      <c r="M144" s="7" t="s">
        <v>966</v>
      </c>
    </row>
    <row r="145" customFormat="false" ht="42" hidden="false" customHeight="true" outlineLevel="0" collapsed="false">
      <c r="A145" s="5" t="n">
        <f aca="false">ROW()-3</f>
        <v>142</v>
      </c>
      <c r="B145" s="6" t="s">
        <v>967</v>
      </c>
      <c r="C145" s="6" t="s">
        <v>438</v>
      </c>
      <c r="D145" s="6" t="s">
        <v>171</v>
      </c>
      <c r="E145" s="6" t="s">
        <v>968</v>
      </c>
      <c r="F145" s="5" t="n">
        <v>0.7</v>
      </c>
      <c r="G145" s="5" t="n">
        <v>1.2</v>
      </c>
      <c r="H145" s="5" t="n">
        <v>9</v>
      </c>
      <c r="I145" s="6" t="s">
        <v>969</v>
      </c>
      <c r="J145" s="6" t="s">
        <v>970</v>
      </c>
      <c r="K145" s="6" t="s">
        <v>971</v>
      </c>
      <c r="L145" s="6" t="s">
        <v>972</v>
      </c>
      <c r="M145" s="7" t="s">
        <v>973</v>
      </c>
    </row>
    <row r="146" customFormat="false" ht="42" hidden="false" customHeight="true" outlineLevel="0" collapsed="false">
      <c r="A146" s="5" t="n">
        <f aca="false">ROW()-3</f>
        <v>143</v>
      </c>
      <c r="B146" s="6" t="s">
        <v>974</v>
      </c>
      <c r="C146" s="6" t="s">
        <v>438</v>
      </c>
      <c r="D146" s="6" t="s">
        <v>45</v>
      </c>
      <c r="E146" s="6" t="s">
        <v>975</v>
      </c>
      <c r="F146" s="5" t="n">
        <v>0.7</v>
      </c>
      <c r="G146" s="5" t="n">
        <v>1.2</v>
      </c>
      <c r="H146" s="5" t="n">
        <v>6</v>
      </c>
      <c r="I146" s="6" t="s">
        <v>976</v>
      </c>
      <c r="J146" s="6" t="s">
        <v>977</v>
      </c>
      <c r="K146" s="6" t="s">
        <v>978</v>
      </c>
      <c r="L146" s="6" t="s">
        <v>979</v>
      </c>
      <c r="M146" s="7" t="s">
        <v>980</v>
      </c>
    </row>
    <row r="147" customFormat="false" ht="42" hidden="false" customHeight="true" outlineLevel="0" collapsed="false">
      <c r="A147" s="5" t="n">
        <f aca="false">ROW()-3</f>
        <v>144</v>
      </c>
      <c r="B147" s="6" t="s">
        <v>981</v>
      </c>
      <c r="C147" s="6" t="s">
        <v>438</v>
      </c>
      <c r="D147" s="6" t="s">
        <v>17</v>
      </c>
      <c r="E147" s="6" t="s">
        <v>982</v>
      </c>
      <c r="F147" s="5" t="n">
        <v>1.4</v>
      </c>
      <c r="G147" s="5" t="n">
        <v>2.5</v>
      </c>
      <c r="H147" s="5" t="n">
        <v>16</v>
      </c>
      <c r="I147" s="6" t="s">
        <v>983</v>
      </c>
      <c r="J147" s="6" t="s">
        <v>984</v>
      </c>
      <c r="K147" s="6" t="s">
        <v>985</v>
      </c>
      <c r="L147" s="6" t="s">
        <v>986</v>
      </c>
      <c r="M147" s="7" t="s">
        <v>987</v>
      </c>
    </row>
    <row r="148" customFormat="false" ht="42" hidden="false" customHeight="true" outlineLevel="0" collapsed="false">
      <c r="A148" s="5" t="n">
        <f aca="false">ROW()-3</f>
        <v>145</v>
      </c>
      <c r="B148" s="6" t="s">
        <v>988</v>
      </c>
      <c r="C148" s="6" t="s">
        <v>438</v>
      </c>
      <c r="D148" s="6" t="s">
        <v>171</v>
      </c>
      <c r="E148" s="6" t="s">
        <v>989</v>
      </c>
      <c r="F148" s="5" t="n">
        <v>0.7</v>
      </c>
      <c r="G148" s="5" t="n">
        <v>1.2</v>
      </c>
      <c r="H148" s="5" t="n">
        <v>13</v>
      </c>
      <c r="I148" s="6" t="s">
        <v>990</v>
      </c>
      <c r="J148" s="6" t="s">
        <v>991</v>
      </c>
      <c r="K148" s="6" t="s">
        <v>992</v>
      </c>
      <c r="L148" s="6" t="s">
        <v>993</v>
      </c>
      <c r="M148" s="7" t="s">
        <v>994</v>
      </c>
    </row>
    <row r="149" customFormat="false" ht="42" hidden="false" customHeight="true" outlineLevel="0" collapsed="false">
      <c r="A149" s="5" t="n">
        <f aca="false">ROW()-3</f>
        <v>146</v>
      </c>
      <c r="B149" s="6" t="s">
        <v>995</v>
      </c>
      <c r="C149" s="6" t="s">
        <v>16</v>
      </c>
      <c r="D149" s="6" t="s">
        <v>33</v>
      </c>
      <c r="E149" s="6" t="s">
        <v>179</v>
      </c>
      <c r="F149" s="5" t="n">
        <v>4</v>
      </c>
      <c r="G149" s="5" t="n">
        <v>17.9</v>
      </c>
      <c r="H149" s="5" t="n">
        <v>7</v>
      </c>
      <c r="I149" s="6" t="s">
        <v>996</v>
      </c>
      <c r="J149" s="6" t="s">
        <v>997</v>
      </c>
      <c r="K149" s="6" t="s">
        <v>998</v>
      </c>
      <c r="L149" s="6" t="s">
        <v>999</v>
      </c>
      <c r="M149" s="7" t="s">
        <v>1000</v>
      </c>
    </row>
    <row r="150" customFormat="false" ht="210" hidden="false" customHeight="true" outlineLevel="0" collapsed="false">
      <c r="A150" s="5" t="n">
        <f aca="false">ROW()-3</f>
        <v>147</v>
      </c>
      <c r="B150" s="6" t="s">
        <v>1001</v>
      </c>
      <c r="C150" s="6" t="s">
        <v>16</v>
      </c>
      <c r="D150" s="6" t="s">
        <v>45</v>
      </c>
      <c r="E150" s="6" t="s">
        <v>179</v>
      </c>
      <c r="F150" s="5" t="n">
        <v>4</v>
      </c>
      <c r="G150" s="5" t="n">
        <v>17.9</v>
      </c>
      <c r="H150" s="5" t="n">
        <v>7</v>
      </c>
      <c r="I150" s="6" t="s">
        <v>1002</v>
      </c>
      <c r="J150" s="6" t="s">
        <v>997</v>
      </c>
      <c r="K150" s="6" t="s">
        <v>1003</v>
      </c>
      <c r="L150" s="6" t="s">
        <v>1004</v>
      </c>
      <c r="M150" s="7" t="s">
        <v>1005</v>
      </c>
    </row>
    <row r="151" customFormat="false" ht="42" hidden="false" customHeight="true" outlineLevel="0" collapsed="false">
      <c r="A151" s="5" t="n">
        <f aca="false">ROW()-3</f>
        <v>148</v>
      </c>
      <c r="B151" s="6" t="s">
        <v>1006</v>
      </c>
      <c r="C151" s="6" t="s">
        <v>217</v>
      </c>
      <c r="D151" s="6" t="s">
        <v>17</v>
      </c>
      <c r="E151" s="6" t="s">
        <v>263</v>
      </c>
      <c r="F151" s="5" t="n">
        <v>8</v>
      </c>
      <c r="G151" s="5" t="n">
        <v>17.9</v>
      </c>
      <c r="H151" s="5" t="n">
        <v>4</v>
      </c>
      <c r="I151" s="6" t="s">
        <v>1007</v>
      </c>
      <c r="J151" s="6" t="s">
        <v>1008</v>
      </c>
      <c r="K151" s="6" t="s">
        <v>1009</v>
      </c>
      <c r="L151" s="6" t="s">
        <v>1010</v>
      </c>
      <c r="M151" s="7" t="s">
        <v>1011</v>
      </c>
    </row>
    <row r="152" customFormat="false" ht="42" hidden="false" customHeight="true" outlineLevel="0" collapsed="false">
      <c r="A152" s="5" t="n">
        <f aca="false">ROW()-3</f>
        <v>149</v>
      </c>
      <c r="B152" s="6" t="s">
        <v>1012</v>
      </c>
      <c r="C152" s="6" t="s">
        <v>72</v>
      </c>
      <c r="D152" s="6" t="s">
        <v>17</v>
      </c>
      <c r="E152" s="6" t="s">
        <v>609</v>
      </c>
      <c r="F152" s="5" t="n">
        <v>9</v>
      </c>
      <c r="G152" s="5" t="n">
        <v>19</v>
      </c>
      <c r="H152" s="5" t="n">
        <v>12</v>
      </c>
      <c r="I152" s="6" t="s">
        <v>1013</v>
      </c>
      <c r="J152" s="6" t="s">
        <v>1014</v>
      </c>
      <c r="K152" s="6" t="s">
        <v>1015</v>
      </c>
      <c r="L152" s="6" t="s">
        <v>1016</v>
      </c>
      <c r="M152" s="7" t="s">
        <v>1017</v>
      </c>
    </row>
    <row r="153" customFormat="false" ht="42" hidden="false" customHeight="true" outlineLevel="0" collapsed="false">
      <c r="A153" s="5" t="n">
        <f aca="false">ROW()-3</f>
        <v>150</v>
      </c>
      <c r="B153" s="6" t="s">
        <v>1018</v>
      </c>
      <c r="C153" s="6" t="s">
        <v>131</v>
      </c>
      <c r="D153" s="6" t="s">
        <v>1019</v>
      </c>
      <c r="E153" s="6" t="s">
        <v>95</v>
      </c>
      <c r="F153" s="5" t="n">
        <v>6</v>
      </c>
      <c r="G153" s="5" t="n">
        <v>17.9</v>
      </c>
      <c r="H153" s="5" t="n">
        <v>2</v>
      </c>
      <c r="I153" s="6" t="s">
        <v>1020</v>
      </c>
      <c r="J153" s="6" t="s">
        <v>1021</v>
      </c>
      <c r="K153" s="6" t="s">
        <v>1022</v>
      </c>
      <c r="L153" s="6" t="s">
        <v>1023</v>
      </c>
      <c r="M153" s="7" t="s">
        <v>1024</v>
      </c>
    </row>
    <row r="154" customFormat="false" ht="42" hidden="false" customHeight="true" outlineLevel="0" collapsed="false">
      <c r="A154" s="5" t="n">
        <f aca="false">ROW()-3</f>
        <v>151</v>
      </c>
      <c r="B154" s="6" t="s">
        <v>1025</v>
      </c>
      <c r="C154" s="6" t="s">
        <v>208</v>
      </c>
      <c r="D154" s="6" t="s">
        <v>17</v>
      </c>
      <c r="E154" s="6" t="s">
        <v>828</v>
      </c>
      <c r="F154" s="5" t="n">
        <v>16</v>
      </c>
      <c r="G154" s="5" t="n">
        <v>99</v>
      </c>
      <c r="H154" s="5" t="n">
        <v>4</v>
      </c>
      <c r="I154" s="6" t="s">
        <v>1026</v>
      </c>
      <c r="J154" s="6" t="s">
        <v>1027</v>
      </c>
      <c r="K154" s="6" t="s">
        <v>1028</v>
      </c>
      <c r="L154" s="6" t="s">
        <v>1029</v>
      </c>
      <c r="M154" s="7" t="s">
        <v>1030</v>
      </c>
    </row>
    <row r="155" customFormat="false" ht="220.5" hidden="false" customHeight="true" outlineLevel="0" collapsed="false">
      <c r="A155" s="5" t="n">
        <f aca="false">ROW()-3</f>
        <v>152</v>
      </c>
      <c r="B155" s="6" t="s">
        <v>1031</v>
      </c>
      <c r="C155" s="6" t="s">
        <v>1032</v>
      </c>
      <c r="D155" s="6" t="s">
        <v>185</v>
      </c>
      <c r="E155" s="6" t="s">
        <v>1033</v>
      </c>
      <c r="F155" s="5" t="n">
        <v>3</v>
      </c>
      <c r="G155" s="5" t="n">
        <v>17.9</v>
      </c>
      <c r="H155" s="5" t="n">
        <v>13</v>
      </c>
      <c r="I155" s="6" t="s">
        <v>1034</v>
      </c>
      <c r="J155" s="6" t="s">
        <v>1035</v>
      </c>
      <c r="K155" s="6" t="s">
        <v>1036</v>
      </c>
      <c r="L155" s="6" t="s">
        <v>1037</v>
      </c>
      <c r="M155" s="7" t="s">
        <v>1038</v>
      </c>
    </row>
    <row r="156" customFormat="false" ht="120" hidden="false" customHeight="true" outlineLevel="0" collapsed="false">
      <c r="A156" s="5" t="n">
        <v>153</v>
      </c>
      <c r="B156" s="6" t="s">
        <v>1039</v>
      </c>
      <c r="C156" s="6" t="s">
        <v>1040</v>
      </c>
      <c r="D156" s="6" t="s">
        <v>33</v>
      </c>
      <c r="E156" s="6" t="s">
        <v>1041</v>
      </c>
      <c r="F156" s="5" t="n">
        <v>2</v>
      </c>
      <c r="G156" s="5" t="n">
        <v>10.9</v>
      </c>
      <c r="H156" s="5" t="n">
        <v>9</v>
      </c>
      <c r="I156" s="6" t="s">
        <v>1042</v>
      </c>
      <c r="J156" s="6" t="s">
        <v>1043</v>
      </c>
      <c r="K156" s="6" t="s">
        <v>1044</v>
      </c>
      <c r="L156" s="6" t="s">
        <v>1045</v>
      </c>
      <c r="M156" s="7" t="s">
        <v>1046</v>
      </c>
    </row>
    <row r="157" customFormat="false" ht="120" hidden="false" customHeight="true" outlineLevel="0" collapsed="false">
      <c r="A157" s="5" t="n">
        <v>154</v>
      </c>
      <c r="B157" s="6" t="s">
        <v>1047</v>
      </c>
      <c r="C157" s="6" t="s">
        <v>1040</v>
      </c>
      <c r="D157" s="6" t="s">
        <v>17</v>
      </c>
      <c r="E157" s="6" t="s">
        <v>624</v>
      </c>
      <c r="F157" s="5" t="n">
        <v>7</v>
      </c>
      <c r="G157" s="5" t="n">
        <v>12.9</v>
      </c>
      <c r="H157" s="5" t="n">
        <v>8</v>
      </c>
      <c r="I157" s="6" t="s">
        <v>1048</v>
      </c>
      <c r="J157" s="6" t="s">
        <v>1049</v>
      </c>
      <c r="K157" s="6" t="s">
        <v>1050</v>
      </c>
      <c r="L157" s="6" t="s">
        <v>1051</v>
      </c>
      <c r="M157" s="7" t="s">
        <v>1052</v>
      </c>
    </row>
    <row r="158" customFormat="false" ht="120" hidden="false" customHeight="true" outlineLevel="0" collapsed="false">
      <c r="A158" s="5" t="n">
        <v>155</v>
      </c>
      <c r="B158" s="6" t="s">
        <v>1053</v>
      </c>
      <c r="C158" s="6" t="s">
        <v>16</v>
      </c>
      <c r="D158" s="6" t="s">
        <v>1054</v>
      </c>
      <c r="E158" s="6" t="s">
        <v>95</v>
      </c>
      <c r="F158" s="5" t="n">
        <v>6</v>
      </c>
      <c r="G158" s="5" t="n">
        <v>18.9</v>
      </c>
      <c r="H158" s="5" t="n">
        <v>5</v>
      </c>
      <c r="I158" s="6" t="s">
        <v>1055</v>
      </c>
      <c r="J158" s="6" t="s">
        <v>1056</v>
      </c>
      <c r="K158" s="6" t="s">
        <v>1057</v>
      </c>
      <c r="L158" s="6" t="s">
        <v>1058</v>
      </c>
      <c r="M158" s="7" t="s">
        <v>1059</v>
      </c>
    </row>
    <row r="159" customFormat="false" ht="84.75" hidden="false" customHeight="true" outlineLevel="0" collapsed="false">
      <c r="A159" s="5" t="n">
        <v>156</v>
      </c>
      <c r="B159" s="6" t="s">
        <v>1060</v>
      </c>
      <c r="C159" s="6" t="s">
        <v>1032</v>
      </c>
      <c r="D159" s="6" t="s">
        <v>17</v>
      </c>
      <c r="E159" s="6" t="s">
        <v>108</v>
      </c>
      <c r="F159" s="5" t="n">
        <v>11</v>
      </c>
      <c r="G159" s="5" t="n">
        <v>18</v>
      </c>
      <c r="H159" s="5" t="n">
        <v>6</v>
      </c>
      <c r="I159" s="6" t="s">
        <v>1061</v>
      </c>
      <c r="J159" s="6" t="s">
        <v>1062</v>
      </c>
      <c r="K159" s="6" t="s">
        <v>1063</v>
      </c>
      <c r="L159" s="6" t="s">
        <v>1064</v>
      </c>
      <c r="M159" s="7" t="s">
        <v>1065</v>
      </c>
    </row>
    <row r="160" customFormat="false" ht="84.75" hidden="false" customHeight="true" outlineLevel="0" collapsed="false">
      <c r="A160" s="5" t="n">
        <f aca="false">ROW()-3</f>
        <v>157</v>
      </c>
      <c r="B160" s="6" t="s">
        <v>1066</v>
      </c>
      <c r="C160" s="6" t="s">
        <v>1032</v>
      </c>
      <c r="D160" s="6" t="s">
        <v>17</v>
      </c>
      <c r="E160" s="6" t="s">
        <v>342</v>
      </c>
      <c r="F160" s="5" t="n">
        <v>12</v>
      </c>
      <c r="G160" s="5" t="n">
        <v>18</v>
      </c>
      <c r="H160" s="5" t="n">
        <v>6</v>
      </c>
      <c r="I160" s="6" t="s">
        <v>1067</v>
      </c>
      <c r="J160" s="6" t="s">
        <v>1068</v>
      </c>
      <c r="K160" s="6" t="s">
        <v>1069</v>
      </c>
      <c r="L160" s="6" t="s">
        <v>1070</v>
      </c>
      <c r="M160" s="7" t="s">
        <v>1071</v>
      </c>
    </row>
    <row r="161" customFormat="false" ht="95.25" hidden="false" customHeight="true" outlineLevel="0" collapsed="false">
      <c r="A161" s="5" t="n">
        <f aca="false">ROW()-3</f>
        <v>158</v>
      </c>
      <c r="B161" s="6" t="s">
        <v>1072</v>
      </c>
      <c r="C161" s="6" t="s">
        <v>1032</v>
      </c>
      <c r="D161" s="6" t="s">
        <v>33</v>
      </c>
      <c r="E161" s="6" t="s">
        <v>52</v>
      </c>
      <c r="F161" s="5" t="n">
        <v>0</v>
      </c>
      <c r="G161" s="5" t="n">
        <v>18</v>
      </c>
      <c r="H161" s="5" t="n">
        <v>6</v>
      </c>
      <c r="I161" s="6" t="s">
        <v>1073</v>
      </c>
      <c r="J161" s="6" t="s">
        <v>1074</v>
      </c>
      <c r="K161" s="6" t="s">
        <v>1075</v>
      </c>
      <c r="L161" s="6" t="s">
        <v>1076</v>
      </c>
      <c r="M161" s="7" t="s">
        <v>1077</v>
      </c>
    </row>
    <row r="162" customFormat="false" ht="95.25" hidden="false" customHeight="true" outlineLevel="0" collapsed="false">
      <c r="A162" s="5" t="n">
        <f aca="false">ROW()-3</f>
        <v>159</v>
      </c>
      <c r="B162" s="6" t="s">
        <v>1078</v>
      </c>
      <c r="C162" s="6" t="s">
        <v>162</v>
      </c>
      <c r="D162" s="6" t="s">
        <v>1079</v>
      </c>
      <c r="E162" s="6" t="s">
        <v>1080</v>
      </c>
      <c r="F162" s="5" t="n">
        <v>11</v>
      </c>
      <c r="G162" s="5" t="n">
        <v>99</v>
      </c>
      <c r="H162" s="5" t="n">
        <v>11</v>
      </c>
      <c r="I162" s="6" t="s">
        <v>1081</v>
      </c>
      <c r="J162" s="6" t="s">
        <v>1082</v>
      </c>
      <c r="K162" s="6" t="s">
        <v>1083</v>
      </c>
      <c r="L162" s="6" t="s">
        <v>1084</v>
      </c>
      <c r="M162" s="7" t="s">
        <v>1085</v>
      </c>
    </row>
    <row r="163" customFormat="false" ht="95.25" hidden="false" customHeight="true" outlineLevel="0" collapsed="false">
      <c r="A163" s="5" t="n">
        <f aca="false">ROW()-3</f>
        <v>160</v>
      </c>
      <c r="B163" s="6" t="s">
        <v>1086</v>
      </c>
      <c r="C163" s="6" t="s">
        <v>1032</v>
      </c>
      <c r="D163" s="6" t="s">
        <v>1079</v>
      </c>
      <c r="E163" s="6" t="s">
        <v>1087</v>
      </c>
      <c r="F163" s="5" t="n">
        <v>6</v>
      </c>
      <c r="G163" s="5" t="n">
        <v>11</v>
      </c>
      <c r="H163" s="5" t="n">
        <v>4</v>
      </c>
      <c r="I163" s="6" t="s">
        <v>1088</v>
      </c>
      <c r="J163" s="6" t="s">
        <v>1089</v>
      </c>
      <c r="K163" s="6" t="s">
        <v>1090</v>
      </c>
      <c r="L163" s="6" t="s">
        <v>1091</v>
      </c>
      <c r="M163" s="7" t="s">
        <v>1092</v>
      </c>
    </row>
    <row r="164" customFormat="false" ht="42.75" hidden="false" customHeight="true" outlineLevel="0" collapsed="false">
      <c r="A164" s="5" t="n">
        <f aca="false">ROW()-3</f>
        <v>161</v>
      </c>
      <c r="B164" s="6" t="s">
        <v>1093</v>
      </c>
      <c r="C164" s="6" t="s">
        <v>217</v>
      </c>
      <c r="D164" s="6" t="s">
        <v>17</v>
      </c>
      <c r="E164" s="6" t="s">
        <v>1094</v>
      </c>
      <c r="F164" s="5" t="n">
        <v>8</v>
      </c>
      <c r="G164" s="5" t="n">
        <v>11</v>
      </c>
      <c r="H164" s="5" t="n">
        <v>5</v>
      </c>
      <c r="I164" s="6" t="s">
        <v>1095</v>
      </c>
      <c r="J164" s="6" t="s">
        <v>1096</v>
      </c>
      <c r="K164" s="6" t="s">
        <v>1097</v>
      </c>
      <c r="L164" s="6" t="s">
        <v>1098</v>
      </c>
      <c r="M164" s="7" t="s">
        <v>1099</v>
      </c>
    </row>
    <row r="165" customFormat="false" ht="32.25" hidden="false" customHeight="true" outlineLevel="0" collapsed="false">
      <c r="A165" s="5" t="n">
        <f aca="false">ROW()-3</f>
        <v>162</v>
      </c>
      <c r="B165" s="6" t="s">
        <v>1100</v>
      </c>
      <c r="C165" s="6" t="s">
        <v>217</v>
      </c>
      <c r="D165" s="6" t="s">
        <v>33</v>
      </c>
      <c r="E165" s="6" t="s">
        <v>1094</v>
      </c>
      <c r="F165" s="5" t="n">
        <v>8</v>
      </c>
      <c r="G165" s="5" t="n">
        <v>11</v>
      </c>
      <c r="H165" s="5" t="n">
        <v>5</v>
      </c>
      <c r="I165" s="6" t="s">
        <v>1101</v>
      </c>
      <c r="J165" s="6" t="s">
        <v>1102</v>
      </c>
      <c r="K165" s="6" t="s">
        <v>1103</v>
      </c>
      <c r="L165" s="6" t="s">
        <v>1104</v>
      </c>
      <c r="M165" s="7" t="s">
        <v>1105</v>
      </c>
    </row>
    <row r="166" customFormat="false" ht="32.25" hidden="false" customHeight="true" outlineLevel="0" collapsed="false">
      <c r="A166" s="5" t="n">
        <f aca="false">ROW()-3</f>
        <v>163</v>
      </c>
      <c r="B166" s="6" t="s">
        <v>1106</v>
      </c>
      <c r="C166" s="6" t="s">
        <v>16</v>
      </c>
      <c r="D166" s="6" t="s">
        <v>1107</v>
      </c>
      <c r="E166" s="6" t="s">
        <v>447</v>
      </c>
      <c r="F166" s="5" t="n">
        <v>3</v>
      </c>
      <c r="G166" s="5" t="n">
        <v>18</v>
      </c>
      <c r="H166" s="5" t="n">
        <v>7</v>
      </c>
      <c r="I166" s="6" t="s">
        <v>1108</v>
      </c>
      <c r="J166" s="6" t="s">
        <v>1109</v>
      </c>
      <c r="K166" s="6" t="s">
        <v>1110</v>
      </c>
      <c r="L166" s="6" t="s">
        <v>1111</v>
      </c>
      <c r="M166" s="7" t="s">
        <v>1112</v>
      </c>
    </row>
    <row r="167" customFormat="false" ht="32.25" hidden="false" customHeight="true" outlineLevel="0" collapsed="false">
      <c r="A167" s="5" t="n">
        <f aca="false">ROW()-3</f>
        <v>164</v>
      </c>
      <c r="B167" s="6" t="s">
        <v>1113</v>
      </c>
      <c r="C167" s="6" t="s">
        <v>1040</v>
      </c>
      <c r="D167" s="6" t="s">
        <v>17</v>
      </c>
      <c r="E167" s="6" t="s">
        <v>231</v>
      </c>
      <c r="F167" s="5" t="n">
        <v>12</v>
      </c>
      <c r="G167" s="5" t="n">
        <v>99</v>
      </c>
      <c r="H167" s="5" t="n">
        <v>5</v>
      </c>
      <c r="I167" s="6" t="s">
        <v>1114</v>
      </c>
      <c r="J167" s="6" t="s">
        <v>1115</v>
      </c>
      <c r="K167" s="6" t="s">
        <v>1116</v>
      </c>
      <c r="L167" s="6" t="s">
        <v>1117</v>
      </c>
      <c r="M167" s="7" t="s">
        <v>1118</v>
      </c>
    </row>
    <row r="168" customFormat="false" ht="32.25" hidden="false" customHeight="true" outlineLevel="0" collapsed="false">
      <c r="A168" s="5" t="n">
        <f aca="false">ROW()-3</f>
        <v>165</v>
      </c>
      <c r="B168" s="6" t="s">
        <v>1119</v>
      </c>
      <c r="C168" s="6" t="s">
        <v>217</v>
      </c>
      <c r="D168" s="6" t="s">
        <v>17</v>
      </c>
      <c r="E168" s="6" t="s">
        <v>231</v>
      </c>
      <c r="F168" s="5" t="n">
        <v>12</v>
      </c>
      <c r="G168" s="5" t="n">
        <v>99</v>
      </c>
      <c r="H168" s="5" t="n">
        <v>4</v>
      </c>
      <c r="I168" s="6" t="s">
        <v>1120</v>
      </c>
      <c r="J168" s="6" t="s">
        <v>1121</v>
      </c>
      <c r="K168" s="6" t="s">
        <v>1122</v>
      </c>
      <c r="L168" s="6" t="s">
        <v>1123</v>
      </c>
      <c r="M168" s="7" t="s">
        <v>1124</v>
      </c>
    </row>
    <row r="169" customFormat="false" ht="32.25" hidden="false" customHeight="true" outlineLevel="0" collapsed="false">
      <c r="A169" s="5" t="n">
        <f aca="false">ROW()-3</f>
        <v>166</v>
      </c>
      <c r="B169" s="6" t="s">
        <v>1125</v>
      </c>
      <c r="C169" s="6" t="s">
        <v>217</v>
      </c>
      <c r="D169" s="6" t="s">
        <v>33</v>
      </c>
      <c r="E169" s="6" t="s">
        <v>684</v>
      </c>
      <c r="F169" s="5" t="n">
        <v>3</v>
      </c>
      <c r="G169" s="5" t="n">
        <v>17</v>
      </c>
      <c r="H169" s="5" t="n">
        <v>10</v>
      </c>
      <c r="I169" s="6" t="s">
        <v>1126</v>
      </c>
      <c r="J169" s="6" t="s">
        <v>1127</v>
      </c>
      <c r="K169" s="6" t="s">
        <v>1128</v>
      </c>
      <c r="L169" s="6" t="s">
        <v>1129</v>
      </c>
      <c r="M169" s="7" t="s">
        <v>1130</v>
      </c>
    </row>
    <row r="170" customFormat="false" ht="32.25" hidden="false" customHeight="true" outlineLevel="0" collapsed="false">
      <c r="A170" s="5" t="n">
        <f aca="false">ROW()-3</f>
        <v>167</v>
      </c>
      <c r="B170" s="6" t="s">
        <v>1131</v>
      </c>
      <c r="C170" s="6" t="s">
        <v>217</v>
      </c>
      <c r="D170" s="6" t="s">
        <v>156</v>
      </c>
      <c r="E170" s="6" t="s">
        <v>684</v>
      </c>
      <c r="F170" s="5" t="n">
        <v>3</v>
      </c>
      <c r="G170" s="5" t="n">
        <v>17</v>
      </c>
      <c r="H170" s="5" t="n">
        <v>5</v>
      </c>
      <c r="I170" s="6" t="s">
        <v>1132</v>
      </c>
      <c r="J170" s="6" t="s">
        <v>1133</v>
      </c>
      <c r="K170" s="6" t="s">
        <v>1134</v>
      </c>
      <c r="L170" s="6" t="s">
        <v>1135</v>
      </c>
      <c r="M170" s="7" t="s">
        <v>1136</v>
      </c>
    </row>
    <row r="171" customFormat="false" ht="32.25" hidden="false" customHeight="true" outlineLevel="0" collapsed="false">
      <c r="A171" s="5" t="n">
        <f aca="false">ROW()-3</f>
        <v>168</v>
      </c>
      <c r="B171" s="6" t="s">
        <v>1137</v>
      </c>
      <c r="C171" s="6" t="s">
        <v>217</v>
      </c>
      <c r="D171" s="6" t="s">
        <v>1138</v>
      </c>
      <c r="E171" s="6" t="s">
        <v>447</v>
      </c>
      <c r="F171" s="5" t="n">
        <v>3</v>
      </c>
      <c r="G171" s="5" t="n">
        <v>18</v>
      </c>
      <c r="H171" s="5" t="n">
        <v>7</v>
      </c>
      <c r="I171" s="6" t="s">
        <v>1139</v>
      </c>
      <c r="J171" s="6" t="s">
        <v>1140</v>
      </c>
      <c r="K171" s="6" t="s">
        <v>1141</v>
      </c>
      <c r="L171" s="6" t="s">
        <v>1142</v>
      </c>
      <c r="M171" s="7" t="s">
        <v>1143</v>
      </c>
    </row>
    <row r="172" customFormat="false" ht="32.25" hidden="false" customHeight="true" outlineLevel="0" collapsed="false">
      <c r="A172" s="5" t="n">
        <f aca="false">ROW()-3</f>
        <v>169</v>
      </c>
      <c r="B172" s="6" t="s">
        <v>1144</v>
      </c>
      <c r="C172" s="6" t="s">
        <v>208</v>
      </c>
      <c r="D172" s="6" t="s">
        <v>33</v>
      </c>
      <c r="E172" s="6" t="s">
        <v>1145</v>
      </c>
      <c r="F172" s="5" t="n">
        <v>3</v>
      </c>
      <c r="G172" s="5" t="n">
        <v>7</v>
      </c>
      <c r="H172" s="5" t="n">
        <v>18</v>
      </c>
      <c r="I172" s="6" t="s">
        <v>1146</v>
      </c>
      <c r="J172" s="6" t="s">
        <v>1147</v>
      </c>
      <c r="K172" s="6" t="s">
        <v>1148</v>
      </c>
      <c r="L172" s="6" t="s">
        <v>1149</v>
      </c>
      <c r="M172" s="7" t="s">
        <v>1150</v>
      </c>
    </row>
    <row r="173" customFormat="false" ht="32.25" hidden="false" customHeight="true" outlineLevel="0" collapsed="false">
      <c r="A173" s="5" t="n">
        <f aca="false">ROW()-3</f>
        <v>170</v>
      </c>
      <c r="B173" s="6" t="s">
        <v>1151</v>
      </c>
      <c r="C173" s="6" t="s">
        <v>278</v>
      </c>
      <c r="D173" s="6" t="s">
        <v>17</v>
      </c>
      <c r="E173" s="6" t="s">
        <v>1152</v>
      </c>
      <c r="F173" s="5" t="n">
        <v>8</v>
      </c>
      <c r="G173" s="5" t="n">
        <v>16</v>
      </c>
      <c r="H173" s="5" t="n">
        <v>13</v>
      </c>
      <c r="I173" s="6" t="s">
        <v>1153</v>
      </c>
      <c r="J173" s="6" t="s">
        <v>1154</v>
      </c>
      <c r="K173" s="6" t="s">
        <v>1155</v>
      </c>
      <c r="L173" s="6" t="s">
        <v>1156</v>
      </c>
      <c r="M173" s="7" t="s">
        <v>1157</v>
      </c>
    </row>
    <row r="174" customFormat="false" ht="32.25" hidden="false" customHeight="true" outlineLevel="0" collapsed="false">
      <c r="A174" s="5" t="n">
        <f aca="false">ROW()-3</f>
        <v>171</v>
      </c>
      <c r="B174" s="6" t="s">
        <v>1158</v>
      </c>
      <c r="C174" s="6" t="s">
        <v>278</v>
      </c>
      <c r="D174" s="6" t="s">
        <v>33</v>
      </c>
      <c r="E174" s="6" t="s">
        <v>52</v>
      </c>
      <c r="F174" s="5" t="n">
        <v>0</v>
      </c>
      <c r="G174" s="5" t="n">
        <v>18</v>
      </c>
      <c r="H174" s="5" t="n">
        <v>15</v>
      </c>
      <c r="I174" s="6" t="s">
        <v>1159</v>
      </c>
      <c r="J174" s="6" t="s">
        <v>1160</v>
      </c>
      <c r="K174" s="6" t="s">
        <v>1161</v>
      </c>
      <c r="L174" s="6" t="s">
        <v>1162</v>
      </c>
      <c r="M174" s="7" t="s">
        <v>1163</v>
      </c>
    </row>
    <row r="175" customFormat="false" ht="32.25" hidden="false" customHeight="true" outlineLevel="0" collapsed="false">
      <c r="A175" s="5" t="n">
        <f aca="false">ROW()-3</f>
        <v>172</v>
      </c>
      <c r="B175" s="6" t="s">
        <v>1164</v>
      </c>
      <c r="C175" s="6" t="s">
        <v>424</v>
      </c>
      <c r="D175" s="6" t="s">
        <v>17</v>
      </c>
      <c r="E175" s="6" t="s">
        <v>95</v>
      </c>
      <c r="F175" s="5" t="n">
        <v>6</v>
      </c>
      <c r="G175" s="5" t="n">
        <v>18</v>
      </c>
      <c r="H175" s="5" t="n">
        <v>11</v>
      </c>
      <c r="I175" s="6" t="s">
        <v>1165</v>
      </c>
      <c r="J175" s="6" t="s">
        <v>1166</v>
      </c>
      <c r="K175" s="6" t="s">
        <v>1167</v>
      </c>
      <c r="L175" s="6" t="s">
        <v>1168</v>
      </c>
      <c r="M175" s="7" t="s">
        <v>1169</v>
      </c>
    </row>
    <row r="176" customFormat="false" ht="32.25" hidden="false" customHeight="true" outlineLevel="0" collapsed="false">
      <c r="A176" s="5" t="n">
        <f aca="false">ROW()-3</f>
        <v>173</v>
      </c>
      <c r="B176" s="6" t="s">
        <v>1170</v>
      </c>
      <c r="C176" s="6" t="s">
        <v>424</v>
      </c>
      <c r="D176" s="6" t="s">
        <v>33</v>
      </c>
      <c r="E176" s="6" t="s">
        <v>179</v>
      </c>
      <c r="F176" s="5" t="n">
        <v>4</v>
      </c>
      <c r="G176" s="5" t="n">
        <v>18</v>
      </c>
      <c r="H176" s="5" t="n">
        <v>5</v>
      </c>
      <c r="I176" s="6" t="s">
        <v>1171</v>
      </c>
      <c r="J176" s="6" t="s">
        <v>1172</v>
      </c>
      <c r="K176" s="6" t="s">
        <v>1173</v>
      </c>
      <c r="L176" s="6" t="s">
        <v>1174</v>
      </c>
      <c r="M176" s="7" t="s">
        <v>1175</v>
      </c>
    </row>
    <row r="177" customFormat="false" ht="32.25" hidden="false" customHeight="true" outlineLevel="0" collapsed="false">
      <c r="A177" s="5" t="n">
        <f aca="false">ROW()-3</f>
        <v>174</v>
      </c>
      <c r="B177" s="6" t="s">
        <v>1176</v>
      </c>
      <c r="C177" s="6" t="s">
        <v>122</v>
      </c>
      <c r="D177" s="6" t="s">
        <v>17</v>
      </c>
      <c r="E177" s="6" t="s">
        <v>1177</v>
      </c>
      <c r="F177" s="5" t="n">
        <v>8</v>
      </c>
      <c r="G177" s="5" t="n">
        <v>14</v>
      </c>
      <c r="H177" s="5" t="n">
        <v>9</v>
      </c>
      <c r="I177" s="6" t="s">
        <v>1178</v>
      </c>
      <c r="J177" s="6" t="s">
        <v>1179</v>
      </c>
      <c r="K177" s="6" t="s">
        <v>1180</v>
      </c>
      <c r="L177" s="6" t="s">
        <v>1181</v>
      </c>
      <c r="M177" s="7" t="s">
        <v>1182</v>
      </c>
    </row>
    <row r="178" customFormat="false" ht="32.25" hidden="false" customHeight="true" outlineLevel="0" collapsed="false">
      <c r="A178" s="5" t="n">
        <f aca="false">ROW()-3</f>
        <v>175</v>
      </c>
      <c r="B178" s="6" t="s">
        <v>1183</v>
      </c>
      <c r="C178" s="6" t="s">
        <v>122</v>
      </c>
      <c r="D178" s="6" t="s">
        <v>33</v>
      </c>
      <c r="E178" s="6" t="s">
        <v>595</v>
      </c>
      <c r="F178" s="5" t="n">
        <v>6</v>
      </c>
      <c r="G178" s="5" t="n">
        <v>14</v>
      </c>
      <c r="H178" s="5" t="n">
        <v>10</v>
      </c>
      <c r="I178" s="6" t="s">
        <v>1184</v>
      </c>
      <c r="J178" s="6" t="s">
        <v>1185</v>
      </c>
      <c r="K178" s="6" t="s">
        <v>1186</v>
      </c>
      <c r="L178" s="6" t="s">
        <v>1187</v>
      </c>
      <c r="M178" s="7" t="s">
        <v>1188</v>
      </c>
    </row>
    <row r="179" customFormat="false" ht="32.25" hidden="false" customHeight="true" outlineLevel="0" collapsed="false">
      <c r="A179" s="5" t="n">
        <f aca="false">ROW()-3</f>
        <v>176</v>
      </c>
      <c r="B179" s="6" t="s">
        <v>1189</v>
      </c>
      <c r="C179" s="6" t="s">
        <v>122</v>
      </c>
      <c r="D179" s="6" t="s">
        <v>33</v>
      </c>
      <c r="E179" s="6" t="s">
        <v>684</v>
      </c>
      <c r="F179" s="5" t="n">
        <v>3</v>
      </c>
      <c r="G179" s="5" t="n">
        <v>17</v>
      </c>
      <c r="H179" s="5" t="n">
        <v>22</v>
      </c>
      <c r="I179" s="6" t="s">
        <v>1190</v>
      </c>
      <c r="J179" s="6" t="s">
        <v>1191</v>
      </c>
      <c r="K179" s="6" t="s">
        <v>1192</v>
      </c>
      <c r="L179" s="6" t="s">
        <v>1193</v>
      </c>
      <c r="M179" s="7" t="s">
        <v>1194</v>
      </c>
    </row>
    <row r="180" customFormat="false" ht="32.25" hidden="false" customHeight="true" outlineLevel="0" collapsed="false">
      <c r="A180" s="5" t="n">
        <f aca="false">ROW()-3</f>
        <v>177</v>
      </c>
      <c r="B180" s="6" t="s">
        <v>1195</v>
      </c>
      <c r="C180" s="6" t="s">
        <v>122</v>
      </c>
      <c r="D180" s="6" t="s">
        <v>33</v>
      </c>
      <c r="E180" s="6" t="s">
        <v>684</v>
      </c>
      <c r="F180" s="5" t="n">
        <v>3</v>
      </c>
      <c r="G180" s="5" t="n">
        <v>17</v>
      </c>
      <c r="H180" s="5" t="n">
        <v>9</v>
      </c>
      <c r="I180" s="6" t="s">
        <v>1196</v>
      </c>
      <c r="J180" s="6" t="s">
        <v>1197</v>
      </c>
      <c r="K180" s="6" t="s">
        <v>1198</v>
      </c>
      <c r="L180" s="6" t="s">
        <v>1199</v>
      </c>
      <c r="M180" s="7" t="s">
        <v>1200</v>
      </c>
    </row>
    <row r="181" customFormat="false" ht="32.25" hidden="false" customHeight="true" outlineLevel="0" collapsed="false">
      <c r="A181" s="5" t="n">
        <f aca="false">ROW()-3</f>
        <v>178</v>
      </c>
      <c r="B181" s="6" t="s">
        <v>1201</v>
      </c>
      <c r="C181" s="6" t="s">
        <v>217</v>
      </c>
      <c r="D181" s="6" t="s">
        <v>1202</v>
      </c>
      <c r="E181" s="6" t="s">
        <v>1203</v>
      </c>
      <c r="F181" s="5" t="n">
        <v>14</v>
      </c>
      <c r="G181" s="5" t="n">
        <v>99</v>
      </c>
      <c r="H181" s="5" t="n">
        <v>6</v>
      </c>
      <c r="I181" s="6" t="s">
        <v>1204</v>
      </c>
      <c r="J181" s="6" t="s">
        <v>1205</v>
      </c>
      <c r="K181" s="6" t="s">
        <v>1206</v>
      </c>
      <c r="L181" s="6" t="s">
        <v>1207</v>
      </c>
      <c r="M181" s="7" t="s">
        <v>1208</v>
      </c>
    </row>
    <row r="182" customFormat="false" ht="32.25" hidden="false" customHeight="true" outlineLevel="0" collapsed="false">
      <c r="A182" s="5" t="n">
        <f aca="false">ROW()-3</f>
        <v>179</v>
      </c>
      <c r="B182" s="6" t="s">
        <v>1209</v>
      </c>
      <c r="C182" s="6" t="s">
        <v>217</v>
      </c>
      <c r="D182" s="6" t="s">
        <v>1210</v>
      </c>
      <c r="E182" s="6" t="s">
        <v>1211</v>
      </c>
      <c r="F182" s="5" t="n">
        <v>13</v>
      </c>
      <c r="G182" s="5" t="n">
        <v>99</v>
      </c>
      <c r="H182" s="5" t="n">
        <v>6</v>
      </c>
      <c r="I182" s="6" t="s">
        <v>1212</v>
      </c>
      <c r="J182" s="6" t="s">
        <v>1213</v>
      </c>
      <c r="K182" s="6" t="s">
        <v>1214</v>
      </c>
      <c r="L182" s="6" t="s">
        <v>1215</v>
      </c>
      <c r="M182" s="7" t="s">
        <v>1216</v>
      </c>
    </row>
    <row r="183" customFormat="false" ht="32.25" hidden="false" customHeight="true" outlineLevel="0" collapsed="false">
      <c r="A183" s="5" t="n">
        <f aca="false">ROW()-3</f>
        <v>180</v>
      </c>
      <c r="B183" s="6" t="s">
        <v>1217</v>
      </c>
      <c r="C183" s="6" t="s">
        <v>217</v>
      </c>
      <c r="D183" s="6" t="s">
        <v>1210</v>
      </c>
      <c r="E183" s="6" t="s">
        <v>1211</v>
      </c>
      <c r="F183" s="5" t="n">
        <v>13</v>
      </c>
      <c r="G183" s="5" t="n">
        <v>99</v>
      </c>
      <c r="H183" s="5" t="n">
        <v>6</v>
      </c>
      <c r="I183" s="6" t="s">
        <v>1218</v>
      </c>
      <c r="J183" s="6" t="s">
        <v>1219</v>
      </c>
      <c r="K183" s="6" t="s">
        <v>1220</v>
      </c>
      <c r="L183" s="6" t="s">
        <v>1221</v>
      </c>
      <c r="M183" s="7" t="s">
        <v>1222</v>
      </c>
    </row>
    <row r="184" customFormat="false" ht="32.25" hidden="false" customHeight="true" outlineLevel="0" collapsed="false">
      <c r="A184" s="5" t="n">
        <f aca="false">ROW()-3</f>
        <v>181</v>
      </c>
      <c r="B184" s="6" t="s">
        <v>1223</v>
      </c>
      <c r="C184" s="6" t="s">
        <v>217</v>
      </c>
      <c r="D184" s="6" t="s">
        <v>1210</v>
      </c>
      <c r="E184" s="6" t="s">
        <v>1224</v>
      </c>
      <c r="F184" s="5" t="n">
        <v>18</v>
      </c>
      <c r="G184" s="5" t="n">
        <v>99</v>
      </c>
      <c r="H184" s="5" t="n">
        <v>11</v>
      </c>
      <c r="I184" s="6" t="s">
        <v>1225</v>
      </c>
      <c r="J184" s="6" t="s">
        <v>1226</v>
      </c>
      <c r="K184" s="6" t="s">
        <v>1227</v>
      </c>
      <c r="L184" s="6" t="s">
        <v>1228</v>
      </c>
      <c r="M184" s="7" t="s">
        <v>1229</v>
      </c>
    </row>
    <row r="185" customFormat="false" ht="32.25" hidden="false" customHeight="true" outlineLevel="0" collapsed="false">
      <c r="A185" s="5" t="n">
        <f aca="false">ROW()-3</f>
        <v>182</v>
      </c>
      <c r="B185" s="6" t="s">
        <v>1230</v>
      </c>
      <c r="C185" s="6" t="s">
        <v>131</v>
      </c>
      <c r="D185" s="6" t="s">
        <v>17</v>
      </c>
      <c r="E185" s="6" t="s">
        <v>1231</v>
      </c>
      <c r="F185" s="5" t="n">
        <v>18</v>
      </c>
      <c r="G185" s="5" t="n">
        <v>90</v>
      </c>
      <c r="H185" s="5" t="n">
        <v>14</v>
      </c>
      <c r="I185" s="6" t="s">
        <v>1232</v>
      </c>
      <c r="J185" s="6" t="s">
        <v>1233</v>
      </c>
      <c r="K185" s="6" t="s">
        <v>1234</v>
      </c>
      <c r="L185" s="6" t="s">
        <v>1235</v>
      </c>
      <c r="M185" s="7" t="s">
        <v>1236</v>
      </c>
    </row>
    <row r="186" customFormat="false" ht="32.25" hidden="false" customHeight="true" outlineLevel="0" collapsed="false">
      <c r="A186" s="5" t="n">
        <f aca="false">ROW()-3</f>
        <v>183</v>
      </c>
      <c r="B186" s="6" t="s">
        <v>1237</v>
      </c>
      <c r="C186" s="6" t="s">
        <v>131</v>
      </c>
      <c r="D186" s="6" t="s">
        <v>1238</v>
      </c>
      <c r="E186" s="6" t="s">
        <v>1231</v>
      </c>
      <c r="F186" s="5" t="n">
        <v>18</v>
      </c>
      <c r="G186" s="5" t="n">
        <v>90</v>
      </c>
      <c r="H186" s="5" t="n">
        <v>14</v>
      </c>
      <c r="I186" s="6" t="s">
        <v>1239</v>
      </c>
      <c r="J186" s="6" t="s">
        <v>1233</v>
      </c>
      <c r="K186" s="6" t="s">
        <v>1240</v>
      </c>
      <c r="L186" s="6" t="s">
        <v>1241</v>
      </c>
      <c r="M186" s="7" t="s">
        <v>1242</v>
      </c>
    </row>
    <row r="187" customFormat="false" ht="32.25" hidden="false" customHeight="true" outlineLevel="0" collapsed="false">
      <c r="A187" s="5" t="n">
        <f aca="false">ROW()-3</f>
        <v>184</v>
      </c>
      <c r="B187" s="6" t="s">
        <v>1243</v>
      </c>
      <c r="C187" s="6" t="s">
        <v>1040</v>
      </c>
      <c r="D187" s="6" t="s">
        <v>1210</v>
      </c>
      <c r="E187" s="6" t="s">
        <v>1224</v>
      </c>
      <c r="F187" s="5" t="n">
        <v>18</v>
      </c>
      <c r="G187" s="5" t="n">
        <v>99</v>
      </c>
      <c r="H187" s="5" t="n">
        <v>14</v>
      </c>
      <c r="I187" s="6" t="s">
        <v>1244</v>
      </c>
      <c r="J187" s="6" t="s">
        <v>1245</v>
      </c>
      <c r="K187" s="6" t="s">
        <v>1246</v>
      </c>
      <c r="L187" s="6" t="s">
        <v>1247</v>
      </c>
      <c r="M187" s="7" t="s">
        <v>1248</v>
      </c>
    </row>
    <row r="188" customFormat="false" ht="32.25" hidden="false" customHeight="true" outlineLevel="0" collapsed="false">
      <c r="A188" s="5" t="n">
        <f aca="false">ROW()-3</f>
        <v>185</v>
      </c>
      <c r="B188" s="6" t="s">
        <v>1249</v>
      </c>
      <c r="C188" s="6" t="s">
        <v>1040</v>
      </c>
      <c r="D188" s="6" t="s">
        <v>1210</v>
      </c>
      <c r="E188" s="6" t="s">
        <v>1224</v>
      </c>
      <c r="F188" s="5" t="n">
        <v>18</v>
      </c>
      <c r="G188" s="5" t="n">
        <v>99</v>
      </c>
      <c r="H188" s="5" t="n">
        <v>15</v>
      </c>
      <c r="I188" s="6" t="s">
        <v>1250</v>
      </c>
      <c r="J188" s="6" t="s">
        <v>1251</v>
      </c>
      <c r="K188" s="6" t="s">
        <v>1252</v>
      </c>
      <c r="L188" s="6" t="s">
        <v>1253</v>
      </c>
      <c r="M188" s="7" t="s">
        <v>1254</v>
      </c>
    </row>
    <row r="189" customFormat="false" ht="32.25" hidden="false" customHeight="true" outlineLevel="0" collapsed="false">
      <c r="A189" s="5" t="n">
        <f aca="false">ROW()-3</f>
        <v>186</v>
      </c>
      <c r="B189" s="6" t="s">
        <v>1255</v>
      </c>
      <c r="C189" s="6" t="s">
        <v>217</v>
      </c>
      <c r="D189" s="6" t="s">
        <v>1210</v>
      </c>
      <c r="E189" s="6" t="s">
        <v>1224</v>
      </c>
      <c r="F189" s="5" t="n">
        <v>18</v>
      </c>
      <c r="G189" s="5" t="n">
        <v>99</v>
      </c>
      <c r="H189" s="5" t="n">
        <v>12</v>
      </c>
      <c r="I189" s="6" t="s">
        <v>1256</v>
      </c>
      <c r="J189" s="6" t="s">
        <v>1257</v>
      </c>
      <c r="K189" s="6" t="s">
        <v>1258</v>
      </c>
      <c r="L189" s="6" t="s">
        <v>1259</v>
      </c>
      <c r="M189" s="7" t="s">
        <v>1260</v>
      </c>
    </row>
    <row r="190" customFormat="false" ht="32.25" hidden="false" customHeight="true" outlineLevel="0" collapsed="false">
      <c r="A190" s="5" t="n">
        <f aca="false">ROW()-3</f>
        <v>187</v>
      </c>
      <c r="B190" s="6" t="s">
        <v>1261</v>
      </c>
      <c r="C190" s="6" t="s">
        <v>217</v>
      </c>
      <c r="D190" s="6" t="s">
        <v>1202</v>
      </c>
      <c r="E190" s="6" t="s">
        <v>1262</v>
      </c>
      <c r="F190" s="5" t="n">
        <v>12</v>
      </c>
      <c r="G190" s="5" t="n">
        <v>17</v>
      </c>
      <c r="H190" s="5" t="n">
        <v>12</v>
      </c>
      <c r="I190" s="6" t="s">
        <v>1256</v>
      </c>
      <c r="J190" s="6" t="s">
        <v>1257</v>
      </c>
      <c r="K190" s="6" t="s">
        <v>1263</v>
      </c>
      <c r="L190" s="6" t="s">
        <v>1264</v>
      </c>
      <c r="M190" s="7" t="s">
        <v>1265</v>
      </c>
    </row>
    <row r="191" customFormat="false" ht="32.25" hidden="false" customHeight="true" outlineLevel="0" collapsed="false">
      <c r="A191" s="5" t="n">
        <f aca="false">ROW()-3</f>
        <v>188</v>
      </c>
      <c r="B191" s="6" t="s">
        <v>1266</v>
      </c>
      <c r="C191" s="6" t="s">
        <v>217</v>
      </c>
      <c r="D191" s="6" t="s">
        <v>1210</v>
      </c>
      <c r="E191" s="6" t="s">
        <v>1224</v>
      </c>
      <c r="F191" s="5" t="n">
        <v>18</v>
      </c>
      <c r="G191" s="5" t="n">
        <v>99</v>
      </c>
      <c r="H191" s="5" t="n">
        <v>8</v>
      </c>
      <c r="I191" s="6" t="s">
        <v>1267</v>
      </c>
      <c r="J191" s="6" t="s">
        <v>1268</v>
      </c>
      <c r="K191" s="6" t="s">
        <v>1269</v>
      </c>
      <c r="L191" s="6" t="s">
        <v>1270</v>
      </c>
      <c r="M191" s="7" t="s">
        <v>1271</v>
      </c>
    </row>
    <row r="192" customFormat="false" ht="32.25" hidden="false" customHeight="true" outlineLevel="0" collapsed="false">
      <c r="A192" s="5" t="n">
        <f aca="false">ROW()-3</f>
        <v>189</v>
      </c>
      <c r="B192" s="6" t="s">
        <v>1272</v>
      </c>
      <c r="C192" s="6" t="s">
        <v>217</v>
      </c>
      <c r="D192" s="6" t="s">
        <v>1202</v>
      </c>
      <c r="E192" s="6" t="s">
        <v>1262</v>
      </c>
      <c r="F192" s="5" t="n">
        <v>12</v>
      </c>
      <c r="G192" s="5" t="n">
        <v>17</v>
      </c>
      <c r="H192" s="5" t="n">
        <v>8</v>
      </c>
      <c r="I192" s="6" t="s">
        <v>1267</v>
      </c>
      <c r="J192" s="6" t="s">
        <v>1268</v>
      </c>
      <c r="K192" s="6" t="s">
        <v>1273</v>
      </c>
      <c r="L192" s="6" t="s">
        <v>1274</v>
      </c>
      <c r="M192" s="7" t="s">
        <v>1275</v>
      </c>
    </row>
    <row r="193" customFormat="false" ht="32.25" hidden="false" customHeight="true" outlineLevel="0" collapsed="false">
      <c r="A193" s="5" t="n">
        <f aca="false">ROW()-3</f>
        <v>190</v>
      </c>
      <c r="B193" s="6" t="s">
        <v>1276</v>
      </c>
      <c r="C193" s="6" t="s">
        <v>131</v>
      </c>
      <c r="D193" s="6" t="s">
        <v>1202</v>
      </c>
      <c r="E193" s="6" t="s">
        <v>1224</v>
      </c>
      <c r="F193" s="5" t="n">
        <v>18</v>
      </c>
      <c r="G193" s="5" t="n">
        <v>99</v>
      </c>
      <c r="H193" s="5" t="n">
        <v>12</v>
      </c>
      <c r="I193" s="6" t="s">
        <v>1277</v>
      </c>
      <c r="J193" s="6" t="s">
        <v>1278</v>
      </c>
      <c r="K193" s="6" t="s">
        <v>1279</v>
      </c>
      <c r="L193" s="6" t="s">
        <v>1280</v>
      </c>
      <c r="M193" s="7" t="s">
        <v>1281</v>
      </c>
    </row>
    <row r="194" customFormat="false" ht="32.25" hidden="false" customHeight="true" outlineLevel="0" collapsed="false">
      <c r="A194" s="5" t="n">
        <f aca="false">ROW()-3</f>
        <v>191</v>
      </c>
      <c r="B194" s="6" t="s">
        <v>1282</v>
      </c>
      <c r="C194" s="6" t="s">
        <v>131</v>
      </c>
      <c r="D194" s="6" t="s">
        <v>1283</v>
      </c>
      <c r="E194" s="6" t="s">
        <v>1224</v>
      </c>
      <c r="F194" s="5" t="n">
        <v>18</v>
      </c>
      <c r="G194" s="5" t="n">
        <v>99</v>
      </c>
      <c r="H194" s="5" t="n">
        <v>12</v>
      </c>
      <c r="I194" s="6" t="s">
        <v>1284</v>
      </c>
      <c r="J194" s="6" t="s">
        <v>1278</v>
      </c>
      <c r="K194" s="6" t="s">
        <v>1285</v>
      </c>
      <c r="L194" s="6" t="s">
        <v>1286</v>
      </c>
      <c r="M194" s="7" t="s">
        <v>1287</v>
      </c>
    </row>
    <row r="195" customFormat="false" ht="470.25" hidden="false" customHeight="true" outlineLevel="0" collapsed="false">
      <c r="A195" s="5" t="n">
        <f aca="false">ROW()-3</f>
        <v>192</v>
      </c>
      <c r="B195" s="6" t="s">
        <v>1288</v>
      </c>
      <c r="C195" s="6" t="s">
        <v>1289</v>
      </c>
      <c r="D195" s="6" t="s">
        <v>1290</v>
      </c>
      <c r="E195" s="6" t="s">
        <v>508</v>
      </c>
      <c r="F195" s="5" t="n">
        <v>7</v>
      </c>
      <c r="G195" s="5" t="n">
        <v>18</v>
      </c>
      <c r="H195" s="5" t="n">
        <v>13</v>
      </c>
      <c r="I195" s="6" t="s">
        <v>1291</v>
      </c>
      <c r="J195" s="6" t="s">
        <v>1292</v>
      </c>
      <c r="K195" s="6" t="s">
        <v>1293</v>
      </c>
      <c r="L195" s="6" t="s">
        <v>1294</v>
      </c>
      <c r="M195" s="7" t="s">
        <v>1295</v>
      </c>
    </row>
    <row r="196" customFormat="false" ht="480.75" hidden="false" customHeight="true" outlineLevel="0" collapsed="false">
      <c r="A196" s="5" t="n">
        <f aca="false">ROW()-3</f>
        <v>193</v>
      </c>
      <c r="B196" s="6" t="s">
        <v>1296</v>
      </c>
      <c r="C196" s="6" t="s">
        <v>1289</v>
      </c>
      <c r="D196" s="6" t="s">
        <v>1297</v>
      </c>
      <c r="E196" s="6" t="s">
        <v>1224</v>
      </c>
      <c r="F196" s="5" t="n">
        <v>18</v>
      </c>
      <c r="G196" s="5" t="n">
        <v>99</v>
      </c>
      <c r="H196" s="5" t="n">
        <v>14</v>
      </c>
      <c r="I196" s="6" t="s">
        <v>1298</v>
      </c>
      <c r="J196" s="6" t="s">
        <v>1299</v>
      </c>
      <c r="K196" s="6" t="s">
        <v>1300</v>
      </c>
      <c r="L196" s="6" t="s">
        <v>1301</v>
      </c>
      <c r="M196" s="7" t="s">
        <v>1302</v>
      </c>
    </row>
    <row r="197" customFormat="false" ht="543.75" hidden="false" customHeight="true" outlineLevel="0" collapsed="false">
      <c r="A197" s="5" t="n">
        <f aca="false">ROW()-3</f>
        <v>194</v>
      </c>
      <c r="B197" s="6" t="s">
        <v>1303</v>
      </c>
      <c r="C197" s="6" t="s">
        <v>1304</v>
      </c>
      <c r="D197" s="6" t="s">
        <v>1297</v>
      </c>
      <c r="E197" s="6" t="s">
        <v>1305</v>
      </c>
      <c r="F197" s="5" t="n">
        <v>12</v>
      </c>
      <c r="G197" s="5" t="n">
        <v>99</v>
      </c>
      <c r="H197" s="5" t="n">
        <v>16</v>
      </c>
      <c r="I197" s="6" t="s">
        <v>1306</v>
      </c>
      <c r="J197" s="6" t="s">
        <v>1307</v>
      </c>
      <c r="K197" s="6" t="s">
        <v>1308</v>
      </c>
      <c r="L197" s="6" t="s">
        <v>1309</v>
      </c>
      <c r="M197" s="7" t="s">
        <v>1310</v>
      </c>
    </row>
    <row r="198" customFormat="false" ht="712.5" hidden="false" customHeight="true" outlineLevel="0" collapsed="false">
      <c r="A198" s="5" t="n">
        <f aca="false">ROW()-3</f>
        <v>195</v>
      </c>
      <c r="B198" s="6" t="s">
        <v>1311</v>
      </c>
      <c r="C198" s="6" t="s">
        <v>424</v>
      </c>
      <c r="D198" s="6" t="s">
        <v>185</v>
      </c>
      <c r="E198" s="6" t="s">
        <v>179</v>
      </c>
      <c r="F198" s="5" t="n">
        <v>4</v>
      </c>
      <c r="G198" s="5" t="n">
        <v>18</v>
      </c>
      <c r="H198" s="5" t="n">
        <v>14</v>
      </c>
      <c r="I198" s="6" t="s">
        <v>1312</v>
      </c>
      <c r="J198" s="6" t="s">
        <v>1313</v>
      </c>
      <c r="K198" s="6" t="s">
        <v>1314</v>
      </c>
      <c r="L198" s="6" t="s">
        <v>1315</v>
      </c>
      <c r="M198" s="7" t="s">
        <v>1316</v>
      </c>
    </row>
    <row r="199" customFormat="false" ht="712.5" hidden="false" customHeight="true" outlineLevel="0" collapsed="false">
      <c r="A199" s="5" t="n">
        <f aca="false">ROW()-3</f>
        <v>196</v>
      </c>
      <c r="B199" s="6" t="s">
        <v>1317</v>
      </c>
      <c r="C199" s="6" t="s">
        <v>16</v>
      </c>
      <c r="D199" s="6" t="s">
        <v>1318</v>
      </c>
      <c r="E199" s="6" t="s">
        <v>1319</v>
      </c>
      <c r="F199" s="5" t="n">
        <v>11</v>
      </c>
      <c r="G199" s="5" t="n">
        <v>99</v>
      </c>
      <c r="H199" s="5" t="n">
        <v>15</v>
      </c>
      <c r="I199" s="6" t="s">
        <v>1320</v>
      </c>
      <c r="J199" s="6" t="s">
        <v>1321</v>
      </c>
      <c r="K199" s="6" t="s">
        <v>1322</v>
      </c>
      <c r="L199" s="6" t="s">
        <v>1323</v>
      </c>
      <c r="M199" s="7" t="s">
        <v>1324</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1325</v>
      </c>
      <c r="B1" s="8"/>
      <c r="C1" s="8"/>
    </row>
    <row r="2" customFormat="false" ht="15" hidden="false" customHeight="true" outlineLevel="0" collapsed="false">
      <c r="A2" s="4" t="s">
        <v>4</v>
      </c>
      <c r="B2" s="4" t="s">
        <v>1326</v>
      </c>
      <c r="C2" s="4" t="s">
        <v>1327</v>
      </c>
    </row>
    <row r="3" customFormat="false" ht="15" hidden="false" customHeight="true" outlineLevel="0" collapsed="false">
      <c r="A3" s="9" t="s">
        <v>51</v>
      </c>
      <c r="B3" s="9" t="n">
        <f aca="false">COUNTIF(Catálogo!$C$4:$C$1000,A3)</f>
        <v>4</v>
      </c>
      <c r="C3" s="10" t="n">
        <f aca="false">IF($B$21=0,0,B3/$B$21)</f>
        <v>0.0204081632653061</v>
      </c>
    </row>
    <row r="4" customFormat="false" ht="15" hidden="false" customHeight="true" outlineLevel="0" collapsed="false">
      <c r="A4" s="9" t="s">
        <v>16</v>
      </c>
      <c r="B4" s="9" t="n">
        <f aca="false">COUNTIF(Catálogo!$C$4:$C$1000,A4)</f>
        <v>21</v>
      </c>
      <c r="C4" s="10" t="n">
        <f aca="false">IF($B$21=0,0,B4/$B$21)</f>
        <v>0.107142857142857</v>
      </c>
    </row>
    <row r="5" customFormat="false" ht="15" hidden="false" customHeight="true" outlineLevel="0" collapsed="false">
      <c r="A5" s="9" t="s">
        <v>131</v>
      </c>
      <c r="B5" s="9" t="n">
        <f aca="false">COUNTIF(Catálogo!$C$4:$C$1000,A5)</f>
        <v>18</v>
      </c>
      <c r="C5" s="10" t="n">
        <f aca="false">IF($B$21=0,0,B5/$B$21)</f>
        <v>0.0918367346938776</v>
      </c>
    </row>
    <row r="6" customFormat="false" ht="15" hidden="false" customHeight="true" outlineLevel="0" collapsed="false">
      <c r="A6" s="9" t="s">
        <v>217</v>
      </c>
      <c r="B6" s="9" t="n">
        <f aca="false">COUNTIF(Catálogo!$C$4:$C$1000,A6)</f>
        <v>31</v>
      </c>
      <c r="C6" s="10" t="n">
        <f aca="false">IF($B$21=0,0,B6/$B$21)</f>
        <v>0.158163265306122</v>
      </c>
    </row>
    <row r="7" customFormat="false" ht="15" hidden="false" customHeight="true" outlineLevel="0" collapsed="false">
      <c r="A7" s="9" t="s">
        <v>162</v>
      </c>
      <c r="B7" s="9" t="n">
        <f aca="false">COUNTIF(Catálogo!$C$4:$C$1000,A7)</f>
        <v>10</v>
      </c>
      <c r="C7" s="10" t="n">
        <f aca="false">IF($B$21=0,0,B7/$B$21)</f>
        <v>0.0510204081632653</v>
      </c>
    </row>
    <row r="8" customFormat="false" ht="15" hidden="false" customHeight="true" outlineLevel="0" collapsed="false">
      <c r="A8" s="9" t="s">
        <v>1032</v>
      </c>
      <c r="B8" s="9" t="n">
        <f aca="false">COUNTIF(Catálogo!$C$4:$C$1000,A8)</f>
        <v>5</v>
      </c>
      <c r="C8" s="10" t="n">
        <f aca="false">IF($B$21=0,0,B8/$B$21)</f>
        <v>0.0255102040816327</v>
      </c>
    </row>
    <row r="9" customFormat="false" ht="15" hidden="false" customHeight="true" outlineLevel="0" collapsed="false">
      <c r="A9" s="9" t="s">
        <v>72</v>
      </c>
      <c r="B9" s="9" t="n">
        <f aca="false">COUNTIF(Catálogo!$C$4:$C$1000,A9)</f>
        <v>9</v>
      </c>
      <c r="C9" s="10" t="n">
        <f aca="false">IF($B$21=0,0,B9/$B$21)</f>
        <v>0.0459183673469388</v>
      </c>
    </row>
    <row r="10" customFormat="false" ht="15" hidden="false" customHeight="true" outlineLevel="0" collapsed="false">
      <c r="A10" s="9" t="s">
        <v>208</v>
      </c>
      <c r="B10" s="9" t="n">
        <f aca="false">COUNTIF(Catálogo!$C$4:$C$1000,A10)</f>
        <v>14</v>
      </c>
      <c r="C10" s="10" t="n">
        <f aca="false">IF($B$21=0,0,B10/$B$21)</f>
        <v>0.0714285714285714</v>
      </c>
    </row>
    <row r="11" customFormat="false" ht="15" hidden="false" customHeight="true" outlineLevel="0" collapsed="false">
      <c r="A11" s="9" t="s">
        <v>122</v>
      </c>
      <c r="B11" s="9" t="n">
        <f aca="false">COUNTIF(Catálogo!$C$4:$C$1000,A11)</f>
        <v>10</v>
      </c>
      <c r="C11" s="10" t="n">
        <f aca="false">IF($B$21=0,0,B11/$B$21)</f>
        <v>0.0510204081632653</v>
      </c>
    </row>
    <row r="12" customFormat="false" ht="15" hidden="false" customHeight="true" outlineLevel="0" collapsed="false">
      <c r="A12" s="9" t="s">
        <v>1040</v>
      </c>
      <c r="B12" s="9" t="n">
        <f aca="false">COUNTIF(Catálogo!$C$4:$C$1000,A12)</f>
        <v>5</v>
      </c>
      <c r="C12" s="10" t="n">
        <f aca="false">IF($B$21=0,0,B12/$B$21)</f>
        <v>0.0255102040816327</v>
      </c>
    </row>
    <row r="13" customFormat="false" ht="15" hidden="false" customHeight="true" outlineLevel="0" collapsed="false">
      <c r="A13" s="9" t="s">
        <v>278</v>
      </c>
      <c r="B13" s="9" t="n">
        <f aca="false">COUNTIF(Catálogo!$C$4:$C$1000,A13)</f>
        <v>26</v>
      </c>
      <c r="C13" s="10" t="n">
        <f aca="false">IF($B$21=0,0,B13/$B$21)</f>
        <v>0.13265306122449</v>
      </c>
    </row>
    <row r="14" customFormat="false" ht="15" hidden="false" customHeight="true" outlineLevel="0" collapsed="false">
      <c r="A14" s="9" t="s">
        <v>397</v>
      </c>
      <c r="B14" s="9" t="n">
        <f aca="false">COUNTIF(Catálogo!$C$4:$C$1000,A14)</f>
        <v>12</v>
      </c>
      <c r="C14" s="10" t="n">
        <f aca="false">IF($B$21=0,0,B14/$B$21)</f>
        <v>0.0612244897959184</v>
      </c>
    </row>
    <row r="15" customFormat="false" ht="15" hidden="false" customHeight="true" outlineLevel="0" collapsed="false">
      <c r="A15" s="9" t="s">
        <v>424</v>
      </c>
      <c r="B15" s="9" t="n">
        <f aca="false">COUNTIF(Catálogo!$C$4:$C$1000,A15)</f>
        <v>10</v>
      </c>
      <c r="C15" s="10" t="n">
        <f aca="false">IF($B$21=0,0,B15/$B$21)</f>
        <v>0.0510204081632653</v>
      </c>
    </row>
    <row r="16" customFormat="false" ht="15" hidden="false" customHeight="true" outlineLevel="0" collapsed="false">
      <c r="A16" s="9" t="s">
        <v>438</v>
      </c>
      <c r="B16" s="9" t="n">
        <f aca="false">COUNTIF(Catálogo!$C$4:$C$1000,A16)</f>
        <v>6</v>
      </c>
      <c r="C16" s="10" t="n">
        <f aca="false">IF($B$21=0,0,B16/$B$21)</f>
        <v>0.0306122448979592</v>
      </c>
    </row>
    <row r="17" customFormat="false" ht="15" hidden="false" customHeight="true" outlineLevel="0" collapsed="false">
      <c r="A17" s="9" t="s">
        <v>115</v>
      </c>
      <c r="B17" s="9" t="n">
        <f aca="false">COUNTIF(Catálogo!$C$4:$C$1000,A17)</f>
        <v>5</v>
      </c>
      <c r="C17" s="10" t="n">
        <f aca="false">IF($B$21=0,0,B17/$B$21)</f>
        <v>0.0255102040816327</v>
      </c>
    </row>
    <row r="18" customFormat="false" ht="15" hidden="false" customHeight="true" outlineLevel="0" collapsed="false">
      <c r="A18" s="9" t="s">
        <v>546</v>
      </c>
      <c r="B18" s="9" t="n">
        <f aca="false">COUNTIF(Catálogo!$C$4:$C$1000,A18)</f>
        <v>7</v>
      </c>
      <c r="C18" s="10" t="n">
        <f aca="false">IF($B$21=0,0,B18/$B$21)</f>
        <v>0.0357142857142857</v>
      </c>
    </row>
    <row r="19" customFormat="false" ht="15" hidden="false" customHeight="true" outlineLevel="0" collapsed="false">
      <c r="A19" s="9" t="s">
        <v>1289</v>
      </c>
      <c r="B19" s="9" t="n">
        <f aca="false">COUNTIF(Catálogo!$C$4:$C$1000,A19)</f>
        <v>2</v>
      </c>
      <c r="C19" s="10" t="n">
        <f aca="false">IF($B$21=0,0,B19/$B$21)</f>
        <v>0.0102040816326531</v>
      </c>
    </row>
    <row r="20" customFormat="false" ht="15" hidden="false" customHeight="true" outlineLevel="0" collapsed="false">
      <c r="A20" s="9" t="s">
        <v>1304</v>
      </c>
      <c r="B20" s="9" t="n">
        <f aca="false">COUNTIF(Catálogo!$C$4:$C$1000,A20)</f>
        <v>1</v>
      </c>
      <c r="C20" s="10" t="n">
        <f aca="false">IF($B$21=0,0,B20/$B$21)</f>
        <v>0.00510204081632653</v>
      </c>
    </row>
    <row r="21" customFormat="false" ht="15" hidden="false" customHeight="true" outlineLevel="0" collapsed="false">
      <c r="A21" s="11" t="s">
        <v>1328</v>
      </c>
      <c r="B21" s="11" t="n">
        <f aca="false">COUNTA(Catálogo!$B$4:$B$1000)</f>
        <v>196</v>
      </c>
      <c r="C21" s="12" t="n">
        <f aca="false">IF(B21=0,0,B21/B21)</f>
        <v>1</v>
      </c>
    </row>
    <row r="22" customFormat="false" ht="15" hidden="false" customHeight="true" outlineLevel="0" collapsed="false">
      <c r="A22" s="9"/>
      <c r="B22" s="9"/>
      <c r="C22" s="10"/>
    </row>
    <row r="23" customFormat="false" ht="15" hidden="false" customHeight="true" outlineLevel="0" collapsed="false">
      <c r="A23" s="1" t="s">
        <v>1329</v>
      </c>
      <c r="B23" s="1" t="str">
        <f aca="false">IF(SUM(B3:B20)=B21,"OK","Existe ÁREA nova — acrescentar linha no resumo")</f>
        <v>OK</v>
      </c>
      <c r="C23" s="10"/>
    </row>
    <row r="24" customFormat="false" ht="15" hidden="false" customHeight="true" outlineLevel="0" collapsed="false">
      <c r="A24" s="1" t="s">
        <v>1330</v>
      </c>
      <c r="B24" s="1" t="str">
        <f aca="false">IF(COUNTA(Catálogo!$C$4:$C$1000)-SUM(B3:B20)=0,"OK","Existe ÁREA fora das 18 canónicas")</f>
        <v>OK</v>
      </c>
      <c r="C24" s="10"/>
    </row>
    <row r="25" customFormat="false" ht="15" hidden="false" customHeight="true" outlineLevel="0" collapsed="false">
      <c r="A25" s="9"/>
      <c r="B25" s="9"/>
      <c r="C25" s="10"/>
    </row>
    <row r="26" customFormat="false" ht="15" hidden="false" customHeight="true" outlineLevel="0" collapsed="false">
      <c r="A26" s="9"/>
      <c r="B26" s="9"/>
      <c r="C26" s="10"/>
    </row>
    <row r="27" customFormat="false" ht="15" hidden="false" customHeight="true" outlineLevel="0" collapsed="false">
      <c r="A27" s="9"/>
      <c r="B27" s="9"/>
      <c r="C27" s="10"/>
    </row>
    <row r="28" customFormat="false" ht="15" hidden="false" customHeight="true" outlineLevel="0" collapsed="false">
      <c r="A28" s="9"/>
      <c r="B28" s="9"/>
      <c r="C28" s="10"/>
    </row>
    <row r="29" customFormat="false" ht="15" hidden="false" customHeight="true" outlineLevel="0" collapsed="false">
      <c r="A29" s="9"/>
      <c r="B29" s="9"/>
      <c r="C29" s="10"/>
    </row>
    <row r="30" customFormat="false" ht="15" hidden="false" customHeight="true" outlineLevel="0" collapsed="false">
      <c r="A30" s="11"/>
      <c r="B30" s="11"/>
      <c r="C30" s="12"/>
    </row>
    <row r="31" customFormat="false" ht="15" hidden="false" customHeight="true" outlineLevel="0" collapsed="false">
      <c r="A31" s="13"/>
    </row>
    <row r="32" customFormat="false" ht="14.25" hidden="false" customHeight="true" outlineLevel="0" collapsed="false">
      <c r="A32" s="14"/>
      <c r="B32" s="15"/>
    </row>
    <row r="33" customFormat="false" ht="14.25" hidden="false" customHeight="true" outlineLevel="0" collapsed="false"/>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51</v>
      </c>
      <c r="I1" s="17" t="str">
        <f aca="false">COUNTIF(Catálogo!$C$4:$C$1000,$A$1)&amp;IF(COUNTIF(Catálogo!$C$4:$C$1000,$A$1)=1," instrumento nesta área"," instrumentos nesta área")</f>
        <v>4 instrumentos nesta área</v>
      </c>
    </row>
    <row r="2" customFormat="false" ht="15" hidden="false" customHeight="true" outlineLevel="0" collapsed="false">
      <c r="A2" s="18" t="s">
        <v>1331</v>
      </c>
      <c r="I2" s="19" t="str">
        <f aca="false">IF(COUNTIF(Catálogo!$C$4:$C$1000,$A$1)&gt;12,"⚠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v>
      </c>
      <c r="B4" s="6" t="str">
        <f aca="false">IFERROR(INDEX(Catálogo!B$4:B$1000,MATCH($A$1&amp;"|"&amp;1,Índice!$A$4:$A$1000,0)),"")</f>
        <v>Anamnese — História Prévia</v>
      </c>
      <c r="C4" s="6" t="str">
        <f aca="false">IFERROR(INDEX(Catálogo!C$4:C$1000,MATCH($A$1&amp;"|"&amp;1,Índice!$A$4:$A$1000,0)),"")</f>
        <v>Anamnese, História &amp; Monitorização</v>
      </c>
      <c r="D4" s="6" t="str">
        <f aca="false">IFERROR(INDEX(Catálogo!D$4:D$1000,MATCH($A$1&amp;"|"&amp;1,Índice!$A$4:$A$1000,0)),"")</f>
        <v>Mãe, Pai, Enc. Educação</v>
      </c>
      <c r="E4" s="6" t="str">
        <f aca="false">IFERROR(INDEX(Catálogo!E$4:E$1000,MATCH($A$1&amp;"|"&amp;1,Índice!$A$4:$A$1000,0)),"")</f>
        <v>0–18 anos</v>
      </c>
      <c r="F4" s="5" t="n">
        <f aca="false">IFERROR(INDEX(Catálogo!F$4:F$1000,MATCH($A$1&amp;"|"&amp;1,Índice!$A$4:$A$1000,0)),"")</f>
        <v>0</v>
      </c>
      <c r="G4" s="5" t="n">
        <f aca="false">IFERROR(INDEX(Catálogo!G$4:G$1000,MATCH($A$1&amp;"|"&amp;1,Índice!$A$4:$A$1000,0)),"")</f>
        <v>83.2</v>
      </c>
      <c r="H4" s="5" t="n">
        <f aca="false">IFERROR(INDEX(Catálogo!H$4:H$1000,MATCH($A$1&amp;"|"&amp;1,Índice!$A$4:$A$1000,0)),"")</f>
        <v>5</v>
      </c>
      <c r="I4" s="6" t="str">
        <f aca="false">IFERROR(INDEX(Catálogo!I$4:I$1000,MATCH($A$1&amp;"|"&amp;1,Índice!$A$4:$A$1000,0)),"")</f>
        <v>Recolha qualitativa de história clínica, desenvolvimento, familiar, escolar e relacional prévia à consulta</v>
      </c>
      <c r="J4" s="6" t="str">
        <f aca="false">IFERROR(INDEX(Catálogo!J$4:J$1000,MATCH($A$1&amp;"|"&amp;1,Índice!$A$4:$A$1000,0)),"")</f>
        <v>História Clínica; Desenvolvimento; Estrutura Familiar; História Escolar; Relacionamentos</v>
      </c>
      <c r="K4" s="6" t="str">
        <f aca="false">IFERROR(INDEX(Catálogo!K$4:K$1000,MATCH($A$1&amp;"|"&amp;1,Índice!$A$4:$A$1000,0)),"")</f>
        <v>anamnese_hp</v>
      </c>
      <c r="L4" s="6" t="str">
        <f aca="false">IFERROR(INDEX(Catálogo!L$4:L$1000,MATCH($A$1&amp;"|"&amp;1,Índice!$A$4:$A$1000,0)),"")</f>
        <v>q_anamnese_hp</v>
      </c>
      <c r="M4" s="7" t="str">
        <f aca="false">IFERROR(INDEX(Catálogo!M$4:M$1000,MATCH($A$1&amp;"|"&amp;1,Índice!$A$4:$A$1000,0)),"")</f>
        <v>https://correiaricardina-ui.github.io/questionarios/Anamnese_HP_v1.html</v>
      </c>
    </row>
    <row r="5" customFormat="false" ht="42" hidden="false" customHeight="true" outlineLevel="0" collapsed="false">
      <c r="A5" s="5" t="n">
        <f aca="false">IFERROR(INDEX(Catálogo!A$4:A$1000,MATCH($A$1&amp;"|"&amp;2,Índice!$A$4:$A$1000,0)),"")</f>
        <v>7</v>
      </c>
      <c r="B5" s="6" t="str">
        <f aca="false">IFERROR(INDEX(Catálogo!B$4:B$1000,MATCH($A$1&amp;"|"&amp;2,Índice!$A$4:$A$1000,0)),"")</f>
        <v>Anamnese Complementar</v>
      </c>
      <c r="C5" s="6" t="str">
        <f aca="false">IFERROR(INDEX(Catálogo!C$4:C$1000,MATCH($A$1&amp;"|"&amp;2,Índice!$A$4:$A$1000,0)),"")</f>
        <v>Anamnese, História &amp; Monitorização</v>
      </c>
      <c r="D5" s="6" t="str">
        <f aca="false">IFERROR(INDEX(Catálogo!D$4:D$1000,MATCH($A$1&amp;"|"&amp;2,Índice!$A$4:$A$1000,0)),"")</f>
        <v>Mãe, Pai, Enc. Educação</v>
      </c>
      <c r="E5" s="6" t="str">
        <f aca="false">IFERROR(INDEX(Catálogo!E$4:E$1000,MATCH($A$1&amp;"|"&amp;2,Índice!$A$4:$A$1000,0)),"")</f>
        <v>0–18 anos</v>
      </c>
      <c r="F5" s="5" t="n">
        <f aca="false">IFERROR(INDEX(Catálogo!F$4:F$1000,MATCH($A$1&amp;"|"&amp;2,Índice!$A$4:$A$1000,0)),"")</f>
        <v>0</v>
      </c>
      <c r="G5" s="5" t="n">
        <f aca="false">IFERROR(INDEX(Catálogo!G$4:G$1000,MATCH($A$1&amp;"|"&amp;2,Índice!$A$4:$A$1000,0)),"")</f>
        <v>83.2</v>
      </c>
      <c r="H5" s="5" t="n">
        <f aca="false">IFERROR(INDEX(Catálogo!H$4:H$1000,MATCH($A$1&amp;"|"&amp;2,Índice!$A$4:$A$1000,0)),"")</f>
        <v>4</v>
      </c>
      <c r="I5" s="6" t="str">
        <f aca="false">IFERROR(INDEX(Catálogo!I$4:I$1000,MATCH($A$1&amp;"|"&amp;2,Índice!$A$4:$A$1000,0)),"")</f>
        <v>Recolher história clínica, desenvolvimento e funcionamento quotidiano</v>
      </c>
      <c r="J5" s="6" t="str">
        <f aca="false">IFERROR(INDEX(Catálogo!J$4:J$1000,MATCH($A$1&amp;"|"&amp;2,Índice!$A$4:$A$1000,0)),"")</f>
        <v>História Clínica; Desenvolvimento Precoce; Funcionamento Executivo; Regulação Emocional</v>
      </c>
      <c r="K5" s="6" t="str">
        <f aca="false">IFERROR(INDEX(Catálogo!K$4:K$1000,MATCH($A$1&amp;"|"&amp;2,Índice!$A$4:$A$1000,0)),"")</f>
        <v>anamnese_complementar</v>
      </c>
      <c r="L5" s="6" t="str">
        <f aca="false">IFERROR(INDEX(Catálogo!L$4:L$1000,MATCH($A$1&amp;"|"&amp;2,Índice!$A$4:$A$1000,0)),"")</f>
        <v>q_anamnese</v>
      </c>
      <c r="M5" s="7" t="str">
        <f aca="false">IFERROR(INDEX(Catálogo!M$4:M$1000,MATCH($A$1&amp;"|"&amp;2,Índice!$A$4:$A$1000,0)),"")</f>
        <v>https://correiaricardina-ui.github.io/questionarios/Anamnese_complementar_v2.html</v>
      </c>
    </row>
    <row r="6" customFormat="false" ht="42" hidden="false" customHeight="true" outlineLevel="0" collapsed="false">
      <c r="A6" s="5" t="n">
        <f aca="false">IFERROR(INDEX(Catálogo!A$4:A$1000,MATCH($A$1&amp;"|"&amp;3,Índice!$A$4:$A$1000,0)),"")</f>
        <v>8</v>
      </c>
      <c r="B6" s="6" t="str">
        <f aca="false">IFERROR(INDEX(Catálogo!B$4:B$1000,MATCH($A$1&amp;"|"&amp;3,Índice!$A$4:$A$1000,0)),"")</f>
        <v>Anamnese Parental Complementar</v>
      </c>
      <c r="C6" s="6" t="str">
        <f aca="false">IFERROR(INDEX(Catálogo!C$4:C$1000,MATCH($A$1&amp;"|"&amp;3,Índice!$A$4:$A$1000,0)),"")</f>
        <v>Anamnese, História &amp; Monitorização</v>
      </c>
      <c r="D6" s="6" t="str">
        <f aca="false">IFERROR(INDEX(Catálogo!D$4:D$1000,MATCH($A$1&amp;"|"&amp;3,Índice!$A$4:$A$1000,0)),"")</f>
        <v>Mãe, Pai, Enc. Educação</v>
      </c>
      <c r="E6" s="6" t="str">
        <f aca="false">IFERROR(INDEX(Catálogo!E$4:E$1000,MATCH($A$1&amp;"|"&amp;3,Índice!$A$4:$A$1000,0)),"")</f>
        <v>Todas as idades</v>
      </c>
      <c r="F6" s="5" t="n">
        <f aca="false">IFERROR(INDEX(Catálogo!F$4:F$1000,MATCH($A$1&amp;"|"&amp;3,Índice!$A$4:$A$1000,0)),"")</f>
        <v>0</v>
      </c>
      <c r="G6" s="5" t="n">
        <f aca="false">IFERROR(INDEX(Catálogo!G$4:G$1000,MATCH($A$1&amp;"|"&amp;3,Índice!$A$4:$A$1000,0)),"")</f>
        <v>99</v>
      </c>
      <c r="H6" s="5" t="n">
        <f aca="false">IFERROR(INDEX(Catálogo!H$4:H$1000,MATCH($A$1&amp;"|"&amp;3,Índice!$A$4:$A$1000,0)),"")</f>
        <v>5</v>
      </c>
      <c r="I6" s="6" t="str">
        <f aca="false">IFERROR(INDEX(Catálogo!I$4:I$1000,MATCH($A$1&amp;"|"&amp;3,Índice!$A$4:$A$1000,0)),"")</f>
        <v>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v>
      </c>
      <c r="J6" s="6" t="str">
        <f aca="false">IFERROR(INDEX(Catálogo!J$4:J$1000,MATCH($A$1&amp;"|"&amp;3,Índice!$A$4:$A$1000,0)),"")</f>
        <v>Preocupações principais; Áreas assinaladas; Contexto do respondente; Evolução percebida; Expectativas e disponibilidade</v>
      </c>
      <c r="K6" s="6" t="str">
        <f aca="false">IFERROR(INDEX(Catálogo!K$4:K$1000,MATCH($A$1&amp;"|"&amp;3,Índice!$A$4:$A$1000,0)),"")</f>
        <v>anamnese_parental_complementar</v>
      </c>
      <c r="L6" s="6" t="str">
        <f aca="false">IFERROR(INDEX(Catálogo!L$4:L$1000,MATCH($A$1&amp;"|"&amp;3,Índice!$A$4:$A$1000,0)),"")</f>
        <v>q_anamnese_parental_complementar</v>
      </c>
      <c r="M6" s="7" t="str">
        <f aca="false">IFERROR(INDEX(Catálogo!M$4:M$1000,MATCH($A$1&amp;"|"&amp;3,Índice!$A$4:$A$1000,0)),"")</f>
        <v>https://correiaricardina-ui.github.io/questionarios/ANAMNESE_PARENTAL_COMPLEMENTAR_v1.html</v>
      </c>
    </row>
    <row r="7" customFormat="false" ht="42" hidden="false" customHeight="true" outlineLevel="0" collapsed="false">
      <c r="A7" s="5" t="n">
        <f aca="false">IFERROR(INDEX(Catálogo!A$4:A$1000,MATCH($A$1&amp;"|"&amp;4,Índice!$A$4:$A$1000,0)),"")</f>
        <v>53</v>
      </c>
      <c r="B7" s="6" t="str">
        <f aca="false">IFERROR(INDEX(Catálogo!B$4:B$1000,MATCH($A$1&amp;"|"&amp;4,Índice!$A$4:$A$1000,0)),"")</f>
        <v>Diário de Episódios</v>
      </c>
      <c r="C7" s="6" t="str">
        <f aca="false">IFERROR(INDEX(Catálogo!C$4:C$1000,MATCH($A$1&amp;"|"&amp;4,Índice!$A$4:$A$1000,0)),"")</f>
        <v>Anamnese, História &amp; Monitorização</v>
      </c>
      <c r="D7" s="6" t="str">
        <f aca="false">IFERROR(INDEX(Catálogo!D$4:D$1000,MATCH($A$1&amp;"|"&amp;4,Índice!$A$4:$A$1000,0)),"")</f>
        <v>Mãe, Pai, Enc. Educação</v>
      </c>
      <c r="E7" s="6" t="str">
        <f aca="false">IFERROR(INDEX(Catálogo!E$4:E$1000,MATCH($A$1&amp;"|"&amp;4,Índice!$A$4:$A$1000,0)),"")</f>
        <v>Todas as idades</v>
      </c>
      <c r="F7" s="5" t="n">
        <f aca="false">IFERROR(INDEX(Catálogo!F$4:F$1000,MATCH($A$1&amp;"|"&amp;4,Índice!$A$4:$A$1000,0)),"")</f>
        <v>0</v>
      </c>
      <c r="G7" s="5" t="n">
        <f aca="false">IFERROR(INDEX(Catálogo!G$4:G$1000,MATCH($A$1&amp;"|"&amp;4,Índice!$A$4:$A$1000,0)),"")</f>
        <v>99</v>
      </c>
      <c r="H7" s="5" t="n">
        <f aca="false">IFERROR(INDEX(Catálogo!H$4:H$1000,MATCH($A$1&amp;"|"&amp;4,Índice!$A$4:$A$1000,0)),"")</f>
        <v>3</v>
      </c>
      <c r="I7" s="6" t="str">
        <f aca="false">IFERROR(INDEX(Catálogo!I$4:I$1000,MATCH($A$1&amp;"|"&amp;4,Índice!$A$4:$A$1000,0)),"")</f>
        <v>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v>
      </c>
      <c r="J7" s="6" t="str">
        <f aca="false">IFERROR(INDEX(Catálogo!J$4:J$1000,MATCH($A$1&amp;"|"&amp;4,Índice!$A$4:$A$1000,0)),"")</f>
        <v>Nº de episódios; Frequência por tipo; Distribuição de intensidade</v>
      </c>
      <c r="K7" s="6" t="str">
        <f aca="false">IFERROR(INDEX(Catálogo!K$4:K$1000,MATCH($A$1&amp;"|"&amp;4,Índice!$A$4:$A$1000,0)),"")</f>
        <v>diario_episodios</v>
      </c>
      <c r="L7" s="6" t="str">
        <f aca="false">IFERROR(INDEX(Catálogo!L$4:L$1000,MATCH($A$1&amp;"|"&amp;4,Índice!$A$4:$A$1000,0)),"")</f>
        <v>q_diario_episodios</v>
      </c>
      <c r="M7" s="7" t="str">
        <f aca="false">IFERROR(INDEX(Catálogo!M$4:M$1000,MATCH($A$1&amp;"|"&amp;4,Índice!$A$4:$A$1000,0)),"")</f>
        <v>https://correiaricardina-ui.github.io/questionarios/Diario_Episodios_v1.html</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sheetData>
  <autoFilter ref="A3:M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16</v>
      </c>
      <c r="I1" s="17" t="str">
        <f aca="false">COUNTIF(Catálogo!$C$4:$C$1000,$A$1)&amp;IF(COUNTIF(Catálogo!$C$4:$C$1000,$A$1)=1," instrumento nesta área"," instrumentos nesta área")</f>
        <v>21 instrumentos nesta área</v>
      </c>
    </row>
    <row r="2" customFormat="false" ht="15" hidden="false" customHeight="true" outlineLevel="0" collapsed="false">
      <c r="A2" s="18" t="s">
        <v>1331</v>
      </c>
      <c r="I2" s="19" t="str">
        <f aca="false">IF(COUNTIF(Catálogo!$C$4:$C$1000,$A$1)&gt;29,"⚠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v>
      </c>
      <c r="B4" s="6" t="str">
        <f aca="false">IFERROR(INDEX(Catálogo!B$4:B$1000,MATCH($A$1&amp;"|"&amp;1,Índice!$A$4:$A$1000,0)),"")</f>
        <v>ABAS-3 — Auto-relato</v>
      </c>
      <c r="C4" s="6" t="str">
        <f aca="false">IFERROR(INDEX(Catálogo!C$4:C$1000,MATCH($A$1&amp;"|"&amp;1,Índice!$A$4:$A$1000,0)),"")</f>
        <v>Neurodesenvolvimento</v>
      </c>
      <c r="D4" s="6" t="str">
        <f aca="false">IFERROR(INDEX(Catálogo!D$4:D$1000,MATCH($A$1&amp;"|"&amp;1,Índice!$A$4:$A$1000,0)),"")</f>
        <v>Paciente</v>
      </c>
      <c r="E4" s="6" t="str">
        <f aca="false">IFERROR(INDEX(Catálogo!E$4:E$1000,MATCH($A$1&amp;"|"&amp;1,Índice!$A$4:$A$1000,0)),"")</f>
        <v>16–89 anos</v>
      </c>
      <c r="F4" s="5" t="n">
        <f aca="false">IFERROR(INDEX(Catálogo!F$4:F$1000,MATCH($A$1&amp;"|"&amp;1,Índice!$A$4:$A$1000,0)),"")</f>
        <v>16</v>
      </c>
      <c r="G4" s="5" t="n">
        <f aca="false">IFERROR(INDEX(Catálogo!G$4:G$1000,MATCH($A$1&amp;"|"&amp;1,Índice!$A$4:$A$1000,0)),"")</f>
        <v>99</v>
      </c>
      <c r="H4" s="5" t="n">
        <f aca="false">IFERROR(INDEX(Catálogo!H$4:H$1000,MATCH($A$1&amp;"|"&amp;1,Índice!$A$4:$A$1000,0)),"")</f>
        <v>4</v>
      </c>
      <c r="I4" s="6" t="str">
        <f aca="false">IFERROR(INDEX(Catálogo!I$4:I$1000,MATCH($A$1&amp;"|"&amp;1,Índice!$A$4:$A$1000,0)),"")</f>
        <v>Avalia comportamento adaptativo — auto-relato (16–89 anos)</v>
      </c>
      <c r="J4" s="6" t="str">
        <f aca="false">IFERROR(INDEX(Catálogo!J$4:J$1000,MATCH($A$1&amp;"|"&amp;1,Índice!$A$4:$A$1000,0)),"")</f>
        <v>Compósito Adaptativo Geral (GAC); Domínio Conceptual (CC); Domínio Social (SC); Domínio Prático (PC)</v>
      </c>
      <c r="K4" s="6" t="str">
        <f aca="false">IFERROR(INDEX(Catálogo!K$4:K$1000,MATCH($A$1&amp;"|"&amp;1,Índice!$A$4:$A$1000,0)),"")</f>
        <v>abas3_adult</v>
      </c>
      <c r="L4" s="6" t="str">
        <f aca="false">IFERROR(INDEX(Catálogo!L$4:L$1000,MATCH($A$1&amp;"|"&amp;1,Índice!$A$4:$A$1000,0)),"")</f>
        <v>q_abas3_adult</v>
      </c>
      <c r="M4" s="7" t="str">
        <f aca="false">IFERROR(INDEX(Catálogo!M$4:M$1000,MATCH($A$1&amp;"|"&amp;1,Índice!$A$4:$A$1000,0)),"")</f>
        <v>https://correiaricardina-ui.github.io/questionarios/ABAS3_Autorrelato_v1.html</v>
      </c>
    </row>
    <row r="5" customFormat="false" ht="42" hidden="false" customHeight="true" outlineLevel="0" collapsed="false">
      <c r="A5" s="5" t="n">
        <f aca="false">IFERROR(INDEX(Catálogo!A$4:A$1000,MATCH($A$1&amp;"|"&amp;2,Índice!$A$4:$A$1000,0)),"")</f>
        <v>2</v>
      </c>
      <c r="B5" s="6" t="str">
        <f aca="false">IFERROR(INDEX(Catálogo!B$4:B$1000,MATCH($A$1&amp;"|"&amp;2,Índice!$A$4:$A$1000,0)),"")</f>
        <v>ABAS-3 — Educador (0–5)</v>
      </c>
      <c r="C5" s="6" t="str">
        <f aca="false">IFERROR(INDEX(Catálogo!C$4:C$1000,MATCH($A$1&amp;"|"&amp;2,Índice!$A$4:$A$1000,0)),"")</f>
        <v>Neurodesenvolvimento</v>
      </c>
      <c r="D5" s="6" t="str">
        <f aca="false">IFERROR(INDEX(Catálogo!D$4:D$1000,MATCH($A$1&amp;"|"&amp;2,Índice!$A$4:$A$1000,0)),"")</f>
        <v>Educador(a)</v>
      </c>
      <c r="E5" s="6" t="str">
        <f aca="false">IFERROR(INDEX(Catálogo!E$4:E$1000,MATCH($A$1&amp;"|"&amp;2,Índice!$A$4:$A$1000,0)),"")</f>
        <v>0–5 anos</v>
      </c>
      <c r="F5" s="5" t="n">
        <f aca="false">IFERROR(INDEX(Catálogo!F$4:F$1000,MATCH($A$1&amp;"|"&amp;2,Índice!$A$4:$A$1000,0)),"")</f>
        <v>0</v>
      </c>
      <c r="G5" s="5" t="n">
        <f aca="false">IFERROR(INDEX(Catálogo!G$4:G$1000,MATCH($A$1&amp;"|"&amp;2,Índice!$A$4:$A$1000,0)),"")</f>
        <v>5.9</v>
      </c>
      <c r="H5" s="5" t="n">
        <f aca="false">IFERROR(INDEX(Catálogo!H$4:H$1000,MATCH($A$1&amp;"|"&amp;2,Índice!$A$4:$A$1000,0)),"")</f>
        <v>4</v>
      </c>
      <c r="I5" s="6" t="str">
        <f aca="false">IFERROR(INDEX(Catálogo!I$4:I$1000,MATCH($A$1&amp;"|"&amp;2,Índice!$A$4:$A$1000,0)),"")</f>
        <v>Avalia comportamento adaptativo — versão educador (0–5 anos)</v>
      </c>
      <c r="J5" s="6" t="str">
        <f aca="false">IFERROR(INDEX(Catálogo!J$4:J$1000,MATCH($A$1&amp;"|"&amp;2,Índice!$A$4:$A$1000,0)),"")</f>
        <v>Compósito Adaptativo Geral (CAG); Domínio Conceptual (CC); Domínio Social (SC); Domínio Prático (PC)</v>
      </c>
      <c r="K5" s="6" t="str">
        <f aca="false">IFERROR(INDEX(Catálogo!K$4:K$1000,MATCH($A$1&amp;"|"&amp;2,Índice!$A$4:$A$1000,0)),"")</f>
        <v>abas3_05p</v>
      </c>
      <c r="L5" s="6" t="str">
        <f aca="false">IFERROR(INDEX(Catálogo!L$4:L$1000,MATCH($A$1&amp;"|"&amp;2,Índice!$A$4:$A$1000,0)),"")</f>
        <v>q_abas3_05p</v>
      </c>
      <c r="M5" s="7" t="str">
        <f aca="false">IFERROR(INDEX(Catálogo!M$4:M$1000,MATCH($A$1&amp;"|"&amp;2,Índice!$A$4:$A$1000,0)),"")</f>
        <v>https://correiaricardina-ui.github.io/questionarios/ABAS3_PreEscolar_Educador.html</v>
      </c>
    </row>
    <row r="6" customFormat="false" ht="42" hidden="false" customHeight="true" outlineLevel="0" collapsed="false">
      <c r="A6" s="5" t="n">
        <f aca="false">IFERROR(INDEX(Catálogo!A$4:A$1000,MATCH($A$1&amp;"|"&amp;3,Índice!$A$4:$A$1000,0)),"")</f>
        <v>3</v>
      </c>
      <c r="B6" s="6" t="str">
        <f aca="false">IFERROR(INDEX(Catálogo!B$4:B$1000,MATCH($A$1&amp;"|"&amp;3,Índice!$A$4:$A$1000,0)),"")</f>
        <v>ABAS-3 — Pais/Cuid. (&gt;6)</v>
      </c>
      <c r="C6" s="6" t="str">
        <f aca="false">IFERROR(INDEX(Catálogo!C$4:C$1000,MATCH($A$1&amp;"|"&amp;3,Índice!$A$4:$A$1000,0)),"")</f>
        <v>Neurodesenvolvimento</v>
      </c>
      <c r="D6" s="6" t="str">
        <f aca="false">IFERROR(INDEX(Catálogo!D$4:D$1000,MATCH($A$1&amp;"|"&amp;3,Índice!$A$4:$A$1000,0)),"")</f>
        <v>Mãe, Pai, Enc. Educação</v>
      </c>
      <c r="E6" s="6" t="str">
        <f aca="false">IFERROR(INDEX(Catálogo!E$4:E$1000,MATCH($A$1&amp;"|"&amp;3,Índice!$A$4:$A$1000,0)),"")</f>
        <v>6–21 anos</v>
      </c>
      <c r="F6" s="5" t="n">
        <f aca="false">IFERROR(INDEX(Catálogo!F$4:F$1000,MATCH($A$1&amp;"|"&amp;3,Índice!$A$4:$A$1000,0)),"")</f>
        <v>6</v>
      </c>
      <c r="G6" s="5" t="n">
        <f aca="false">IFERROR(INDEX(Catálogo!G$4:G$1000,MATCH($A$1&amp;"|"&amp;3,Índice!$A$4:$A$1000,0)),"")</f>
        <v>20.9</v>
      </c>
      <c r="H6" s="5" t="n">
        <f aca="false">IFERROR(INDEX(Catálogo!H$4:H$1000,MATCH($A$1&amp;"|"&amp;3,Índice!$A$4:$A$1000,0)),"")</f>
        <v>4</v>
      </c>
      <c r="I6" s="6" t="str">
        <f aca="false">IFERROR(INDEX(Catálogo!I$4:I$1000,MATCH($A$1&amp;"|"&amp;3,Índice!$A$4:$A$1000,0)),"")</f>
        <v>Avalia comportamento adaptativo — versão pais/cuidadores (&gt;6 anos)</v>
      </c>
      <c r="J6" s="6" t="str">
        <f aca="false">IFERROR(INDEX(Catálogo!J$4:J$1000,MATCH($A$1&amp;"|"&amp;3,Índice!$A$4:$A$1000,0)),"")</f>
        <v>Compósito Adaptativo Geral (CAG); Domínio Conceptual (CC); Domínio Social (SC); Domínio Prático (PC)</v>
      </c>
      <c r="K6" s="6" t="str">
        <f aca="false">IFERROR(INDEX(Catálogo!K$4:K$1000,MATCH($A$1&amp;"|"&amp;3,Índice!$A$4:$A$1000,0)),"")</f>
        <v>abas3_pais</v>
      </c>
      <c r="L6" s="6" t="str">
        <f aca="false">IFERROR(INDEX(Catálogo!L$4:L$1000,MATCH($A$1&amp;"|"&amp;3,Índice!$A$4:$A$1000,0)),"")</f>
        <v>q_abas3_pais</v>
      </c>
      <c r="M6" s="7" t="str">
        <f aca="false">IFERROR(INDEX(Catálogo!M$4:M$1000,MATCH($A$1&amp;"|"&amp;3,Índice!$A$4:$A$1000,0)),"")</f>
        <v>https://correiaricardina-ui.github.io/questionarios/ABAS3_Pais_v2.html</v>
      </c>
    </row>
    <row r="7" customFormat="false" ht="42" hidden="false" customHeight="true" outlineLevel="0" collapsed="false">
      <c r="A7" s="5" t="n">
        <f aca="false">IFERROR(INDEX(Catálogo!A$4:A$1000,MATCH($A$1&amp;"|"&amp;4,Índice!$A$4:$A$1000,0)),"")</f>
        <v>4</v>
      </c>
      <c r="B7" s="6" t="str">
        <f aca="false">IFERROR(INDEX(Catálogo!B$4:B$1000,MATCH($A$1&amp;"|"&amp;4,Índice!$A$4:$A$1000,0)),"")</f>
        <v>ABAS-3 — Pais/Cuid. (0–5)</v>
      </c>
      <c r="C7" s="6" t="str">
        <f aca="false">IFERROR(INDEX(Catálogo!C$4:C$1000,MATCH($A$1&amp;"|"&amp;4,Índice!$A$4:$A$1000,0)),"")</f>
        <v>Neurodesenvolvimento</v>
      </c>
      <c r="D7" s="6" t="str">
        <f aca="false">IFERROR(INDEX(Catálogo!D$4:D$1000,MATCH($A$1&amp;"|"&amp;4,Índice!$A$4:$A$1000,0)),"")</f>
        <v>Mãe, Pai, Enc. Educação</v>
      </c>
      <c r="E7" s="6" t="str">
        <f aca="false">IFERROR(INDEX(Catálogo!E$4:E$1000,MATCH($A$1&amp;"|"&amp;4,Índice!$A$4:$A$1000,0)),"")</f>
        <v>0–5 anos</v>
      </c>
      <c r="F7" s="5" t="n">
        <f aca="false">IFERROR(INDEX(Catálogo!F$4:F$1000,MATCH($A$1&amp;"|"&amp;4,Índice!$A$4:$A$1000,0)),"")</f>
        <v>0</v>
      </c>
      <c r="G7" s="5" t="n">
        <f aca="false">IFERROR(INDEX(Catálogo!G$4:G$1000,MATCH($A$1&amp;"|"&amp;4,Índice!$A$4:$A$1000,0)),"")</f>
        <v>5.9</v>
      </c>
      <c r="H7" s="5" t="n">
        <f aca="false">IFERROR(INDEX(Catálogo!H$4:H$1000,MATCH($A$1&amp;"|"&amp;4,Índice!$A$4:$A$1000,0)),"")</f>
        <v>4</v>
      </c>
      <c r="I7" s="6" t="str">
        <f aca="false">IFERROR(INDEX(Catálogo!I$4:I$1000,MATCH($A$1&amp;"|"&amp;4,Índice!$A$4:$A$1000,0)),"")</f>
        <v>Avalia comportamento adaptativo — versão pais (0–5 anos)</v>
      </c>
      <c r="J7" s="6" t="str">
        <f aca="false">IFERROR(INDEX(Catálogo!J$4:J$1000,MATCH($A$1&amp;"|"&amp;4,Índice!$A$4:$A$1000,0)),"")</f>
        <v>Compósito Adaptativo Geral (CAG); Domínio Conceptual (CC); Domínio Social (SC); Domínio Prático (PC)</v>
      </c>
      <c r="K7" s="6" t="str">
        <f aca="false">IFERROR(INDEX(Catálogo!K$4:K$1000,MATCH($A$1&amp;"|"&amp;4,Índice!$A$4:$A$1000,0)),"")</f>
        <v>abas3_05</v>
      </c>
      <c r="L7" s="6" t="str">
        <f aca="false">IFERROR(INDEX(Catálogo!L$4:L$1000,MATCH($A$1&amp;"|"&amp;4,Índice!$A$4:$A$1000,0)),"")</f>
        <v>q_abas3_05</v>
      </c>
      <c r="M7" s="7" t="str">
        <f aca="false">IFERROR(INDEX(Catálogo!M$4:M$1000,MATCH($A$1&amp;"|"&amp;4,Índice!$A$4:$A$1000,0)),"")</f>
        <v>https://correiaricardina-ui.github.io/questionarios/ABAS3_PreEscolar.html</v>
      </c>
    </row>
    <row r="8" customFormat="false" ht="42" hidden="false" customHeight="true" outlineLevel="0" collapsed="false">
      <c r="A8" s="5" t="n">
        <f aca="false">IFERROR(INDEX(Catálogo!A$4:A$1000,MATCH($A$1&amp;"|"&amp;5,Índice!$A$4:$A$1000,0)),"")</f>
        <v>5</v>
      </c>
      <c r="B8" s="6" t="str">
        <f aca="false">IFERROR(INDEX(Catálogo!B$4:B$1000,MATCH($A$1&amp;"|"&amp;5,Índice!$A$4:$A$1000,0)),"")</f>
        <v>ABAS-3 — Professor (&gt;6)</v>
      </c>
      <c r="C8" s="6" t="str">
        <f aca="false">IFERROR(INDEX(Catálogo!C$4:C$1000,MATCH($A$1&amp;"|"&amp;5,Índice!$A$4:$A$1000,0)),"")</f>
        <v>Neurodesenvolvimento</v>
      </c>
      <c r="D8" s="6" t="str">
        <f aca="false">IFERROR(INDEX(Catálogo!D$4:D$1000,MATCH($A$1&amp;"|"&amp;5,Índice!$A$4:$A$1000,0)),"")</f>
        <v>Professor(a)</v>
      </c>
      <c r="E8" s="6" t="str">
        <f aca="false">IFERROR(INDEX(Catálogo!E$4:E$1000,MATCH($A$1&amp;"|"&amp;5,Índice!$A$4:$A$1000,0)),"")</f>
        <v>6–21 anos</v>
      </c>
      <c r="F8" s="5" t="n">
        <f aca="false">IFERROR(INDEX(Catálogo!F$4:F$1000,MATCH($A$1&amp;"|"&amp;5,Índice!$A$4:$A$1000,0)),"")</f>
        <v>6</v>
      </c>
      <c r="G8" s="5" t="n">
        <f aca="false">IFERROR(INDEX(Catálogo!G$4:G$1000,MATCH($A$1&amp;"|"&amp;5,Índice!$A$4:$A$1000,0)),"")</f>
        <v>20.9</v>
      </c>
      <c r="H8" s="5" t="n">
        <f aca="false">IFERROR(INDEX(Catálogo!H$4:H$1000,MATCH($A$1&amp;"|"&amp;5,Índice!$A$4:$A$1000,0)),"")</f>
        <v>4</v>
      </c>
      <c r="I8" s="6" t="str">
        <f aca="false">IFERROR(INDEX(Catálogo!I$4:I$1000,MATCH($A$1&amp;"|"&amp;5,Índice!$A$4:$A$1000,0)),"")</f>
        <v>Avalia comportamento adaptativo — versão professor (&gt;6 anos)</v>
      </c>
      <c r="J8" s="6" t="str">
        <f aca="false">IFERROR(INDEX(Catálogo!J$4:J$1000,MATCH($A$1&amp;"|"&amp;5,Índice!$A$4:$A$1000,0)),"")</f>
        <v>Compósito Adaptativo Geral (CAG); Domínio Conceptual (CC); Domínio Social (SC); Domínio Prático (PC)</v>
      </c>
      <c r="K8" s="6" t="str">
        <f aca="false">IFERROR(INDEX(Catálogo!K$4:K$1000,MATCH($A$1&amp;"|"&amp;5,Índice!$A$4:$A$1000,0)),"")</f>
        <v>abas3_prof</v>
      </c>
      <c r="L8" s="6" t="str">
        <f aca="false">IFERROR(INDEX(Catálogo!L$4:L$1000,MATCH($A$1&amp;"|"&amp;5,Índice!$A$4:$A$1000,0)),"")</f>
        <v>q_abas3_prof</v>
      </c>
      <c r="M8" s="7" t="str">
        <f aca="false">IFERROR(INDEX(Catálogo!M$4:M$1000,MATCH($A$1&amp;"|"&amp;5,Índice!$A$4:$A$1000,0)),"")</f>
        <v>https://correiaricardina-ui.github.io/questionarios/ABAS3_Professor_v2.html</v>
      </c>
    </row>
    <row r="9" customFormat="false" ht="42" hidden="false" customHeight="true" outlineLevel="0" collapsed="false">
      <c r="A9" s="5" t="n">
        <f aca="false">IFERROR(INDEX(Catálogo!A$4:A$1000,MATCH($A$1&amp;"|"&amp;6,Índice!$A$4:$A$1000,0)),"")</f>
        <v>10</v>
      </c>
      <c r="B9" s="6" t="str">
        <f aca="false">IFERROR(INDEX(Catálogo!B$4:B$1000,MATCH($A$1&amp;"|"&amp;6,Índice!$A$4:$A$1000,0)),"")</f>
        <v>AQ-Child — Quociente de Espectro do Autismo (Versão Criança)</v>
      </c>
      <c r="C9" s="6" t="str">
        <f aca="false">IFERROR(INDEX(Catálogo!C$4:C$1000,MATCH($A$1&amp;"|"&amp;6,Índice!$A$4:$A$1000,0)),"")</f>
        <v>Neurodesenvolvimento</v>
      </c>
      <c r="D9" s="6" t="str">
        <f aca="false">IFERROR(INDEX(Catálogo!D$4:D$1000,MATCH($A$1&amp;"|"&amp;6,Índice!$A$4:$A$1000,0)),"")</f>
        <v>Mãe, Pai, Enc. Educação</v>
      </c>
      <c r="E9" s="6" t="str">
        <f aca="false">IFERROR(INDEX(Catálogo!E$4:E$1000,MATCH($A$1&amp;"|"&amp;6,Índice!$A$4:$A$1000,0)),"")</f>
        <v>4–11 anos</v>
      </c>
      <c r="F9" s="5" t="n">
        <f aca="false">IFERROR(INDEX(Catálogo!F$4:F$1000,MATCH($A$1&amp;"|"&amp;6,Índice!$A$4:$A$1000,0)),"")</f>
        <v>4</v>
      </c>
      <c r="G9" s="5" t="n">
        <f aca="false">IFERROR(INDEX(Catálogo!G$4:G$1000,MATCH($A$1&amp;"|"&amp;6,Índice!$A$4:$A$1000,0)),"")</f>
        <v>11.9</v>
      </c>
      <c r="H9" s="5" t="n">
        <f aca="false">IFERROR(INDEX(Catálogo!H$4:H$1000,MATCH($A$1&amp;"|"&amp;6,Índice!$A$4:$A$1000,0)),"")</f>
        <v>6</v>
      </c>
      <c r="I9" s="6" t="str">
        <f aca="false">IFERROR(INDEX(Catálogo!I$4:I$1000,MATCH($A$1&amp;"|"&amp;6,Índice!$A$4:$A$1000,0)),"")</f>
        <v>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v>
      </c>
      <c r="J9" s="6" t="str">
        <f aca="false">IFERROR(INDEX(Catálogo!J$4:J$1000,MATCH($A$1&amp;"|"&amp;6,Índice!$A$4:$A$1000,0)),"")</f>
        <v>Habilidades Sociais (S); Atenção Alternante (A); Atenção aos Detalhes (D); Comunicação (C); Imaginação (I); Total</v>
      </c>
      <c r="K9" s="6" t="str">
        <f aca="false">IFERROR(INDEX(Catálogo!K$4:K$1000,MATCH($A$1&amp;"|"&amp;6,Índice!$A$4:$A$1000,0)),"")</f>
        <v>aqchild</v>
      </c>
      <c r="L9" s="6" t="str">
        <f aca="false">IFERROR(INDEX(Catálogo!L$4:L$1000,MATCH($A$1&amp;"|"&amp;6,Índice!$A$4:$A$1000,0)),"")</f>
        <v>q_aq_child</v>
      </c>
      <c r="M9" s="7" t="str">
        <f aca="false">IFERROR(INDEX(Catálogo!M$4:M$1000,MATCH($A$1&amp;"|"&amp;6,Índice!$A$4:$A$1000,0)),"")</f>
        <v>https://correiaricardina-ui.github.io/questionarios/AQ_Child_v1.html</v>
      </c>
    </row>
    <row r="10" customFormat="false" ht="42" hidden="false" customHeight="true" outlineLevel="0" collapsed="false">
      <c r="A10" s="5" t="n">
        <f aca="false">IFERROR(INDEX(Catálogo!A$4:A$1000,MATCH($A$1&amp;"|"&amp;7,Índice!$A$4:$A$1000,0)),"")</f>
        <v>25</v>
      </c>
      <c r="B10" s="6" t="str">
        <f aca="false">IFERROR(INDEX(Catálogo!B$4:B$1000,MATCH($A$1&amp;"|"&amp;7,Índice!$A$4:$A$1000,0)),"")</f>
        <v>CARS2-HP — Espetro do Autismo (Funcionamento Elevado)</v>
      </c>
      <c r="C10" s="6" t="str">
        <f aca="false">IFERROR(INDEX(Catálogo!C$4:C$1000,MATCH($A$1&amp;"|"&amp;7,Índice!$A$4:$A$1000,0)),"")</f>
        <v>Neurodesenvolvimento</v>
      </c>
      <c r="D10" s="6" t="str">
        <f aca="false">IFERROR(INDEX(Catálogo!D$4:D$1000,MATCH($A$1&amp;"|"&amp;7,Índice!$A$4:$A$1000,0)),"")</f>
        <v>Aplicador clínico</v>
      </c>
      <c r="E10" s="6" t="str">
        <f aca="false">IFERROR(INDEX(Catálogo!E$4:E$1000,MATCH($A$1&amp;"|"&amp;7,Índice!$A$4:$A$1000,0)),"")</f>
        <v>≥6 anos · QI≥80 · verbal funcional</v>
      </c>
      <c r="F10" s="5" t="n">
        <f aca="false">IFERROR(INDEX(Catálogo!F$4:F$1000,MATCH($A$1&amp;"|"&amp;7,Índice!$A$4:$A$1000,0)),"")</f>
        <v>6</v>
      </c>
      <c r="G10" s="5" t="n">
        <f aca="false">IFERROR(INDEX(Catálogo!G$4:G$1000,MATCH($A$1&amp;"|"&amp;7,Índice!$A$4:$A$1000,0)),"")</f>
        <v>100</v>
      </c>
      <c r="H10" s="5" t="n">
        <f aca="false">IFERROR(INDEX(Catálogo!H$4:H$1000,MATCH($A$1&amp;"|"&amp;7,Índice!$A$4:$A$1000,0)),"")</f>
        <v>15</v>
      </c>
      <c r="I10" s="6" t="str">
        <f aca="false">IFERROR(INDEX(Catálogo!I$4:I$1000,MATCH($A$1&amp;"|"&amp;7,Índice!$A$4:$A$1000,0)),"")</f>
        <v>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v>
      </c>
      <c r="J10" s="6" t="str">
        <f aca="false">IFERROR(INDEX(Catálogo!J$4:J$1000,MATCH($A$1&amp;"|"&amp;7,Índice!$A$4:$A$1000,0)),"")</f>
        <v>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v>
      </c>
      <c r="K10" s="6" t="str">
        <f aca="false">IFERROR(INDEX(Catálogo!K$4:K$1000,MATCH($A$1&amp;"|"&amp;7,Índice!$A$4:$A$1000,0)),"")</f>
        <v>cars2_hp</v>
      </c>
      <c r="L10" s="6" t="str">
        <f aca="false">IFERROR(INDEX(Catálogo!L$4:L$1000,MATCH($A$1&amp;"|"&amp;7,Índice!$A$4:$A$1000,0)),"")</f>
        <v>q_cars2_hp</v>
      </c>
      <c r="M10" s="7" t="str">
        <f aca="false">IFERROR(INDEX(Catálogo!M$4:M$1000,MATCH($A$1&amp;"|"&amp;7,Índice!$A$4:$A$1000,0)),"")</f>
        <v>https://correiaricardina-ui.github.io/questionarios/CARS2-HP_v1.html</v>
      </c>
    </row>
    <row r="11" customFormat="false" ht="42" hidden="false" customHeight="true" outlineLevel="0" collapsed="false">
      <c r="A11" s="5" t="n">
        <f aca="false">IFERROR(INDEX(Catálogo!A$4:A$1000,MATCH($A$1&amp;"|"&amp;8,Índice!$A$4:$A$1000,0)),"")</f>
        <v>26</v>
      </c>
      <c r="B11" s="6" t="str">
        <f aca="false">IFERROR(INDEX(Catálogo!B$4:B$1000,MATCH($A$1&amp;"|"&amp;8,Índice!$A$4:$A$1000,0)),"")</f>
        <v>CARS2-QPC — Questionário Parental para Espetro do Autismo</v>
      </c>
      <c r="C11" s="6" t="str">
        <f aca="false">IFERROR(INDEX(Catálogo!C$4:C$1000,MATCH($A$1&amp;"|"&amp;8,Índice!$A$4:$A$1000,0)),"")</f>
        <v>Neurodesenvolvimento</v>
      </c>
      <c r="D11" s="6" t="str">
        <f aca="false">IFERROR(INDEX(Catálogo!D$4:D$1000,MATCH($A$1&amp;"|"&amp;8,Índice!$A$4:$A$1000,0)),"")</f>
        <v>Mãe, Pai, Encarregado de Educação</v>
      </c>
      <c r="E11" s="6" t="str">
        <f aca="false">IFERROR(INDEX(Catálogo!E$4:E$1000,MATCH($A$1&amp;"|"&amp;8,Índice!$A$4:$A$1000,0)),"")</f>
        <v>Crianças/Adolescentes</v>
      </c>
      <c r="F11" s="5" t="n">
        <f aca="false">IFERROR(INDEX(Catálogo!F$4:F$1000,MATCH($A$1&amp;"|"&amp;8,Índice!$A$4:$A$1000,0)),"")</f>
        <v>0</v>
      </c>
      <c r="G11" s="5" t="n">
        <f aca="false">IFERROR(INDEX(Catálogo!G$4:G$1000,MATCH($A$1&amp;"|"&amp;8,Índice!$A$4:$A$1000,0)),"")</f>
        <v>100</v>
      </c>
      <c r="H11" s="5" t="n">
        <f aca="false">IFERROR(INDEX(Catálogo!H$4:H$1000,MATCH($A$1&amp;"|"&amp;8,Índice!$A$4:$A$1000,0)),"")</f>
        <v>15</v>
      </c>
      <c r="I11" s="6" t="str">
        <f aca="false">IFERROR(INDEX(Catálogo!I$4:I$1000,MATCH($A$1&amp;"|"&amp;8,Índice!$A$4:$A$1000,0)),"")</f>
        <v>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v>
      </c>
      <c r="J11" s="6" t="str">
        <f aca="false">IFERROR(INDEX(Catálogo!J$4:J$1000,MATCH($A$1&amp;"|"&amp;8,Índice!$A$4:$A$1000,0)),"")</f>
        <v>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v>
      </c>
      <c r="K11" s="6" t="str">
        <f aca="false">IFERROR(INDEX(Catálogo!K$4:K$1000,MATCH($A$1&amp;"|"&amp;8,Índice!$A$4:$A$1000,0)),"")</f>
        <v>cars2_qpc</v>
      </c>
      <c r="L11" s="6" t="str">
        <f aca="false">IFERROR(INDEX(Catálogo!L$4:L$1000,MATCH($A$1&amp;"|"&amp;8,Índice!$A$4:$A$1000,0)),"")</f>
        <v>q_cars2_qpc</v>
      </c>
      <c r="M11" s="7" t="str">
        <f aca="false">IFERROR(INDEX(Catálogo!M$4:M$1000,MATCH($A$1&amp;"|"&amp;8,Índice!$A$4:$A$1000,0)),"")</f>
        <v>https://correiaricardina-ui.github.io/questionarios/CARS2-QPC_v1.html</v>
      </c>
    </row>
    <row r="12" customFormat="false" ht="42" hidden="false" customHeight="true" outlineLevel="0" collapsed="false">
      <c r="A12" s="5" t="n">
        <f aca="false">IFERROR(INDEX(Catálogo!A$4:A$1000,MATCH($A$1&amp;"|"&amp;9,Índice!$A$4:$A$1000,0)),"")</f>
        <v>27</v>
      </c>
      <c r="B12" s="6" t="str">
        <f aca="false">IFERROR(INDEX(Catálogo!B$4:B$1000,MATCH($A$1&amp;"|"&amp;9,Índice!$A$4:$A$1000,0)),"")</f>
        <v>CARS2-ST — Espetro do Autismo (Versão Standard)</v>
      </c>
      <c r="C12" s="6" t="str">
        <f aca="false">IFERROR(INDEX(Catálogo!C$4:C$1000,MATCH($A$1&amp;"|"&amp;9,Índice!$A$4:$A$1000,0)),"")</f>
        <v>Neurodesenvolvimento</v>
      </c>
      <c r="D12" s="6" t="str">
        <f aca="false">IFERROR(INDEX(Catálogo!D$4:D$1000,MATCH($A$1&amp;"|"&amp;9,Índice!$A$4:$A$1000,0)),"")</f>
        <v>Aplicador clínico</v>
      </c>
      <c r="E12" s="6" t="str">
        <f aca="false">IFERROR(INDEX(Catálogo!E$4:E$1000,MATCH($A$1&amp;"|"&amp;9,Índice!$A$4:$A$1000,0)),"")</f>
        <v>&lt;6 anos OU QI≤79 OU verbal limitada/ausente</v>
      </c>
      <c r="F12" s="5" t="n">
        <f aca="false">IFERROR(INDEX(Catálogo!F$4:F$1000,MATCH($A$1&amp;"|"&amp;9,Índice!$A$4:$A$1000,0)),"")</f>
        <v>0</v>
      </c>
      <c r="G12" s="5" t="n">
        <f aca="false">IFERROR(INDEX(Catálogo!G$4:G$1000,MATCH($A$1&amp;"|"&amp;9,Índice!$A$4:$A$1000,0)),"")</f>
        <v>100</v>
      </c>
      <c r="H12" s="5" t="n">
        <f aca="false">IFERROR(INDEX(Catálogo!H$4:H$1000,MATCH($A$1&amp;"|"&amp;9,Índice!$A$4:$A$1000,0)),"")</f>
        <v>15</v>
      </c>
      <c r="I12" s="6" t="str">
        <f aca="false">IFERROR(INDEX(Catálogo!I$4:I$1000,MATCH($A$1&amp;"|"&amp;9,Índice!$A$4:$A$1000,0)),"")</f>
        <v>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v>
      </c>
      <c r="J12" s="6" t="str">
        <f aca="false">IFERROR(INDEX(Catálogo!J$4:J$1000,MATCH($A$1&amp;"|"&amp;9,Índice!$A$4:$A$1000,0)),"")</f>
        <v>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v>
      </c>
      <c r="K12" s="6" t="str">
        <f aca="false">IFERROR(INDEX(Catálogo!K$4:K$1000,MATCH($A$1&amp;"|"&amp;9,Índice!$A$4:$A$1000,0)),"")</f>
        <v>cars2_st</v>
      </c>
      <c r="L12" s="6" t="str">
        <f aca="false">IFERROR(INDEX(Catálogo!L$4:L$1000,MATCH($A$1&amp;"|"&amp;9,Índice!$A$4:$A$1000,0)),"")</f>
        <v>q_cars2_st</v>
      </c>
      <c r="M12" s="7" t="str">
        <f aca="false">IFERROR(INDEX(Catálogo!M$4:M$1000,MATCH($A$1&amp;"|"&amp;9,Índice!$A$4:$A$1000,0)),"")</f>
        <v>https://correiaricardina-ui.github.io/questionarios/CARS2-ST_v1.html</v>
      </c>
    </row>
    <row r="13" customFormat="false" ht="42" hidden="false" customHeight="true" outlineLevel="0" collapsed="false">
      <c r="A13" s="5" t="n">
        <f aca="false">IFERROR(INDEX(Catálogo!A$4:A$1000,MATCH($A$1&amp;"|"&amp;10,Índice!$A$4:$A$1000,0)),"")</f>
        <v>90</v>
      </c>
      <c r="B13" s="6" t="str">
        <f aca="false">IFERROR(INDEX(Catálogo!B$4:B$1000,MATCH($A$1&amp;"|"&amp;10,Índice!$A$4:$A$1000,0)),"")</f>
        <v>LDS — Desenvolvimento Linguagem</v>
      </c>
      <c r="C13" s="6" t="str">
        <f aca="false">IFERROR(INDEX(Catálogo!C$4:C$1000,MATCH($A$1&amp;"|"&amp;10,Índice!$A$4:$A$1000,0)),"")</f>
        <v>Neurodesenvolvimento</v>
      </c>
      <c r="D13" s="6" t="str">
        <f aca="false">IFERROR(INDEX(Catálogo!D$4:D$1000,MATCH($A$1&amp;"|"&amp;10,Índice!$A$4:$A$1000,0)),"")</f>
        <v>Mãe, Pai, Enc. Educação</v>
      </c>
      <c r="E13" s="6" t="str">
        <f aca="false">IFERROR(INDEX(Catálogo!E$4:E$1000,MATCH($A$1&amp;"|"&amp;10,Índice!$A$4:$A$1000,0)),"")</f>
        <v>18–35 meses</v>
      </c>
      <c r="F13" s="5" t="n">
        <f aca="false">IFERROR(INDEX(Catálogo!F$4:F$1000,MATCH($A$1&amp;"|"&amp;10,Índice!$A$4:$A$1000,0)),"")</f>
        <v>1.5</v>
      </c>
      <c r="G13" s="5" t="n">
        <f aca="false">IFERROR(INDEX(Catálogo!G$4:G$1000,MATCH($A$1&amp;"|"&amp;10,Índice!$A$4:$A$1000,0)),"")</f>
        <v>2.9</v>
      </c>
      <c r="H13" s="5" t="n">
        <f aca="false">IFERROR(INDEX(Catálogo!H$4:H$1000,MATCH($A$1&amp;"|"&amp;10,Índice!$A$4:$A$1000,0)),"")</f>
        <v>2</v>
      </c>
      <c r="I13" s="6" t="str">
        <f aca="false">IFERROR(INDEX(Catálogo!I$4:I$1000,MATCH($A$1&amp;"|"&amp;10,Índice!$A$4:$A$1000,0)),"")</f>
        <v>Rastreio do desenvolvimento da linguagem — MacArthur adaptado</v>
      </c>
      <c r="J13" s="6" t="str">
        <f aca="false">IFERROR(INDEX(Catálogo!J$4:J$1000,MATCH($A$1&amp;"|"&amp;10,Índice!$A$4:$A$1000,0)),"")</f>
        <v>Vocabulário; Comprimento Médio do Enunciado (MLU)</v>
      </c>
      <c r="K13" s="6" t="str">
        <f aca="false">IFERROR(INDEX(Catálogo!K$4:K$1000,MATCH($A$1&amp;"|"&amp;10,Índice!$A$4:$A$1000,0)),"")</f>
        <v>lds</v>
      </c>
      <c r="L13" s="6" t="str">
        <f aca="false">IFERROR(INDEX(Catálogo!L$4:L$1000,MATCH($A$1&amp;"|"&amp;10,Índice!$A$4:$A$1000,0)),"")</f>
        <v>q_lds</v>
      </c>
      <c r="M13" s="7" t="str">
        <f aca="false">IFERROR(INDEX(Catálogo!M$4:M$1000,MATCH($A$1&amp;"|"&amp;10,Índice!$A$4:$A$1000,0)),"")</f>
        <v>https://correiaricardina-ui.github.io/questionarios/LDS_v2.html</v>
      </c>
    </row>
    <row r="14" customFormat="false" ht="42" hidden="false" customHeight="true" outlineLevel="0" collapsed="false">
      <c r="A14" s="5" t="n">
        <f aca="false">IFERROR(INDEX(Catálogo!A$4:A$1000,MATCH($A$1&amp;"|"&amp;11,Índice!$A$4:$A$1000,0)),"")</f>
        <v>91</v>
      </c>
      <c r="B14" s="6" t="str">
        <f aca="false">IFERROR(INDEX(Catálogo!B$4:B$1000,MATCH($A$1&amp;"|"&amp;11,Índice!$A$4:$A$1000,0)),"")</f>
        <v>MABC-2 — Lista de Verificação</v>
      </c>
      <c r="C14" s="6" t="str">
        <f aca="false">IFERROR(INDEX(Catálogo!C$4:C$1000,MATCH($A$1&amp;"|"&amp;11,Índice!$A$4:$A$1000,0)),"")</f>
        <v>Neurodesenvolvimento</v>
      </c>
      <c r="D14" s="6" t="str">
        <f aca="false">IFERROR(INDEX(Catálogo!D$4:D$1000,MATCH($A$1&amp;"|"&amp;11,Índice!$A$4:$A$1000,0)),"")</f>
        <v>Professor(a), Educador(a), Mãe, Pai, Enc. Educação</v>
      </c>
      <c r="E14" s="6" t="str">
        <f aca="false">IFERROR(INDEX(Catálogo!E$4:E$1000,MATCH($A$1&amp;"|"&amp;11,Índice!$A$4:$A$1000,0)),"")</f>
        <v>5–12 anos</v>
      </c>
      <c r="F14" s="5" t="n">
        <f aca="false">IFERROR(INDEX(Catálogo!F$4:F$1000,MATCH($A$1&amp;"|"&amp;11,Índice!$A$4:$A$1000,0)),"")</f>
        <v>5</v>
      </c>
      <c r="G14" s="5" t="n">
        <f aca="false">IFERROR(INDEX(Catálogo!G$4:G$1000,MATCH($A$1&amp;"|"&amp;11,Índice!$A$4:$A$1000,0)),"")</f>
        <v>12</v>
      </c>
      <c r="H14" s="5" t="n">
        <f aca="false">IFERROR(INDEX(Catálogo!H$4:H$1000,MATCH($A$1&amp;"|"&amp;11,Índice!$A$4:$A$1000,0)),"")</f>
        <v>4</v>
      </c>
      <c r="I14" s="6" t="str">
        <f aca="false">IFERROR(INDEX(Catálogo!I$4:I$1000,MATCH($A$1&amp;"|"&amp;11,Índice!$A$4:$A$1000,0)),"")</f>
        <v>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v>
      </c>
      <c r="J14" s="6" t="str">
        <f aca="false">IFERROR(INDEX(Catálogo!J$4:J$1000,MATCH($A$1&amp;"|"&amp;11,Índice!$A$4:$A$1000,0)),"")</f>
        <v>Secção A — Estático/Previsível; Secção B — Dinâmico/Imprevisível; Total Motor (A+B); Secção C — Fatores não motores</v>
      </c>
      <c r="K14" s="6" t="str">
        <f aca="false">IFERROR(INDEX(Catálogo!K$4:K$1000,MATCH($A$1&amp;"|"&amp;11,Índice!$A$4:$A$1000,0)),"")</f>
        <v>mabc2_checklist</v>
      </c>
      <c r="L14" s="6" t="str">
        <f aca="false">IFERROR(INDEX(Catálogo!L$4:L$1000,MATCH($A$1&amp;"|"&amp;11,Índice!$A$4:$A$1000,0)),"")</f>
        <v>q_mabc2_checklist</v>
      </c>
      <c r="M14" s="7" t="str">
        <f aca="false">IFERROR(INDEX(Catálogo!M$4:M$1000,MATCH($A$1&amp;"|"&amp;11,Índice!$A$4:$A$1000,0)),"")</f>
        <v>https://correiaricardina-ui.github.io/questionarios/MABC2_Checklist_v1.html</v>
      </c>
    </row>
    <row r="15" customFormat="false" ht="42" hidden="false" customHeight="true" outlineLevel="0" collapsed="false">
      <c r="A15" s="5" t="n">
        <f aca="false">IFERROR(INDEX(Catálogo!A$4:A$1000,MATCH($A$1&amp;"|"&amp;12,Índice!$A$4:$A$1000,0)),"")</f>
        <v>97</v>
      </c>
      <c r="B15" s="6" t="str">
        <f aca="false">IFERROR(INDEX(Catálogo!B$4:B$1000,MATCH($A$1&amp;"|"&amp;12,Índice!$A$4:$A$1000,0)),"")</f>
        <v>M-CHAT-R/F — Despiste Precoce de Autismo</v>
      </c>
      <c r="C15" s="6" t="str">
        <f aca="false">IFERROR(INDEX(Catálogo!C$4:C$1000,MATCH($A$1&amp;"|"&amp;12,Índice!$A$4:$A$1000,0)),"")</f>
        <v>Neurodesenvolvimento</v>
      </c>
      <c r="D15" s="6" t="str">
        <f aca="false">IFERROR(INDEX(Catálogo!D$4:D$1000,MATCH($A$1&amp;"|"&amp;12,Índice!$A$4:$A$1000,0)),"")</f>
        <v>Paciente</v>
      </c>
      <c r="E15" s="6" t="str">
        <f aca="false">IFERROR(INDEX(Catálogo!E$4:E$1000,MATCH($A$1&amp;"|"&amp;12,Índice!$A$4:$A$1000,0)),"")</f>
        <v>16–30 meses</v>
      </c>
      <c r="F15" s="5" t="n">
        <f aca="false">IFERROR(INDEX(Catálogo!F$4:F$1000,MATCH($A$1&amp;"|"&amp;12,Índice!$A$4:$A$1000,0)),"")</f>
        <v>1.3</v>
      </c>
      <c r="G15" s="5" t="n">
        <f aca="false">IFERROR(INDEX(Catálogo!G$4:G$1000,MATCH($A$1&amp;"|"&amp;12,Índice!$A$4:$A$1000,0)),"")</f>
        <v>2.5</v>
      </c>
      <c r="H15" s="5" t="n">
        <f aca="false">IFERROR(INDEX(Catálogo!H$4:H$1000,MATCH($A$1&amp;"|"&amp;12,Índice!$A$4:$A$1000,0)),"")</f>
        <v>7</v>
      </c>
      <c r="I15" s="6" t="str">
        <f aca="false">IFERROR(INDEX(Catálogo!I$4:I$1000,MATCH($A$1&amp;"|"&amp;12,Índice!$A$4:$A$1000,0)),"")</f>
        <v>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v>
      </c>
      <c r="J15" s="6" t="str">
        <f aca="false">IFERROR(INDEX(Catálogo!J$4:J$1000,MATCH($A$1&amp;"|"&amp;12,Índice!$A$4:$A$1000,0)),"")</f>
        <v>Etapa 1 (20 itens · score 0-20); Etapa 2 condicional (entrevista de seguimento); Comunicação social; Linguagem; Brincadeira simbólica; Comportamentos sensoriais; Comportamentos repetitivos</v>
      </c>
      <c r="K15" s="6" t="str">
        <f aca="false">IFERROR(INDEX(Catálogo!K$4:K$1000,MATCH($A$1&amp;"|"&amp;12,Índice!$A$4:$A$1000,0)),"")</f>
        <v>m_chat_r_f</v>
      </c>
      <c r="L15" s="6" t="str">
        <f aca="false">IFERROR(INDEX(Catálogo!L$4:L$1000,MATCH($A$1&amp;"|"&amp;12,Índice!$A$4:$A$1000,0)),"")</f>
        <v>q_m_chat_r_f</v>
      </c>
      <c r="M15" s="7" t="str">
        <f aca="false">IFERROR(INDEX(Catálogo!M$4:M$1000,MATCH($A$1&amp;"|"&amp;12,Índice!$A$4:$A$1000,0)),"")</f>
        <v>https://correiaricardina-ui.github.io/questionarios/M-CHAT-R-F_v1.html</v>
      </c>
    </row>
    <row r="16" customFormat="false" ht="42" hidden="false" customHeight="true" outlineLevel="0" collapsed="false">
      <c r="A16" s="5" t="n">
        <f aca="false">IFERROR(INDEX(Catálogo!A$4:A$1000,MATCH($A$1&amp;"|"&amp;13,Índice!$A$4:$A$1000,0)),"")</f>
        <v>115</v>
      </c>
      <c r="B16" s="6" t="str">
        <f aca="false">IFERROR(INDEX(Catálogo!B$4:B$1000,MATCH($A$1&amp;"|"&amp;13,Índice!$A$4:$A$1000,0)),"")</f>
        <v>PS2 — Acompanhamento Escolar</v>
      </c>
      <c r="C16" s="6" t="str">
        <f aca="false">IFERROR(INDEX(Catálogo!C$4:C$1000,MATCH($A$1&amp;"|"&amp;13,Índice!$A$4:$A$1000,0)),"")</f>
        <v>Neurodesenvolvimento</v>
      </c>
      <c r="D16" s="6" t="str">
        <f aca="false">IFERROR(INDEX(Catálogo!D$4:D$1000,MATCH($A$1&amp;"|"&amp;13,Índice!$A$4:$A$1000,0)),"")</f>
        <v>Professor(a), Educador(a)</v>
      </c>
      <c r="E16" s="6" t="str">
        <f aca="false">IFERROR(INDEX(Catálogo!E$4:E$1000,MATCH($A$1&amp;"|"&amp;13,Índice!$A$4:$A$1000,0)),"")</f>
        <v>3–14:11 anos</v>
      </c>
      <c r="F16" s="5" t="n">
        <f aca="false">IFERROR(INDEX(Catálogo!F$4:F$1000,MATCH($A$1&amp;"|"&amp;13,Índice!$A$4:$A$1000,0)),"")</f>
        <v>3</v>
      </c>
      <c r="G16" s="5" t="n">
        <f aca="false">IFERROR(INDEX(Catálogo!G$4:G$1000,MATCH($A$1&amp;"|"&amp;13,Índice!$A$4:$A$1000,0)),"")</f>
        <v>14.9</v>
      </c>
      <c r="H16" s="5" t="n">
        <f aca="false">IFERROR(INDEX(Catálogo!H$4:H$1000,MATCH($A$1&amp;"|"&amp;13,Índice!$A$4:$A$1000,0)),"")</f>
        <v>13</v>
      </c>
      <c r="I16" s="6" t="str">
        <f aca="false">IFERROR(INDEX(Catálogo!I$4:I$1000,MATCH($A$1&amp;"|"&amp;13,Índice!$A$4:$A$1000,0)),"")</f>
        <v>Avalia padrões de processamento sensorial em contexto escolar — versão professor</v>
      </c>
      <c r="J16" s="6" t="str">
        <f aca="false">IFERROR(INDEX(Catálogo!J$4:J$1000,MATCH($A$1&amp;"|"&amp;13,Índice!$A$4:$A$1000,0)),"")</f>
        <v>Procura; Evitamento; Sensibilidade; Registo; Auditivo; Visual; Tátil; Movimento; Comportamento; Fator Escolar 1; Fator Escolar 2; Fator Escolar 3; Fator Escolar 4</v>
      </c>
      <c r="K16" s="6" t="str">
        <f aca="false">IFERROR(INDEX(Catálogo!K$4:K$1000,MATCH($A$1&amp;"|"&amp;13,Índice!$A$4:$A$1000,0)),"")</f>
        <v>ps2escola</v>
      </c>
      <c r="L16" s="6" t="str">
        <f aca="false">IFERROR(INDEX(Catálogo!L$4:L$1000,MATCH($A$1&amp;"|"&amp;13,Índice!$A$4:$A$1000,0)),"")</f>
        <v>q_ps2escola</v>
      </c>
      <c r="M16" s="7" t="str">
        <f aca="false">IFERROR(INDEX(Catálogo!M$4:M$1000,MATCH($A$1&amp;"|"&amp;13,Índice!$A$4:$A$1000,0)),"")</f>
        <v>https://correiaricardina-ui.github.io/questionarios/PS2_Escola_v1.html</v>
      </c>
    </row>
    <row r="17" customFormat="false" ht="42" hidden="false" customHeight="true" outlineLevel="0" collapsed="false">
      <c r="A17" s="5" t="n">
        <f aca="false">IFERROR(INDEX(Catálogo!A$4:A$1000,MATCH($A$1&amp;"|"&amp;14,Índice!$A$4:$A$1000,0)),"")</f>
        <v>116</v>
      </c>
      <c r="B17" s="6" t="str">
        <f aca="false">IFERROR(INDEX(Catálogo!B$4:B$1000,MATCH($A$1&amp;"|"&amp;14,Índice!$A$4:$A$1000,0)),"")</f>
        <v>PS2 — Questionário do Cuidador</v>
      </c>
      <c r="C17" s="6" t="str">
        <f aca="false">IFERROR(INDEX(Catálogo!C$4:C$1000,MATCH($A$1&amp;"|"&amp;14,Índice!$A$4:$A$1000,0)),"")</f>
        <v>Neurodesenvolvimento</v>
      </c>
      <c r="D17" s="6" t="str">
        <f aca="false">IFERROR(INDEX(Catálogo!D$4:D$1000,MATCH($A$1&amp;"|"&amp;14,Índice!$A$4:$A$1000,0)),"")</f>
        <v>Mãe, Pai, Enc. Educação, Cuidador(a)</v>
      </c>
      <c r="E17" s="6" t="str">
        <f aca="false">IFERROR(INDEX(Catálogo!E$4:E$1000,MATCH($A$1&amp;"|"&amp;14,Índice!$A$4:$A$1000,0)),"")</f>
        <v>3–14:11 anos</v>
      </c>
      <c r="F17" s="5" t="n">
        <f aca="false">IFERROR(INDEX(Catálogo!F$4:F$1000,MATCH($A$1&amp;"|"&amp;14,Índice!$A$4:$A$1000,0)),"")</f>
        <v>3</v>
      </c>
      <c r="G17" s="5" t="n">
        <f aca="false">IFERROR(INDEX(Catálogo!G$4:G$1000,MATCH($A$1&amp;"|"&amp;14,Índice!$A$4:$A$1000,0)),"")</f>
        <v>14.9</v>
      </c>
      <c r="H17" s="5" t="n">
        <f aca="false">IFERROR(INDEX(Catálogo!H$4:H$1000,MATCH($A$1&amp;"|"&amp;14,Índice!$A$4:$A$1000,0)),"")</f>
        <v>13</v>
      </c>
      <c r="I17" s="6" t="str">
        <f aca="false">IFERROR(INDEX(Catálogo!I$4:I$1000,MATCH($A$1&amp;"|"&amp;14,Índice!$A$4:$A$1000,0)),"")</f>
        <v>Avalia padrões de processamento sensorial em casa — versão cuidadores</v>
      </c>
      <c r="J17" s="6" t="str">
        <f aca="false">IFERROR(INDEX(Catálogo!J$4:J$1000,MATCH($A$1&amp;"|"&amp;14,Índice!$A$4:$A$1000,0)),"")</f>
        <v>Procura; Evitamento; Sensibilidade; Registo; Auditivo; Visual; Tátil; Movimento; Posição Corporal; Oral; Conduta; Socioemocional; Atenção</v>
      </c>
      <c r="K17" s="6" t="str">
        <f aca="false">IFERROR(INDEX(Catálogo!K$4:K$1000,MATCH($A$1&amp;"|"&amp;14,Índice!$A$4:$A$1000,0)),"")</f>
        <v>ps2pais</v>
      </c>
      <c r="L17" s="6" t="str">
        <f aca="false">IFERROR(INDEX(Catálogo!L$4:L$1000,MATCH($A$1&amp;"|"&amp;14,Índice!$A$4:$A$1000,0)),"")</f>
        <v>q_ps2pais</v>
      </c>
      <c r="M17" s="7" t="str">
        <f aca="false">IFERROR(INDEX(Catálogo!M$4:M$1000,MATCH($A$1&amp;"|"&amp;14,Índice!$A$4:$A$1000,0)),"")</f>
        <v>https://correiaricardina-ui.github.io/questionarios/PS2_Pais_v1.html</v>
      </c>
    </row>
    <row r="18" customFormat="false" ht="42" hidden="false" customHeight="true" outlineLevel="0" collapsed="false">
      <c r="A18" s="5" t="n">
        <f aca="false">IFERROR(INDEX(Catálogo!A$4:A$1000,MATCH($A$1&amp;"|"&amp;15,Índice!$A$4:$A$1000,0)),"")</f>
        <v>126</v>
      </c>
      <c r="B18" s="6" t="str">
        <f aca="false">IFERROR(INDEX(Catálogo!B$4:B$1000,MATCH($A$1&amp;"|"&amp;15,Índice!$A$4:$A$1000,0)),"")</f>
        <v>RAADS-R</v>
      </c>
      <c r="C18" s="6" t="str">
        <f aca="false">IFERROR(INDEX(Catálogo!C$4:C$1000,MATCH($A$1&amp;"|"&amp;15,Índice!$A$4:$A$1000,0)),"")</f>
        <v>Neurodesenvolvimento</v>
      </c>
      <c r="D18" s="6" t="str">
        <f aca="false">IFERROR(INDEX(Catálogo!D$4:D$1000,MATCH($A$1&amp;"|"&amp;15,Índice!$A$4:$A$1000,0)),"")</f>
        <v>Paciente</v>
      </c>
      <c r="E18" s="6" t="str">
        <f aca="false">IFERROR(INDEX(Catálogo!E$4:E$1000,MATCH($A$1&amp;"|"&amp;15,Índice!$A$4:$A$1000,0)),"")</f>
        <v>Adultos (≥16 anos)</v>
      </c>
      <c r="F18" s="5" t="n">
        <f aca="false">IFERROR(INDEX(Catálogo!F$4:F$1000,MATCH($A$1&amp;"|"&amp;15,Índice!$A$4:$A$1000,0)),"")</f>
        <v>16</v>
      </c>
      <c r="G18" s="5" t="n">
        <f aca="false">IFERROR(INDEX(Catálogo!G$4:G$1000,MATCH($A$1&amp;"|"&amp;15,Índice!$A$4:$A$1000,0)),"")</f>
        <v>99</v>
      </c>
      <c r="H18" s="5" t="n">
        <f aca="false">IFERROR(INDEX(Catálogo!H$4:H$1000,MATCH($A$1&amp;"|"&amp;15,Índice!$A$4:$A$1000,0)),"")</f>
        <v>5</v>
      </c>
      <c r="I18" s="6" t="str">
        <f aca="false">IFERROR(INDEX(Catálogo!I$4:I$1000,MATCH($A$1&amp;"|"&amp;15,Índice!$A$4:$A$1000,0)),"")</f>
        <v>Avalia sintomas de PEA em adultos — auto-relato (Ritvo et al., 2011)</v>
      </c>
      <c r="J18" s="6" t="str">
        <f aca="false">IFERROR(INDEX(Catálogo!J$4:J$1000,MATCH($A$1&amp;"|"&amp;15,Índice!$A$4:$A$1000,0)),"")</f>
        <v>Social; Linguagem; Sensoriomotora; Circunscrita; Total</v>
      </c>
      <c r="K18" s="6" t="str">
        <f aca="false">IFERROR(INDEX(Catálogo!K$4:K$1000,MATCH($A$1&amp;"|"&amp;15,Índice!$A$4:$A$1000,0)),"")</f>
        <v>raadsr</v>
      </c>
      <c r="L18" s="6" t="str">
        <f aca="false">IFERROR(INDEX(Catálogo!L$4:L$1000,MATCH($A$1&amp;"|"&amp;15,Índice!$A$4:$A$1000,0)),"")</f>
        <v>q_raadsr</v>
      </c>
      <c r="M18" s="7" t="str">
        <f aca="false">IFERROR(INDEX(Catálogo!M$4:M$1000,MATCH($A$1&amp;"|"&amp;15,Índice!$A$4:$A$1000,0)),"")</f>
        <v>https://correiaricardina-ui.github.io/questionarios/RAADS_R_v1.html</v>
      </c>
    </row>
    <row r="19" customFormat="false" ht="42" hidden="false" customHeight="true" outlineLevel="0" collapsed="false">
      <c r="A19" s="5" t="n">
        <f aca="false">IFERROR(INDEX(Catálogo!A$4:A$1000,MATCH($A$1&amp;"|"&amp;16,Índice!$A$4:$A$1000,0)),"")</f>
        <v>127</v>
      </c>
      <c r="B19" s="6" t="str">
        <f aca="false">IFERROR(INDEX(Catálogo!B$4:B$1000,MATCH($A$1&amp;"|"&amp;16,Índice!$A$4:$A$1000,0)),"")</f>
        <v>RBS-R — Comportamentos Repetitivos, Revista</v>
      </c>
      <c r="C19" s="6" t="str">
        <f aca="false">IFERROR(INDEX(Catálogo!C$4:C$1000,MATCH($A$1&amp;"|"&amp;16,Índice!$A$4:$A$1000,0)),"")</f>
        <v>Neurodesenvolvimento</v>
      </c>
      <c r="D19" s="6" t="str">
        <f aca="false">IFERROR(INDEX(Catálogo!D$4:D$1000,MATCH($A$1&amp;"|"&amp;16,Índice!$A$4:$A$1000,0)),"")</f>
        <v>Mãe, Pai, Enc. Educação, Cuidador, Professor(a), Clínico</v>
      </c>
      <c r="E19" s="6" t="str">
        <f aca="false">IFERROR(INDEX(Catálogo!E$4:E$1000,MATCH($A$1&amp;"|"&amp;16,Índice!$A$4:$A$1000,0)),"")</f>
        <v>3–70 anos (heteroavaliação)</v>
      </c>
      <c r="F19" s="5" t="n">
        <f aca="false">IFERROR(INDEX(Catálogo!F$4:F$1000,MATCH($A$1&amp;"|"&amp;16,Índice!$A$4:$A$1000,0)),"")</f>
        <v>3</v>
      </c>
      <c r="G19" s="5" t="n">
        <f aca="false">IFERROR(INDEX(Catálogo!G$4:G$1000,MATCH($A$1&amp;"|"&amp;16,Índice!$A$4:$A$1000,0)),"")</f>
        <v>70</v>
      </c>
      <c r="H19" s="5" t="n">
        <f aca="false">IFERROR(INDEX(Catálogo!H$4:H$1000,MATCH($A$1&amp;"|"&amp;16,Índice!$A$4:$A$1000,0)),"")</f>
        <v>7</v>
      </c>
      <c r="I19" s="6" t="str">
        <f aca="false">IFERROR(INDEX(Catálogo!I$4:I$1000,MATCH($A$1&amp;"|"&amp;16,Índice!$A$4:$A$1000,0)),"")</f>
        <v>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v>
      </c>
      <c r="J19" s="6" t="str">
        <f aca="false">IFERROR(INDEX(Catálogo!J$4:J$1000,MATCH($A$1&amp;"|"&amp;16,Índice!$A$4:$A$1000,0)),"")</f>
        <v>Estereotipias Motoras; Comportamentos Autoagressivos; Comportamentos Compulsivos; Comportamentos Ritualísticos; Rigidez Cognitiva / Sameness; Interesses Restritos; Total</v>
      </c>
      <c r="K19" s="6" t="str">
        <f aca="false">IFERROR(INDEX(Catálogo!K$4:K$1000,MATCH($A$1&amp;"|"&amp;16,Índice!$A$4:$A$1000,0)),"")</f>
        <v>rbsr</v>
      </c>
      <c r="L19" s="6" t="str">
        <f aca="false">IFERROR(INDEX(Catálogo!L$4:L$1000,MATCH($A$1&amp;"|"&amp;16,Índice!$A$4:$A$1000,0)),"")</f>
        <v>q_rbsr</v>
      </c>
      <c r="M19" s="7" t="str">
        <f aca="false">IFERROR(INDEX(Catálogo!M$4:M$1000,MATCH($A$1&amp;"|"&amp;16,Índice!$A$4:$A$1000,0)),"")</f>
        <v>https://correiaricardina-ui.github.io/questionarios/RBS_R.html</v>
      </c>
    </row>
    <row r="20" customFormat="false" ht="42" hidden="false" customHeight="true" outlineLevel="0" collapsed="false">
      <c r="A20" s="5" t="n">
        <f aca="false">IFERROR(INDEX(Catálogo!A$4:A$1000,MATCH($A$1&amp;"|"&amp;17,Índice!$A$4:$A$1000,0)),"")</f>
        <v>146</v>
      </c>
      <c r="B20" s="6" t="str">
        <f aca="false">IFERROR(INDEX(Catálogo!B$4:B$1000,MATCH($A$1&amp;"|"&amp;17,Índice!$A$4:$A$1000,0)),"")</f>
        <v>SRS-2 — Pais/Cuid.</v>
      </c>
      <c r="C20" s="6" t="str">
        <f aca="false">IFERROR(INDEX(Catálogo!C$4:C$1000,MATCH($A$1&amp;"|"&amp;17,Índice!$A$4:$A$1000,0)),"")</f>
        <v>Neurodesenvolvimento</v>
      </c>
      <c r="D20" s="6" t="str">
        <f aca="false">IFERROR(INDEX(Catálogo!D$4:D$1000,MATCH($A$1&amp;"|"&amp;17,Índice!$A$4:$A$1000,0)),"")</f>
        <v>Mãe, Pai, Enc. Educação</v>
      </c>
      <c r="E20" s="6" t="str">
        <f aca="false">IFERROR(INDEX(Catálogo!E$4:E$1000,MATCH($A$1&amp;"|"&amp;17,Índice!$A$4:$A$1000,0)),"")</f>
        <v>4–18 anos</v>
      </c>
      <c r="F20" s="5" t="n">
        <f aca="false">IFERROR(INDEX(Catálogo!F$4:F$1000,MATCH($A$1&amp;"|"&amp;17,Índice!$A$4:$A$1000,0)),"")</f>
        <v>4</v>
      </c>
      <c r="G20" s="5" t="n">
        <f aca="false">IFERROR(INDEX(Catálogo!G$4:G$1000,MATCH($A$1&amp;"|"&amp;17,Índice!$A$4:$A$1000,0)),"")</f>
        <v>17.9</v>
      </c>
      <c r="H20" s="5" t="n">
        <f aca="false">IFERROR(INDEX(Catálogo!H$4:H$1000,MATCH($A$1&amp;"|"&amp;17,Índice!$A$4:$A$1000,0)),"")</f>
        <v>7</v>
      </c>
      <c r="I20" s="6" t="str">
        <f aca="false">IFERROR(INDEX(Catálogo!I$4:I$1000,MATCH($A$1&amp;"|"&amp;17,Índice!$A$4:$A$1000,0)),"")</f>
        <v>Avalia responsividade social — versão pais/cuidadores</v>
      </c>
      <c r="J20" s="6" t="str">
        <f aca="false">IFERROR(INDEX(Catálogo!J$4:J$1000,MATCH($A$1&amp;"|"&amp;17,Índice!$A$4:$A$1000,0)),"")</f>
        <v>Consciência Social (PERC); Cognição Social (COG); Comunicação Social (COM); Motivação Social (MOT); Maneirismos/Interesses Restritos e Repetitivos (PRR); Índice de Comunicação e Interação Social (DSM-5) (CIS); Score Total (Total)</v>
      </c>
      <c r="K20" s="6" t="str">
        <f aca="false">IFERROR(INDEX(Catálogo!K$4:K$1000,MATCH($A$1&amp;"|"&amp;17,Índice!$A$4:$A$1000,0)),"")</f>
        <v>srs2_pais</v>
      </c>
      <c r="L20" s="6" t="str">
        <f aca="false">IFERROR(INDEX(Catálogo!L$4:L$1000,MATCH($A$1&amp;"|"&amp;17,Índice!$A$4:$A$1000,0)),"")</f>
        <v>q_srs2_pais</v>
      </c>
      <c r="M20" s="7" t="str">
        <f aca="false">IFERROR(INDEX(Catálogo!M$4:M$1000,MATCH($A$1&amp;"|"&amp;17,Índice!$A$4:$A$1000,0)),"")</f>
        <v>https://correiaricardina-ui.github.io/questionarios/SRS2_IE_Pais_v1.html</v>
      </c>
    </row>
    <row r="21" customFormat="false" ht="42" hidden="false" customHeight="true" outlineLevel="0" collapsed="false">
      <c r="A21" s="5" t="n">
        <f aca="false">IFERROR(INDEX(Catálogo!A$4:A$1000,MATCH($A$1&amp;"|"&amp;18,Índice!$A$4:$A$1000,0)),"")</f>
        <v>147</v>
      </c>
      <c r="B21" s="6" t="str">
        <f aca="false">IFERROR(INDEX(Catálogo!B$4:B$1000,MATCH($A$1&amp;"|"&amp;18,Índice!$A$4:$A$1000,0)),"")</f>
        <v>SRS-2 — Professor</v>
      </c>
      <c r="C21" s="6" t="str">
        <f aca="false">IFERROR(INDEX(Catálogo!C$4:C$1000,MATCH($A$1&amp;"|"&amp;18,Índice!$A$4:$A$1000,0)),"")</f>
        <v>Neurodesenvolvimento</v>
      </c>
      <c r="D21" s="6" t="str">
        <f aca="false">IFERROR(INDEX(Catálogo!D$4:D$1000,MATCH($A$1&amp;"|"&amp;18,Índice!$A$4:$A$1000,0)),"")</f>
        <v>Professor(a)</v>
      </c>
      <c r="E21" s="6" t="str">
        <f aca="false">IFERROR(INDEX(Catálogo!E$4:E$1000,MATCH($A$1&amp;"|"&amp;18,Índice!$A$4:$A$1000,0)),"")</f>
        <v>4–18 anos</v>
      </c>
      <c r="F21" s="5" t="n">
        <f aca="false">IFERROR(INDEX(Catálogo!F$4:F$1000,MATCH($A$1&amp;"|"&amp;18,Índice!$A$4:$A$1000,0)),"")</f>
        <v>4</v>
      </c>
      <c r="G21" s="5" t="n">
        <f aca="false">IFERROR(INDEX(Catálogo!G$4:G$1000,MATCH($A$1&amp;"|"&amp;18,Índice!$A$4:$A$1000,0)),"")</f>
        <v>17.9</v>
      </c>
      <c r="H21" s="5" t="n">
        <f aca="false">IFERROR(INDEX(Catálogo!H$4:H$1000,MATCH($A$1&amp;"|"&amp;18,Índice!$A$4:$A$1000,0)),"")</f>
        <v>7</v>
      </c>
      <c r="I21" s="6" t="str">
        <f aca="false">IFERROR(INDEX(Catálogo!I$4:I$1000,MATCH($A$1&amp;"|"&amp;18,Índice!$A$4:$A$1000,0)),"")</f>
        <v>Avalia responsividade social — versão professor</v>
      </c>
      <c r="J21" s="6" t="str">
        <f aca="false">IFERROR(INDEX(Catálogo!J$4:J$1000,MATCH($A$1&amp;"|"&amp;18,Índice!$A$4:$A$1000,0)),"")</f>
        <v>Consciência Social (PERC); Cognição Social (COG); Comunicação Social (COM); Motivação Social (MOT); Maneirismos/Interesses Restritos e Repetitivos (PRR); Índice de Comunicação e Interação Social (DSM-5) (CIS); Score Total (Total)</v>
      </c>
      <c r="K21" s="6" t="str">
        <f aca="false">IFERROR(INDEX(Catálogo!K$4:K$1000,MATCH($A$1&amp;"|"&amp;18,Índice!$A$4:$A$1000,0)),"")</f>
        <v>srs2_prof</v>
      </c>
      <c r="L21" s="6" t="str">
        <f aca="false">IFERROR(INDEX(Catálogo!L$4:L$1000,MATCH($A$1&amp;"|"&amp;18,Índice!$A$4:$A$1000,0)),"")</f>
        <v>q_srs2_prof</v>
      </c>
      <c r="M21" s="7" t="str">
        <f aca="false">IFERROR(INDEX(Catálogo!M$4:M$1000,MATCH($A$1&amp;"|"&amp;18,Índice!$A$4:$A$1000,0)),"")</f>
        <v>https://correiaricardina-ui.github.io/questionarios/SRS2_IE_Prof_v1.html</v>
      </c>
    </row>
    <row r="22" customFormat="false" ht="42" hidden="false" customHeight="true" outlineLevel="0" collapsed="false">
      <c r="A22" s="5" t="n">
        <f aca="false">IFERROR(INDEX(Catálogo!A$4:A$1000,MATCH($A$1&amp;"|"&amp;19,Índice!$A$4:$A$1000,0)),"")</f>
        <v>155</v>
      </c>
      <c r="B22" s="6" t="str">
        <f aca="false">IFERROR(INDEX(Catálogo!B$4:B$1000,MATCH($A$1&amp;"|"&amp;19,Índice!$A$4:$A$1000,0)),"")</f>
        <v>TS-OC · Parte I — Gravidade de Tiques (YGTSS)</v>
      </c>
      <c r="C22" s="6" t="str">
        <f aca="false">IFERROR(INDEX(Catálogo!C$4:C$1000,MATCH($A$1&amp;"|"&amp;19,Índice!$A$4:$A$1000,0)),"")</f>
        <v>Neurodesenvolvimento</v>
      </c>
      <c r="D22" s="6" t="str">
        <f aca="false">IFERROR(INDEX(Catálogo!D$4:D$1000,MATCH($A$1&amp;"|"&amp;19,Índice!$A$4:$A$1000,0)),"")</f>
        <v>Mãe, Pai, Enc. Educação, Paciente</v>
      </c>
      <c r="E22" s="6" t="str">
        <f aca="false">IFERROR(INDEX(Catálogo!E$4:E$1000,MATCH($A$1&amp;"|"&amp;19,Índice!$A$4:$A$1000,0)),"")</f>
        <v>6–18 anos</v>
      </c>
      <c r="F22" s="5" t="n">
        <f aca="false">IFERROR(INDEX(Catálogo!F$4:F$1000,MATCH($A$1&amp;"|"&amp;19,Índice!$A$4:$A$1000,0)),"")</f>
        <v>6</v>
      </c>
      <c r="G22" s="5" t="n">
        <f aca="false">IFERROR(INDEX(Catálogo!G$4:G$1000,MATCH($A$1&amp;"|"&amp;19,Índice!$A$4:$A$1000,0)),"")</f>
        <v>18.9</v>
      </c>
      <c r="H22" s="5" t="n">
        <f aca="false">IFERROR(INDEX(Catálogo!H$4:H$1000,MATCH($A$1&amp;"|"&amp;19,Índice!$A$4:$A$1000,0)),"")</f>
        <v>5</v>
      </c>
      <c r="I22" s="6" t="str">
        <f aca="false">IFERROR(INDEX(Catálogo!I$4:I$1000,MATCH($A$1&amp;"|"&amp;19,Índice!$A$4:$A$1000,0)),"")</f>
        <v>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v>
      </c>
      <c r="J22" s="6" t="str">
        <f aca="false">IFERROR(INDEX(Catálogo!J$4:J$1000,MATCH($A$1&amp;"|"&amp;19,Índice!$A$4:$A$1000,0)),"")</f>
        <v>Subtotal Motor; Subtotal Fónico; Total de Tiques; Comprometimento; Pontuação Global YGTSS</v>
      </c>
      <c r="K22" s="6" t="str">
        <f aca="false">IFERROR(INDEX(Catálogo!K$4:K$1000,MATCH($A$1&amp;"|"&amp;19,Índice!$A$4:$A$1000,0)),"")</f>
        <v>tsoc_ygtss</v>
      </c>
      <c r="L22" s="6" t="str">
        <f aca="false">IFERROR(INDEX(Catálogo!L$4:L$1000,MATCH($A$1&amp;"|"&amp;19,Índice!$A$4:$A$1000,0)),"")</f>
        <v>q_tsoc_ygtss</v>
      </c>
      <c r="M22" s="7" t="str">
        <f aca="false">IFERROR(INDEX(Catálogo!M$4:M$1000,MATCH($A$1&amp;"|"&amp;19,Índice!$A$4:$A$1000,0)),"")</f>
        <v>https://correiaricardina-ui.github.io/questionarios/TSOC_YGTSS_v1.html</v>
      </c>
    </row>
    <row r="23" customFormat="false" ht="42" hidden="false" customHeight="true" outlineLevel="0" collapsed="false">
      <c r="A23" s="5" t="n">
        <f aca="false">IFERROR(INDEX(Catálogo!A$4:A$1000,MATCH($A$1&amp;"|"&amp;20,Índice!$A$4:$A$1000,0)),"")</f>
        <v>163</v>
      </c>
      <c r="B23" s="6" t="str">
        <f aca="false">IFERROR(INDEX(Catálogo!B$4:B$1000,MATCH($A$1&amp;"|"&amp;20,Índice!$A$4:$A$1000,0)),"")</f>
        <v>SGRS — Sohn Grayson Rating Scale</v>
      </c>
      <c r="C23" s="6" t="str">
        <f aca="false">IFERROR(INDEX(Catálogo!C$4:C$1000,MATCH($A$1&amp;"|"&amp;20,Índice!$A$4:$A$1000,0)),"")</f>
        <v>Neurodesenvolvimento</v>
      </c>
      <c r="D23" s="6" t="str">
        <f aca="false">IFERROR(INDEX(Catálogo!D$4:D$1000,MATCH($A$1&amp;"|"&amp;20,Índice!$A$4:$A$1000,0)),"")</f>
        <v>Mãe, Pai, Enc. Educação, Professor(a), Educador(a), Psicóloga</v>
      </c>
      <c r="E23" s="6" t="str">
        <f aca="false">IFERROR(INDEX(Catálogo!E$4:E$1000,MATCH($A$1&amp;"|"&amp;20,Índice!$A$4:$A$1000,0)),"")</f>
        <v>3–18 anos</v>
      </c>
      <c r="F23" s="5" t="n">
        <f aca="false">IFERROR(INDEX(Catálogo!F$4:F$1000,MATCH($A$1&amp;"|"&amp;20,Índice!$A$4:$A$1000,0)),"")</f>
        <v>3</v>
      </c>
      <c r="G23" s="5" t="n">
        <f aca="false">IFERROR(INDEX(Catálogo!G$4:G$1000,MATCH($A$1&amp;"|"&amp;20,Índice!$A$4:$A$1000,0)),"")</f>
        <v>18</v>
      </c>
      <c r="H23" s="5" t="n">
        <f aca="false">IFERROR(INDEX(Catálogo!H$4:H$1000,MATCH($A$1&amp;"|"&amp;20,Índice!$A$4:$A$1000,0)),"")</f>
        <v>7</v>
      </c>
      <c r="I23" s="6" t="str">
        <f aca="false">IFERROR(INDEX(Catálogo!I$4:I$1000,MATCH($A$1&amp;"|"&amp;20,Índice!$A$4:$A$1000,0)),"")</f>
        <v>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v>
      </c>
      <c r="J23" s="6" t="str">
        <f aca="false">IFERROR(INDEX(Catálogo!J$4:J$1000,MATCH($A$1&amp;"|"&amp;20,Índice!$A$4:$A$1000,0)),"")</f>
        <v>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v>
      </c>
      <c r="K23" s="6" t="str">
        <f aca="false">IFERROR(INDEX(Catálogo!K$4:K$1000,MATCH($A$1&amp;"|"&amp;20,Índice!$A$4:$A$1000,0)),"")</f>
        <v>sgrs</v>
      </c>
      <c r="L23" s="6" t="str">
        <f aca="false">IFERROR(INDEX(Catálogo!L$4:L$1000,MATCH($A$1&amp;"|"&amp;20,Índice!$A$4:$A$1000,0)),"")</f>
        <v>q_sgrs</v>
      </c>
      <c r="M23" s="7" t="str">
        <f aca="false">IFERROR(INDEX(Catálogo!M$4:M$1000,MATCH($A$1&amp;"|"&amp;20,Índice!$A$4:$A$1000,0)),"")</f>
        <v>https://correiaricardina-ui.github.io/questionarios/SGRS_v1.html</v>
      </c>
    </row>
    <row r="24" customFormat="false" ht="42" hidden="false" customHeight="true" outlineLevel="0" collapsed="false">
      <c r="A24" s="5" t="n">
        <f aca="false">IFERROR(INDEX(Catálogo!A$4:A$1000,MATCH($A$1&amp;"|"&amp;21,Índice!$A$4:$A$1000,0)),"")</f>
        <v>196</v>
      </c>
      <c r="B24" s="6" t="str">
        <f aca="false">IFERROR(INDEX(Catálogo!B$4:B$1000,MATCH($A$1&amp;"|"&amp;21,Índice!$A$4:$A$1000,0)),"")</f>
        <v>AASP — Perfil Sensorial Adolescente e Adulto</v>
      </c>
      <c r="C24" s="6" t="str">
        <f aca="false">IFERROR(INDEX(Catálogo!C$4:C$1000,MATCH($A$1&amp;"|"&amp;21,Índice!$A$4:$A$1000,0)),"")</f>
        <v>Neurodesenvolvimento</v>
      </c>
      <c r="D24" s="6" t="str">
        <f aca="false">IFERROR(INDEX(Catálogo!D$4:D$1000,MATCH($A$1&amp;"|"&amp;21,Índice!$A$4:$A$1000,0)),"")</f>
        <v>Próprio, Criança/Jovem</v>
      </c>
      <c r="E24" s="6" t="str">
        <f aca="false">IFERROR(INDEX(Catálogo!E$4:E$1000,MATCH($A$1&amp;"|"&amp;21,Índice!$A$4:$A$1000,0)),"")</f>
        <v>11–99 anos</v>
      </c>
      <c r="F24" s="5" t="n">
        <f aca="false">IFERROR(INDEX(Catálogo!F$4:F$1000,MATCH($A$1&amp;"|"&amp;21,Índice!$A$4:$A$1000,0)),"")</f>
        <v>11</v>
      </c>
      <c r="G24" s="5" t="n">
        <f aca="false">IFERROR(INDEX(Catálogo!G$4:G$1000,MATCH($A$1&amp;"|"&amp;21,Índice!$A$4:$A$1000,0)),"")</f>
        <v>99</v>
      </c>
      <c r="H24" s="5" t="n">
        <f aca="false">IFERROR(INDEX(Catálogo!H$4:H$1000,MATCH($A$1&amp;"|"&amp;21,Índice!$A$4:$A$1000,0)),"")</f>
        <v>15</v>
      </c>
      <c r="I24" s="6" t="str">
        <f aca="false">IFERROR(INDEX(Catálogo!I$4:I$1000,MATCH($A$1&amp;"|"&amp;21,Índice!$A$4:$A$1000,0)),"")</f>
        <v>Caracteriza o PADRÃO DE PROCESSAMENTO SENSORIAL segundo o modelo de Dunn (limiar neurológico × estratégia de autorregulação), através do Adolescent/Adult Sensory Profile (Brown &amp; Dunn, 2002; Pearson/PsychCorp). Autorrelato de 60 itens numa escala 1–5 (1 Quase nunca ≈ 5% das vezes → 5 Quase sempre ≈ 85% ou mais), TODOS no sentido directo — não existe um único item invertido. Cada item pode ainda ser marcado NA quando não houve oportunidade de experimentar a situação. Devolve quatro totais brutos de quadrante (amplitude 15–75 cada) e seis totais de secção sensorial. ⚠ A classificação é DESCRITIVA e não uma medida de gravidade: situa o total de cada quadrante face à distribuição do grupo normativo em cinco posições — −− muito menos · − menos · = semelhante · + mais · ++ muito mais que a maioria das pessoas. Por isso o painel usa PALETA AZUL: verde/laranja/vermelho comunicariam uma gravidade que o instrumento não mede. ⚠ LEITURA CONTRA-INTUITIVA do quadrante Baixo Registo: −− ou − significam MENOS comportamentos de baixo registo, isto é MAIOR detecção de estímulos — não um défice. A direcção clínica de cada quadrante lê-se à luz do modelo de Dunn, nunca por analogia com escalas de sintomas. ⚠ NÃO existem normas portuguesas de validação: os pontos de corte são os do quadro normativo ORIGINAL (amostra norte-americana), aplicados por faixa etária — 11–17, 18–64 e 65 ou mais anos. Abaixo dos 11 anos o instrumento não é aplicável (considerar o Perfil Sensorial 2, versão criança) e a classificação fica suspensa. ⚠ REGRA DE OMISSÕES: 0 NA num quadrante → soma directa; 1 a 2 NA → total prorrateado [(soma dos respondidos ÷ n.º de respondidos) × 15], arredondado à unidade e assinalado como ESTIMATIVA, com a classificação a ser lida com reserva; 3 ou mais NA → quadrante NÃO COTÁVEL, sem classificação. O prorrateamento é uma opção operacional desta plataforma e NÃO consta do manual original. Item por responder é distinto de NA e impede a cotação do quadrante. ⚠ As seis secções sensoriais (A a F) NÃO têm quadro normativo publicado em nenhuma das fontes disponíveis: os seus totais e médias por item servem apenas para localizar, de forma descritiva, os domínios com maior densidade de respostas. ⚠ Instrumento comercial protegido por direitos de autor: a administração deve fazer-se com o protocolo licenciado adoptado pelo serviço. ⚠ Contraparte adolescente/adulta do Perfil Sensorial 2 (PS2), já catalogado — daí a mesma área clínica. ⚠ Cotação validada contra o livro de cotação de referência (0 divergências em 22 casos) e pontos de corte verificados exaustivamente nas 732 combinações faixa × quadrante × total (0 erros).</v>
      </c>
      <c r="J24" s="6" t="str">
        <f aca="false">IFERROR(INDEX(Catálogo!J$4:J$1000,MATCH($A$1&amp;"|"&amp;21,Índice!$A$4:$A$1000,0)),"")</f>
        <v>Quadrante 1 — Baixo Registo (15 itens, total 15–75): limiar neurológico alto com estratégia passiva; a pessoa deteta menos estímulos do que a maioria e pode requerer maior intensidade ou saliência para responder | Quadrante 2 — Procura de Sensação (15 itens, 15–75): limiar alto com estratégia activa; a pessoa cria ou procura activamente estimulação sensorial adicional nas suas rotinas | Quadrante 3 — Sensibilidade Sensorial (15 itens, 15–75): limiar baixo com estratégia passiva; a pessoa deteta e reage a estímulos de baixa intensidade que outros filtram, com maior distratibilidade ou desconforto | Quadrante 4 — Evitamento Sensorial (15 itens, 15–75): limiar baixo com estratégia activa; a pessoa restringe ou controla activamente a exposição sensorial | Classificação normativa por quadrante — cinco posições descritivas (−− · − · = · + · ++) face à faixa etária aplicável; posição face à maioria das pessoas, NUNCA medida de gravidade | Faixa normativa aplicada — 11–17, 18–64 ou 65+ anos, determinada automaticamente pela idade; abaixo dos 11 anos a classificação fica suspensa por o instrumento estar fora de âmbito | Estado de cotação por quadrante — Completo · Prorrateado (estimativa, 1 a 2 NA) · Não cotável (3 ou mais NA) · Incompleto (item por responder); é um resultado de validade e condiciona toda a leitura do quadrante | Secção A — Processamento olfativo/gustativo (8 itens): soma e média por item, leitura estritamente descritiva | Secção B — Processamento do movimento (8 itens): soma e média por item, leitura estritamente descritiva | Secção C — Processamento visual (10 itens): soma e média por item, leitura estritamente descritiva | Secção D — Processamento tátil (13 itens): soma e média por item, leitura estritamente descritiva | Secção E — Nível de atividade (10 itens): soma e média por item, leitura estritamente descritiva | Secção F — Processamento auditivo (11 itens): soma e média por item, leitura estritamente descritiva | Distribuição do perfil pelos quatro quadrantes — quantos se afastam do intervalo esperado, em que direcção, e quais se mantêm semelhantes à maioria; é a leitura primária do instrumento | Registo de omissões (NA) — total de itens sem oportunidade de observação, com sinalização automática dos quadrantes prorrateados e dos não cotáveis</v>
      </c>
      <c r="K24" s="6" t="str">
        <f aca="false">IFERROR(INDEX(Catálogo!K$4:K$1000,MATCH($A$1&amp;"|"&amp;21,Índice!$A$4:$A$1000,0)),"")</f>
        <v>aasp</v>
      </c>
      <c r="L24" s="6" t="str">
        <f aca="false">IFERROR(INDEX(Catálogo!L$4:L$1000,MATCH($A$1&amp;"|"&amp;21,Índice!$A$4:$A$1000,0)),"")</f>
        <v>q_aasp</v>
      </c>
      <c r="M24" s="7" t="str">
        <f aca="false">IFERROR(INDEX(Catálogo!M$4:M$1000,MATCH($A$1&amp;"|"&amp;21,Índice!$A$4:$A$1000,0)),"")</f>
        <v>https://correiaricardina-ui.github.io/questionarios/AASP_v1.html</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row r="26" customFormat="false" ht="42" hidden="false" customHeight="true" outlineLevel="0" collapsed="false">
      <c r="A26" s="5" t="str">
        <f aca="false">IFERROR(INDEX(Catálogo!A$4:A$1000,MATCH($A$1&amp;"|"&amp;23,Índice!$A$4:$A$1000,0)),"")</f>
        <v/>
      </c>
      <c r="B26" s="6" t="str">
        <f aca="false">IFERROR(INDEX(Catálogo!B$4:B$1000,MATCH($A$1&amp;"|"&amp;23,Índice!$A$4:$A$1000,0)),"")</f>
        <v/>
      </c>
      <c r="C26" s="6" t="str">
        <f aca="false">IFERROR(INDEX(Catálogo!C$4:C$1000,MATCH($A$1&amp;"|"&amp;23,Índice!$A$4:$A$1000,0)),"")</f>
        <v/>
      </c>
      <c r="D26" s="6" t="str">
        <f aca="false">IFERROR(INDEX(Catálogo!D$4:D$1000,MATCH($A$1&amp;"|"&amp;23,Índice!$A$4:$A$1000,0)),"")</f>
        <v/>
      </c>
      <c r="E26" s="6" t="str">
        <f aca="false">IFERROR(INDEX(Catálogo!E$4:E$1000,MATCH($A$1&amp;"|"&amp;23,Índice!$A$4:$A$1000,0)),"")</f>
        <v/>
      </c>
      <c r="F26" s="5" t="str">
        <f aca="false">IFERROR(INDEX(Catálogo!F$4:F$1000,MATCH($A$1&amp;"|"&amp;23,Índice!$A$4:$A$1000,0)),"")</f>
        <v/>
      </c>
      <c r="G26" s="5" t="str">
        <f aca="false">IFERROR(INDEX(Catálogo!G$4:G$1000,MATCH($A$1&amp;"|"&amp;23,Índice!$A$4:$A$1000,0)),"")</f>
        <v/>
      </c>
      <c r="H26" s="5" t="str">
        <f aca="false">IFERROR(INDEX(Catálogo!H$4:H$1000,MATCH($A$1&amp;"|"&amp;23,Índice!$A$4:$A$1000,0)),"")</f>
        <v/>
      </c>
      <c r="I26" s="6" t="str">
        <f aca="false">IFERROR(INDEX(Catálogo!I$4:I$1000,MATCH($A$1&amp;"|"&amp;23,Índice!$A$4:$A$1000,0)),"")</f>
        <v/>
      </c>
      <c r="J26" s="6" t="str">
        <f aca="false">IFERROR(INDEX(Catálogo!J$4:J$1000,MATCH($A$1&amp;"|"&amp;23,Índice!$A$4:$A$1000,0)),"")</f>
        <v/>
      </c>
      <c r="K26" s="6" t="str">
        <f aca="false">IFERROR(INDEX(Catálogo!K$4:K$1000,MATCH($A$1&amp;"|"&amp;23,Índice!$A$4:$A$1000,0)),"")</f>
        <v/>
      </c>
      <c r="L26" s="6" t="str">
        <f aca="false">IFERROR(INDEX(Catálogo!L$4:L$1000,MATCH($A$1&amp;"|"&amp;23,Índice!$A$4:$A$1000,0)),"")</f>
        <v/>
      </c>
      <c r="M26" s="7" t="str">
        <f aca="false">IFERROR(INDEX(Catálogo!M$4:M$1000,MATCH($A$1&amp;"|"&amp;23,Índice!$A$4:$A$1000,0)),"")</f>
        <v/>
      </c>
    </row>
    <row r="27" customFormat="false" ht="42" hidden="false" customHeight="true" outlineLevel="0" collapsed="false">
      <c r="A27" s="5" t="str">
        <f aca="false">IFERROR(INDEX(Catálogo!A$4:A$1000,MATCH($A$1&amp;"|"&amp;24,Índice!$A$4:$A$1000,0)),"")</f>
        <v/>
      </c>
      <c r="B27" s="6" t="str">
        <f aca="false">IFERROR(INDEX(Catálogo!B$4:B$1000,MATCH($A$1&amp;"|"&amp;24,Índice!$A$4:$A$1000,0)),"")</f>
        <v/>
      </c>
      <c r="C27" s="6" t="str">
        <f aca="false">IFERROR(INDEX(Catálogo!C$4:C$1000,MATCH($A$1&amp;"|"&amp;24,Índice!$A$4:$A$1000,0)),"")</f>
        <v/>
      </c>
      <c r="D27" s="6" t="str">
        <f aca="false">IFERROR(INDEX(Catálogo!D$4:D$1000,MATCH($A$1&amp;"|"&amp;24,Índice!$A$4:$A$1000,0)),"")</f>
        <v/>
      </c>
      <c r="E27" s="6" t="str">
        <f aca="false">IFERROR(INDEX(Catálogo!E$4:E$1000,MATCH($A$1&amp;"|"&amp;24,Índice!$A$4:$A$1000,0)),"")</f>
        <v/>
      </c>
      <c r="F27" s="5" t="str">
        <f aca="false">IFERROR(INDEX(Catálogo!F$4:F$1000,MATCH($A$1&amp;"|"&amp;24,Índice!$A$4:$A$1000,0)),"")</f>
        <v/>
      </c>
      <c r="G27" s="5" t="str">
        <f aca="false">IFERROR(INDEX(Catálogo!G$4:G$1000,MATCH($A$1&amp;"|"&amp;24,Índice!$A$4:$A$1000,0)),"")</f>
        <v/>
      </c>
      <c r="H27" s="5" t="str">
        <f aca="false">IFERROR(INDEX(Catálogo!H$4:H$1000,MATCH($A$1&amp;"|"&amp;24,Índice!$A$4:$A$1000,0)),"")</f>
        <v/>
      </c>
      <c r="I27" s="6" t="str">
        <f aca="false">IFERROR(INDEX(Catálogo!I$4:I$1000,MATCH($A$1&amp;"|"&amp;24,Índice!$A$4:$A$1000,0)),"")</f>
        <v/>
      </c>
      <c r="J27" s="6" t="str">
        <f aca="false">IFERROR(INDEX(Catálogo!J$4:J$1000,MATCH($A$1&amp;"|"&amp;24,Índice!$A$4:$A$1000,0)),"")</f>
        <v/>
      </c>
      <c r="K27" s="6" t="str">
        <f aca="false">IFERROR(INDEX(Catálogo!K$4:K$1000,MATCH($A$1&amp;"|"&amp;24,Índice!$A$4:$A$1000,0)),"")</f>
        <v/>
      </c>
      <c r="L27" s="6" t="str">
        <f aca="false">IFERROR(INDEX(Catálogo!L$4:L$1000,MATCH($A$1&amp;"|"&amp;24,Índice!$A$4:$A$1000,0)),"")</f>
        <v/>
      </c>
      <c r="M27" s="7" t="str">
        <f aca="false">IFERROR(INDEX(Catálogo!M$4:M$1000,MATCH($A$1&amp;"|"&amp;24,Índice!$A$4:$A$1000,0)),"")</f>
        <v/>
      </c>
    </row>
    <row r="28" customFormat="false" ht="42" hidden="false" customHeight="true" outlineLevel="0" collapsed="false">
      <c r="A28" s="5" t="str">
        <f aca="false">IFERROR(INDEX(Catálogo!A$4:A$1000,MATCH($A$1&amp;"|"&amp;25,Índice!$A$4:$A$1000,0)),"")</f>
        <v/>
      </c>
      <c r="B28" s="6" t="str">
        <f aca="false">IFERROR(INDEX(Catálogo!B$4:B$1000,MATCH($A$1&amp;"|"&amp;25,Índice!$A$4:$A$1000,0)),"")</f>
        <v/>
      </c>
      <c r="C28" s="6" t="str">
        <f aca="false">IFERROR(INDEX(Catálogo!C$4:C$1000,MATCH($A$1&amp;"|"&amp;25,Índice!$A$4:$A$1000,0)),"")</f>
        <v/>
      </c>
      <c r="D28" s="6" t="str">
        <f aca="false">IFERROR(INDEX(Catálogo!D$4:D$1000,MATCH($A$1&amp;"|"&amp;25,Índice!$A$4:$A$1000,0)),"")</f>
        <v/>
      </c>
      <c r="E28" s="6" t="str">
        <f aca="false">IFERROR(INDEX(Catálogo!E$4:E$1000,MATCH($A$1&amp;"|"&amp;25,Índice!$A$4:$A$1000,0)),"")</f>
        <v/>
      </c>
      <c r="F28" s="5" t="str">
        <f aca="false">IFERROR(INDEX(Catálogo!F$4:F$1000,MATCH($A$1&amp;"|"&amp;25,Índice!$A$4:$A$1000,0)),"")</f>
        <v/>
      </c>
      <c r="G28" s="5" t="str">
        <f aca="false">IFERROR(INDEX(Catálogo!G$4:G$1000,MATCH($A$1&amp;"|"&amp;25,Índice!$A$4:$A$1000,0)),"")</f>
        <v/>
      </c>
      <c r="H28" s="5" t="str">
        <f aca="false">IFERROR(INDEX(Catálogo!H$4:H$1000,MATCH($A$1&amp;"|"&amp;25,Índice!$A$4:$A$1000,0)),"")</f>
        <v/>
      </c>
      <c r="I28" s="6" t="str">
        <f aca="false">IFERROR(INDEX(Catálogo!I$4:I$1000,MATCH($A$1&amp;"|"&amp;25,Índice!$A$4:$A$1000,0)),"")</f>
        <v/>
      </c>
      <c r="J28" s="6" t="str">
        <f aca="false">IFERROR(INDEX(Catálogo!J$4:J$1000,MATCH($A$1&amp;"|"&amp;25,Índice!$A$4:$A$1000,0)),"")</f>
        <v/>
      </c>
      <c r="K28" s="6" t="str">
        <f aca="false">IFERROR(INDEX(Catálogo!K$4:K$1000,MATCH($A$1&amp;"|"&amp;25,Índice!$A$4:$A$1000,0)),"")</f>
        <v/>
      </c>
      <c r="L28" s="6" t="str">
        <f aca="false">IFERROR(INDEX(Catálogo!L$4:L$1000,MATCH($A$1&amp;"|"&amp;25,Índice!$A$4:$A$1000,0)),"")</f>
        <v/>
      </c>
      <c r="M28" s="7" t="str">
        <f aca="false">IFERROR(INDEX(Catálogo!M$4:M$1000,MATCH($A$1&amp;"|"&amp;25,Índice!$A$4:$A$1000,0)),"")</f>
        <v/>
      </c>
    </row>
    <row r="29" customFormat="false" ht="42" hidden="false" customHeight="true" outlineLevel="0" collapsed="false">
      <c r="A29" s="5" t="str">
        <f aca="false">IFERROR(INDEX(Catálogo!A$4:A$1000,MATCH($A$1&amp;"|"&amp;26,Índice!$A$4:$A$1000,0)),"")</f>
        <v/>
      </c>
      <c r="B29" s="6" t="str">
        <f aca="false">IFERROR(INDEX(Catálogo!B$4:B$1000,MATCH($A$1&amp;"|"&amp;26,Índice!$A$4:$A$1000,0)),"")</f>
        <v/>
      </c>
      <c r="C29" s="6" t="str">
        <f aca="false">IFERROR(INDEX(Catálogo!C$4:C$1000,MATCH($A$1&amp;"|"&amp;26,Índice!$A$4:$A$1000,0)),"")</f>
        <v/>
      </c>
      <c r="D29" s="6" t="str">
        <f aca="false">IFERROR(INDEX(Catálogo!D$4:D$1000,MATCH($A$1&amp;"|"&amp;26,Índice!$A$4:$A$1000,0)),"")</f>
        <v/>
      </c>
      <c r="E29" s="6" t="str">
        <f aca="false">IFERROR(INDEX(Catálogo!E$4:E$1000,MATCH($A$1&amp;"|"&amp;26,Índice!$A$4:$A$1000,0)),"")</f>
        <v/>
      </c>
      <c r="F29" s="5" t="str">
        <f aca="false">IFERROR(INDEX(Catálogo!F$4:F$1000,MATCH($A$1&amp;"|"&amp;26,Índice!$A$4:$A$1000,0)),"")</f>
        <v/>
      </c>
      <c r="G29" s="5" t="str">
        <f aca="false">IFERROR(INDEX(Catálogo!G$4:G$1000,MATCH($A$1&amp;"|"&amp;26,Índice!$A$4:$A$1000,0)),"")</f>
        <v/>
      </c>
      <c r="H29" s="5" t="str">
        <f aca="false">IFERROR(INDEX(Catálogo!H$4:H$1000,MATCH($A$1&amp;"|"&amp;26,Índice!$A$4:$A$1000,0)),"")</f>
        <v/>
      </c>
      <c r="I29" s="6" t="str">
        <f aca="false">IFERROR(INDEX(Catálogo!I$4:I$1000,MATCH($A$1&amp;"|"&amp;26,Índice!$A$4:$A$1000,0)),"")</f>
        <v/>
      </c>
      <c r="J29" s="6" t="str">
        <f aca="false">IFERROR(INDEX(Catálogo!J$4:J$1000,MATCH($A$1&amp;"|"&amp;26,Índice!$A$4:$A$1000,0)),"")</f>
        <v/>
      </c>
      <c r="K29" s="6" t="str">
        <f aca="false">IFERROR(INDEX(Catálogo!K$4:K$1000,MATCH($A$1&amp;"|"&amp;26,Índice!$A$4:$A$1000,0)),"")</f>
        <v/>
      </c>
      <c r="L29" s="6" t="str">
        <f aca="false">IFERROR(INDEX(Catálogo!L$4:L$1000,MATCH($A$1&amp;"|"&amp;26,Índice!$A$4:$A$1000,0)),"")</f>
        <v/>
      </c>
      <c r="M29" s="7" t="str">
        <f aca="false">IFERROR(INDEX(Catálogo!M$4:M$1000,MATCH($A$1&amp;"|"&amp;26,Índice!$A$4:$A$1000,0)),"")</f>
        <v/>
      </c>
    </row>
    <row r="30" customFormat="false" ht="42" hidden="false" customHeight="true" outlineLevel="0" collapsed="false">
      <c r="A30" s="5" t="str">
        <f aca="false">IFERROR(INDEX(Catálogo!A$4:A$1000,MATCH($A$1&amp;"|"&amp;27,Índice!$A$4:$A$1000,0)),"")</f>
        <v/>
      </c>
      <c r="B30" s="6" t="str">
        <f aca="false">IFERROR(INDEX(Catálogo!B$4:B$1000,MATCH($A$1&amp;"|"&amp;27,Índice!$A$4:$A$1000,0)),"")</f>
        <v/>
      </c>
      <c r="C30" s="6" t="str">
        <f aca="false">IFERROR(INDEX(Catálogo!C$4:C$1000,MATCH($A$1&amp;"|"&amp;27,Índice!$A$4:$A$1000,0)),"")</f>
        <v/>
      </c>
      <c r="D30" s="6" t="str">
        <f aca="false">IFERROR(INDEX(Catálogo!D$4:D$1000,MATCH($A$1&amp;"|"&amp;27,Índice!$A$4:$A$1000,0)),"")</f>
        <v/>
      </c>
      <c r="E30" s="6" t="str">
        <f aca="false">IFERROR(INDEX(Catálogo!E$4:E$1000,MATCH($A$1&amp;"|"&amp;27,Índice!$A$4:$A$1000,0)),"")</f>
        <v/>
      </c>
      <c r="F30" s="5" t="str">
        <f aca="false">IFERROR(INDEX(Catálogo!F$4:F$1000,MATCH($A$1&amp;"|"&amp;27,Índice!$A$4:$A$1000,0)),"")</f>
        <v/>
      </c>
      <c r="G30" s="5" t="str">
        <f aca="false">IFERROR(INDEX(Catálogo!G$4:G$1000,MATCH($A$1&amp;"|"&amp;27,Índice!$A$4:$A$1000,0)),"")</f>
        <v/>
      </c>
      <c r="H30" s="5" t="str">
        <f aca="false">IFERROR(INDEX(Catálogo!H$4:H$1000,MATCH($A$1&amp;"|"&amp;27,Índice!$A$4:$A$1000,0)),"")</f>
        <v/>
      </c>
      <c r="I30" s="6" t="str">
        <f aca="false">IFERROR(INDEX(Catálogo!I$4:I$1000,MATCH($A$1&amp;"|"&amp;27,Índice!$A$4:$A$1000,0)),"")</f>
        <v/>
      </c>
      <c r="J30" s="6" t="str">
        <f aca="false">IFERROR(INDEX(Catálogo!J$4:J$1000,MATCH($A$1&amp;"|"&amp;27,Índice!$A$4:$A$1000,0)),"")</f>
        <v/>
      </c>
      <c r="K30" s="6" t="str">
        <f aca="false">IFERROR(INDEX(Catálogo!K$4:K$1000,MATCH($A$1&amp;"|"&amp;27,Índice!$A$4:$A$1000,0)),"")</f>
        <v/>
      </c>
      <c r="L30" s="6" t="str">
        <f aca="false">IFERROR(INDEX(Catálogo!L$4:L$1000,MATCH($A$1&amp;"|"&amp;27,Índice!$A$4:$A$1000,0)),"")</f>
        <v/>
      </c>
      <c r="M30" s="7" t="str">
        <f aca="false">IFERROR(INDEX(Catálogo!M$4:M$1000,MATCH($A$1&amp;"|"&amp;27,Índice!$A$4:$A$1000,0)),"")</f>
        <v/>
      </c>
    </row>
    <row r="31" customFormat="false" ht="42" hidden="false" customHeight="true" outlineLevel="0" collapsed="false">
      <c r="A31" s="5" t="str">
        <f aca="false">IFERROR(INDEX(Catálogo!A$4:A$1000,MATCH($A$1&amp;"|"&amp;28,Índice!$A$4:$A$1000,0)),"")</f>
        <v/>
      </c>
      <c r="B31" s="6" t="str">
        <f aca="false">IFERROR(INDEX(Catálogo!B$4:B$1000,MATCH($A$1&amp;"|"&amp;28,Índice!$A$4:$A$1000,0)),"")</f>
        <v/>
      </c>
      <c r="C31" s="6" t="str">
        <f aca="false">IFERROR(INDEX(Catálogo!C$4:C$1000,MATCH($A$1&amp;"|"&amp;28,Índice!$A$4:$A$1000,0)),"")</f>
        <v/>
      </c>
      <c r="D31" s="6" t="str">
        <f aca="false">IFERROR(INDEX(Catálogo!D$4:D$1000,MATCH($A$1&amp;"|"&amp;28,Índice!$A$4:$A$1000,0)),"")</f>
        <v/>
      </c>
      <c r="E31" s="6" t="str">
        <f aca="false">IFERROR(INDEX(Catálogo!E$4:E$1000,MATCH($A$1&amp;"|"&amp;28,Índice!$A$4:$A$1000,0)),"")</f>
        <v/>
      </c>
      <c r="F31" s="5" t="str">
        <f aca="false">IFERROR(INDEX(Catálogo!F$4:F$1000,MATCH($A$1&amp;"|"&amp;28,Índice!$A$4:$A$1000,0)),"")</f>
        <v/>
      </c>
      <c r="G31" s="5" t="str">
        <f aca="false">IFERROR(INDEX(Catálogo!G$4:G$1000,MATCH($A$1&amp;"|"&amp;28,Índice!$A$4:$A$1000,0)),"")</f>
        <v/>
      </c>
      <c r="H31" s="5" t="str">
        <f aca="false">IFERROR(INDEX(Catálogo!H$4:H$1000,MATCH($A$1&amp;"|"&amp;28,Índice!$A$4:$A$1000,0)),"")</f>
        <v/>
      </c>
      <c r="I31" s="6" t="str">
        <f aca="false">IFERROR(INDEX(Catálogo!I$4:I$1000,MATCH($A$1&amp;"|"&amp;28,Índice!$A$4:$A$1000,0)),"")</f>
        <v/>
      </c>
      <c r="J31" s="6" t="str">
        <f aca="false">IFERROR(INDEX(Catálogo!J$4:J$1000,MATCH($A$1&amp;"|"&amp;28,Índice!$A$4:$A$1000,0)),"")</f>
        <v/>
      </c>
      <c r="K31" s="6" t="str">
        <f aca="false">IFERROR(INDEX(Catálogo!K$4:K$1000,MATCH($A$1&amp;"|"&amp;28,Índice!$A$4:$A$1000,0)),"")</f>
        <v/>
      </c>
      <c r="L31" s="6" t="str">
        <f aca="false">IFERROR(INDEX(Catálogo!L$4:L$1000,MATCH($A$1&amp;"|"&amp;28,Índice!$A$4:$A$1000,0)),"")</f>
        <v/>
      </c>
      <c r="M31" s="7" t="str">
        <f aca="false">IFERROR(INDEX(Catálogo!M$4:M$1000,MATCH($A$1&amp;"|"&amp;28,Índice!$A$4:$A$1000,0)),"")</f>
        <v/>
      </c>
    </row>
    <row r="32" customFormat="false" ht="42" hidden="false" customHeight="true" outlineLevel="0" collapsed="false">
      <c r="A32" s="5" t="str">
        <f aca="false">IFERROR(INDEX(Catálogo!A$4:A$1000,MATCH($A$1&amp;"|"&amp;29,Índice!$A$4:$A$1000,0)),"")</f>
        <v/>
      </c>
      <c r="B32" s="6" t="str">
        <f aca="false">IFERROR(INDEX(Catálogo!B$4:B$1000,MATCH($A$1&amp;"|"&amp;29,Índice!$A$4:$A$1000,0)),"")</f>
        <v/>
      </c>
      <c r="C32" s="6" t="str">
        <f aca="false">IFERROR(INDEX(Catálogo!C$4:C$1000,MATCH($A$1&amp;"|"&amp;29,Índice!$A$4:$A$1000,0)),"")</f>
        <v/>
      </c>
      <c r="D32" s="6" t="str">
        <f aca="false">IFERROR(INDEX(Catálogo!D$4:D$1000,MATCH($A$1&amp;"|"&amp;29,Índice!$A$4:$A$1000,0)),"")</f>
        <v/>
      </c>
      <c r="E32" s="6" t="str">
        <f aca="false">IFERROR(INDEX(Catálogo!E$4:E$1000,MATCH($A$1&amp;"|"&amp;29,Índice!$A$4:$A$1000,0)),"")</f>
        <v/>
      </c>
      <c r="F32" s="5" t="str">
        <f aca="false">IFERROR(INDEX(Catálogo!F$4:F$1000,MATCH($A$1&amp;"|"&amp;29,Índice!$A$4:$A$1000,0)),"")</f>
        <v/>
      </c>
      <c r="G32" s="5" t="str">
        <f aca="false">IFERROR(INDEX(Catálogo!G$4:G$1000,MATCH($A$1&amp;"|"&amp;29,Índice!$A$4:$A$1000,0)),"")</f>
        <v/>
      </c>
      <c r="H32" s="5" t="str">
        <f aca="false">IFERROR(INDEX(Catálogo!H$4:H$1000,MATCH($A$1&amp;"|"&amp;29,Índice!$A$4:$A$1000,0)),"")</f>
        <v/>
      </c>
      <c r="I32" s="6" t="str">
        <f aca="false">IFERROR(INDEX(Catálogo!I$4:I$1000,MATCH($A$1&amp;"|"&amp;29,Índice!$A$4:$A$1000,0)),"")</f>
        <v/>
      </c>
      <c r="J32" s="6" t="str">
        <f aca="false">IFERROR(INDEX(Catálogo!J$4:J$1000,MATCH($A$1&amp;"|"&amp;29,Índice!$A$4:$A$1000,0)),"")</f>
        <v/>
      </c>
      <c r="K32" s="6" t="str">
        <f aca="false">IFERROR(INDEX(Catálogo!K$4:K$1000,MATCH($A$1&amp;"|"&amp;29,Índice!$A$4:$A$1000,0)),"")</f>
        <v/>
      </c>
      <c r="L32" s="6" t="str">
        <f aca="false">IFERROR(INDEX(Catálogo!L$4:L$1000,MATCH($A$1&amp;"|"&amp;29,Índice!$A$4:$A$1000,0)),"")</f>
        <v/>
      </c>
      <c r="M32" s="7" t="str">
        <f aca="false">IFERROR(INDEX(Catálogo!M$4:M$1000,MATCH($A$1&amp;"|"&amp;29,Índice!$A$4:$A$1000,0)),"")</f>
        <v/>
      </c>
    </row>
  </sheetData>
  <autoFilter ref="A3:M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131</v>
      </c>
      <c r="I1" s="17" t="str">
        <f aca="false">COUNTIF(Catálogo!$C$4:$C$1000,$A$1)&amp;IF(COUNTIF(Catálogo!$C$4:$C$1000,$A$1)=1," instrumento nesta área"," instrumentos nesta área")</f>
        <v>18 instrumentos nesta área</v>
      </c>
    </row>
    <row r="2" customFormat="false" ht="15" hidden="false" customHeight="true" outlineLevel="0" collapsed="false">
      <c r="A2" s="18" t="s">
        <v>1331</v>
      </c>
      <c r="I2" s="19" t="str">
        <f aca="false">IF(COUNTIF(Catálogo!$C$4:$C$1000,$A$1)&gt;26,"⚠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17</v>
      </c>
      <c r="B4" s="6" t="str">
        <f aca="false">IFERROR(INDEX(Catálogo!B$4:B$1000,MATCH($A$1&amp;"|"&amp;1,Índice!$A$4:$A$1000,0)),"")</f>
        <v>BRIEF — Auto-questionário</v>
      </c>
      <c r="C4" s="6" t="str">
        <f aca="false">IFERROR(INDEX(Catálogo!C$4:C$1000,MATCH($A$1&amp;"|"&amp;1,Índice!$A$4:$A$1000,0)),"")</f>
        <v>Atenção, PHDA &amp; Funções Executivas</v>
      </c>
      <c r="D4" s="6" t="str">
        <f aca="false">IFERROR(INDEX(Catálogo!D$4:D$1000,MATCH($A$1&amp;"|"&amp;1,Índice!$A$4:$A$1000,0)),"")</f>
        <v>Paciente</v>
      </c>
      <c r="E4" s="6" t="str">
        <f aca="false">IFERROR(INDEX(Catálogo!E$4:E$1000,MATCH($A$1&amp;"|"&amp;1,Índice!$A$4:$A$1000,0)),"")</f>
        <v>11–18 anos</v>
      </c>
      <c r="F4" s="5" t="n">
        <f aca="false">IFERROR(INDEX(Catálogo!F$4:F$1000,MATCH($A$1&amp;"|"&amp;1,Índice!$A$4:$A$1000,0)),"")</f>
        <v>11</v>
      </c>
      <c r="G4" s="5" t="n">
        <f aca="false">IFERROR(INDEX(Catálogo!G$4:G$1000,MATCH($A$1&amp;"|"&amp;1,Índice!$A$4:$A$1000,0)),"")</f>
        <v>17.9</v>
      </c>
      <c r="H4" s="5" t="n">
        <f aca="false">IFERROR(INDEX(Catálogo!H$4:H$1000,MATCH($A$1&amp;"|"&amp;1,Índice!$A$4:$A$1000,0)),"")</f>
        <v>11</v>
      </c>
      <c r="I4" s="6" t="str">
        <f aca="false">IFERROR(INDEX(Catálogo!I$4:I$1000,MATCH($A$1&amp;"|"&amp;1,Índice!$A$4:$A$1000,0)),"")</f>
        <v>Avalia funções executivas — versão auto-relato para adolescentes</v>
      </c>
      <c r="J4" s="6" t="str">
        <f aca="false">IFERROR(INDEX(Catálogo!J$4:J$1000,MATCH($A$1&amp;"|"&amp;1,Índice!$A$4:$A$1000,0)),"")</f>
        <v>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v>
      </c>
      <c r="K4" s="6" t="str">
        <f aca="false">IFERROR(INDEX(Catálogo!K$4:K$1000,MATCH($A$1&amp;"|"&amp;1,Índice!$A$4:$A$1000,0)),"")</f>
        <v>brief_auto</v>
      </c>
      <c r="L4" s="6" t="str">
        <f aca="false">IFERROR(INDEX(Catálogo!L$4:L$1000,MATCH($A$1&amp;"|"&amp;1,Índice!$A$4:$A$1000,0)),"")</f>
        <v>q_brief_auto</v>
      </c>
      <c r="M4" s="7" t="str">
        <f aca="false">IFERROR(INDEX(Catálogo!M$4:M$1000,MATCH($A$1&amp;"|"&amp;1,Índice!$A$4:$A$1000,0)),"")</f>
        <v>https://correiaricardina-ui.github.io/questionarios/BRIEF_Autoavaliacao_v2.html</v>
      </c>
    </row>
    <row r="5" customFormat="false" ht="42" hidden="false" customHeight="true" outlineLevel="0" collapsed="false">
      <c r="A5" s="5" t="n">
        <f aca="false">IFERROR(INDEX(Catálogo!A$4:A$1000,MATCH($A$1&amp;"|"&amp;2,Índice!$A$4:$A$1000,0)),"")</f>
        <v>18</v>
      </c>
      <c r="B5" s="6" t="str">
        <f aca="false">IFERROR(INDEX(Catálogo!B$4:B$1000,MATCH($A$1&amp;"|"&amp;2,Índice!$A$4:$A$1000,0)),"")</f>
        <v>BRIEF — Pais</v>
      </c>
      <c r="C5" s="6" t="str">
        <f aca="false">IFERROR(INDEX(Catálogo!C$4:C$1000,MATCH($A$1&amp;"|"&amp;2,Índice!$A$4:$A$1000,0)),"")</f>
        <v>Atenção, PHDA &amp; Funções Executivas</v>
      </c>
      <c r="D5" s="6" t="str">
        <f aca="false">IFERROR(INDEX(Catálogo!D$4:D$1000,MATCH($A$1&amp;"|"&amp;2,Índice!$A$4:$A$1000,0)),"")</f>
        <v>Mãe, Pai, Enc. Educação</v>
      </c>
      <c r="E5" s="6" t="str">
        <f aca="false">IFERROR(INDEX(Catálogo!E$4:E$1000,MATCH($A$1&amp;"|"&amp;2,Índice!$A$4:$A$1000,0)),"")</f>
        <v>5–18 anos</v>
      </c>
      <c r="F5" s="5" t="n">
        <f aca="false">IFERROR(INDEX(Catálogo!F$4:F$1000,MATCH($A$1&amp;"|"&amp;2,Índice!$A$4:$A$1000,0)),"")</f>
        <v>5</v>
      </c>
      <c r="G5" s="5" t="n">
        <f aca="false">IFERROR(INDEX(Catálogo!G$4:G$1000,MATCH($A$1&amp;"|"&amp;2,Índice!$A$4:$A$1000,0)),"")</f>
        <v>17.9</v>
      </c>
      <c r="H5" s="5" t="n">
        <f aca="false">IFERROR(INDEX(Catálogo!H$4:H$1000,MATCH($A$1&amp;"|"&amp;2,Índice!$A$4:$A$1000,0)),"")</f>
        <v>9</v>
      </c>
      <c r="I5" s="6" t="str">
        <f aca="false">IFERROR(INDEX(Catálogo!I$4:I$1000,MATCH($A$1&amp;"|"&amp;2,Índice!$A$4:$A$1000,0)),"")</f>
        <v>Avalia funções executivas em casa — versão pais/cuidadores</v>
      </c>
      <c r="J5" s="6" t="str">
        <f aca="false">IFERROR(INDEX(Catálogo!J$4:J$1000,MATCH($A$1&amp;"|"&amp;2,Índice!$A$4:$A$1000,0)),"")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5" s="6" t="str">
        <f aca="false">IFERROR(INDEX(Catálogo!K$4:K$1000,MATCH($A$1&amp;"|"&amp;2,Índice!$A$4:$A$1000,0)),"")</f>
        <v>brief_pais</v>
      </c>
      <c r="L5" s="6" t="str">
        <f aca="false">IFERROR(INDEX(Catálogo!L$4:L$1000,MATCH($A$1&amp;"|"&amp;2,Índice!$A$4:$A$1000,0)),"")</f>
        <v>q_brief_pais</v>
      </c>
      <c r="M5" s="7" t="str">
        <f aca="false">IFERROR(INDEX(Catálogo!M$4:M$1000,MATCH($A$1&amp;"|"&amp;2,Índice!$A$4:$A$1000,0)),"")</f>
        <v>https://correiaricardina-ui.github.io/questionarios/BRIEF_Pais_v5.html</v>
      </c>
    </row>
    <row r="6" customFormat="false" ht="42" hidden="false" customHeight="true" outlineLevel="0" collapsed="false">
      <c r="A6" s="5" t="n">
        <f aca="false">IFERROR(INDEX(Catálogo!A$4:A$1000,MATCH($A$1&amp;"|"&amp;3,Índice!$A$4:$A$1000,0)),"")</f>
        <v>19</v>
      </c>
      <c r="B6" s="6" t="str">
        <f aca="false">IFERROR(INDEX(Catálogo!B$4:B$1000,MATCH($A$1&amp;"|"&amp;3,Índice!$A$4:$A$1000,0)),"")</f>
        <v>BRIEF — Professores</v>
      </c>
      <c r="C6" s="6" t="str">
        <f aca="false">IFERROR(INDEX(Catálogo!C$4:C$1000,MATCH($A$1&amp;"|"&amp;3,Índice!$A$4:$A$1000,0)),"")</f>
        <v>Atenção, PHDA &amp; Funções Executivas</v>
      </c>
      <c r="D6" s="6" t="str">
        <f aca="false">IFERROR(INDEX(Catálogo!D$4:D$1000,MATCH($A$1&amp;"|"&amp;3,Índice!$A$4:$A$1000,0)),"")</f>
        <v>Professor(a)</v>
      </c>
      <c r="E6" s="6" t="str">
        <f aca="false">IFERROR(INDEX(Catálogo!E$4:E$1000,MATCH($A$1&amp;"|"&amp;3,Índice!$A$4:$A$1000,0)),"")</f>
        <v>5–18 anos</v>
      </c>
      <c r="F6" s="5" t="n">
        <f aca="false">IFERROR(INDEX(Catálogo!F$4:F$1000,MATCH($A$1&amp;"|"&amp;3,Índice!$A$4:$A$1000,0)),"")</f>
        <v>5</v>
      </c>
      <c r="G6" s="5" t="n">
        <f aca="false">IFERROR(INDEX(Catálogo!G$4:G$1000,MATCH($A$1&amp;"|"&amp;3,Índice!$A$4:$A$1000,0)),"")</f>
        <v>17.9</v>
      </c>
      <c r="H6" s="5" t="n">
        <f aca="false">IFERROR(INDEX(Catálogo!H$4:H$1000,MATCH($A$1&amp;"|"&amp;3,Índice!$A$4:$A$1000,0)),"")</f>
        <v>9</v>
      </c>
      <c r="I6" s="6" t="str">
        <f aca="false">IFERROR(INDEX(Catálogo!I$4:I$1000,MATCH($A$1&amp;"|"&amp;3,Índice!$A$4:$A$1000,0)),"")</f>
        <v>Avalia funções executivas em contexto escolar — versão professor</v>
      </c>
      <c r="J6" s="6" t="str">
        <f aca="false">IFERROR(INDEX(Catálogo!J$4:J$1000,MATCH($A$1&amp;"|"&amp;3,Índice!$A$4:$A$1000,0)),"")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6" s="6" t="str">
        <f aca="false">IFERROR(INDEX(Catálogo!K$4:K$1000,MATCH($A$1&amp;"|"&amp;3,Índice!$A$4:$A$1000,0)),"")</f>
        <v>brief_professores</v>
      </c>
      <c r="L6" s="6" t="str">
        <f aca="false">IFERROR(INDEX(Catálogo!L$4:L$1000,MATCH($A$1&amp;"|"&amp;3,Índice!$A$4:$A$1000,0)),"")</f>
        <v>q_brief_prof</v>
      </c>
      <c r="M6" s="7" t="str">
        <f aca="false">IFERROR(INDEX(Catálogo!M$4:M$1000,MATCH($A$1&amp;"|"&amp;3,Índice!$A$4:$A$1000,0)),"")</f>
        <v>https://correiaricardina-ui.github.io/questionarios/BRIEF_Professores_v3.html</v>
      </c>
    </row>
    <row r="7" customFormat="false" ht="42" hidden="false" customHeight="true" outlineLevel="0" collapsed="false">
      <c r="A7" s="5" t="n">
        <f aca="false">IFERROR(INDEX(Catálogo!A$4:A$1000,MATCH($A$1&amp;"|"&amp;4,Índice!$A$4:$A$1000,0)),"")</f>
        <v>20</v>
      </c>
      <c r="B7" s="6" t="str">
        <f aca="false">IFERROR(INDEX(Catálogo!B$4:B$1000,MATCH($A$1&amp;"|"&amp;4,Índice!$A$4:$A$1000,0)),"")</f>
        <v>BRIEF Pré-Escolar — Pais</v>
      </c>
      <c r="C7" s="6" t="str">
        <f aca="false">IFERROR(INDEX(Catálogo!C$4:C$1000,MATCH($A$1&amp;"|"&amp;4,Índice!$A$4:$A$1000,0)),"")</f>
        <v>Atenção, PHDA &amp; Funções Executivas</v>
      </c>
      <c r="D7" s="6" t="str">
        <f aca="false">IFERROR(INDEX(Catálogo!D$4:D$1000,MATCH($A$1&amp;"|"&amp;4,Índice!$A$4:$A$1000,0)),"")</f>
        <v>Mãe, Pai, Enc. Educação</v>
      </c>
      <c r="E7" s="6" t="str">
        <f aca="false">IFERROR(INDEX(Catálogo!E$4:E$1000,MATCH($A$1&amp;"|"&amp;4,Índice!$A$4:$A$1000,0)),"")</f>
        <v>2–5 anos</v>
      </c>
      <c r="F7" s="5" t="n">
        <f aca="false">IFERROR(INDEX(Catálogo!F$4:F$1000,MATCH($A$1&amp;"|"&amp;4,Índice!$A$4:$A$1000,0)),"")</f>
        <v>2</v>
      </c>
      <c r="G7" s="5" t="n">
        <f aca="false">IFERROR(INDEX(Catálogo!G$4:G$1000,MATCH($A$1&amp;"|"&amp;4,Índice!$A$4:$A$1000,0)),"")</f>
        <v>5.9</v>
      </c>
      <c r="H7" s="5" t="n">
        <f aca="false">IFERROR(INDEX(Catálogo!H$4:H$1000,MATCH($A$1&amp;"|"&amp;4,Índice!$A$4:$A$1000,0)),"")</f>
        <v>9</v>
      </c>
      <c r="I7" s="6" t="str">
        <f aca="false">IFERROR(INDEX(Catálogo!I$4:I$1000,MATCH($A$1&amp;"|"&amp;4,Índice!$A$4:$A$1000,0)),"")</f>
        <v>Avalia funções executivas em contexto pré-escolar — versão pais</v>
      </c>
      <c r="J7" s="6" t="str">
        <f aca="false">IFERROR(INDEX(Catálogo!J$4:J$1000,MATCH($A$1&amp;"|"&amp;4,Índice!$A$4:$A$1000,0)),"")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7" s="6" t="str">
        <f aca="false">IFERROR(INDEX(Catálogo!K$4:K$1000,MATCH($A$1&amp;"|"&amp;4,Índice!$A$4:$A$1000,0)),"")</f>
        <v>brief_pe_pais</v>
      </c>
      <c r="L7" s="6" t="str">
        <f aca="false">IFERROR(INDEX(Catálogo!L$4:L$1000,MATCH($A$1&amp;"|"&amp;4,Índice!$A$4:$A$1000,0)),"")</f>
        <v>q_brief_pe_pais</v>
      </c>
      <c r="M7" s="7" t="str">
        <f aca="false">IFERROR(INDEX(Catálogo!M$4:M$1000,MATCH($A$1&amp;"|"&amp;4,Índice!$A$4:$A$1000,0)),"")</f>
        <v>https://correiaricardina-ui.github.io/questionarios/BRIEF_PreEscolar_Pais_v2.html</v>
      </c>
    </row>
    <row r="8" customFormat="false" ht="42" hidden="false" customHeight="true" outlineLevel="0" collapsed="false">
      <c r="A8" s="5" t="n">
        <f aca="false">IFERROR(INDEX(Catálogo!A$4:A$1000,MATCH($A$1&amp;"|"&amp;5,Índice!$A$4:$A$1000,0)),"")</f>
        <v>21</v>
      </c>
      <c r="B8" s="6" t="str">
        <f aca="false">IFERROR(INDEX(Catálogo!B$4:B$1000,MATCH($A$1&amp;"|"&amp;5,Índice!$A$4:$A$1000,0)),"")</f>
        <v>BRIEF Pré-Escolar — Professores</v>
      </c>
      <c r="C8" s="6" t="str">
        <f aca="false">IFERROR(INDEX(Catálogo!C$4:C$1000,MATCH($A$1&amp;"|"&amp;5,Índice!$A$4:$A$1000,0)),"")</f>
        <v>Atenção, PHDA &amp; Funções Executivas</v>
      </c>
      <c r="D8" s="6" t="str">
        <f aca="false">IFERROR(INDEX(Catálogo!D$4:D$1000,MATCH($A$1&amp;"|"&amp;5,Índice!$A$4:$A$1000,0)),"")</f>
        <v>Professor(a), Educador(a)</v>
      </c>
      <c r="E8" s="6" t="str">
        <f aca="false">IFERROR(INDEX(Catálogo!E$4:E$1000,MATCH($A$1&amp;"|"&amp;5,Índice!$A$4:$A$1000,0)),"")</f>
        <v>2–5 anos</v>
      </c>
      <c r="F8" s="5" t="n">
        <f aca="false">IFERROR(INDEX(Catálogo!F$4:F$1000,MATCH($A$1&amp;"|"&amp;5,Índice!$A$4:$A$1000,0)),"")</f>
        <v>2</v>
      </c>
      <c r="G8" s="5" t="n">
        <f aca="false">IFERROR(INDEX(Catálogo!G$4:G$1000,MATCH($A$1&amp;"|"&amp;5,Índice!$A$4:$A$1000,0)),"")</f>
        <v>5.9</v>
      </c>
      <c r="H8" s="5" t="n">
        <f aca="false">IFERROR(INDEX(Catálogo!H$4:H$1000,MATCH($A$1&amp;"|"&amp;5,Índice!$A$4:$A$1000,0)),"")</f>
        <v>9</v>
      </c>
      <c r="I8" s="6" t="str">
        <f aca="false">IFERROR(INDEX(Catálogo!I$4:I$1000,MATCH($A$1&amp;"|"&amp;5,Índice!$A$4:$A$1000,0)),"")</f>
        <v>Avalia funções executivas em contexto pré-escolar — versão professor/educador</v>
      </c>
      <c r="J8" s="6" t="str">
        <f aca="false">IFERROR(INDEX(Catálogo!J$4:J$1000,MATCH($A$1&amp;"|"&amp;5,Índice!$A$4:$A$1000,0)),"")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8" s="6" t="str">
        <f aca="false">IFERROR(INDEX(Catálogo!K$4:K$1000,MATCH($A$1&amp;"|"&amp;5,Índice!$A$4:$A$1000,0)),"")</f>
        <v>brief_pe_prof</v>
      </c>
      <c r="L8" s="6" t="str">
        <f aca="false">IFERROR(INDEX(Catálogo!L$4:L$1000,MATCH($A$1&amp;"|"&amp;5,Índice!$A$4:$A$1000,0)),"")</f>
        <v>q_brief_pe_prof</v>
      </c>
      <c r="M8" s="7" t="str">
        <f aca="false">IFERROR(INDEX(Catálogo!M$4:M$1000,MATCH($A$1&amp;"|"&amp;5,Índice!$A$4:$A$1000,0)),"")</f>
        <v>https://correiaricardina-ui.github.io/questionarios/BRIEF_PreEscolar_Professores_v2.html</v>
      </c>
    </row>
    <row r="9" customFormat="false" ht="42" hidden="false" customHeight="true" outlineLevel="0" collapsed="false">
      <c r="A9" s="5" t="n">
        <f aca="false">IFERROR(INDEX(Catálogo!A$4:A$1000,MATCH($A$1&amp;"|"&amp;6,Índice!$A$4:$A$1000,0)),"")</f>
        <v>34</v>
      </c>
      <c r="B9" s="6" t="str">
        <f aca="false">IFERROR(INDEX(Catálogo!B$4:B$1000,MATCH($A$1&amp;"|"&amp;6,Índice!$A$4:$A$1000,0)),"")</f>
        <v>Checklist Obs. Comportamental — Casa</v>
      </c>
      <c r="C9" s="6" t="str">
        <f aca="false">IFERROR(INDEX(Catálogo!C$4:C$1000,MATCH($A$1&amp;"|"&amp;6,Índice!$A$4:$A$1000,0)),"")</f>
        <v>Atenção, PHDA &amp; Funções Executivas</v>
      </c>
      <c r="D9" s="6" t="str">
        <f aca="false">IFERROR(INDEX(Catálogo!D$4:D$1000,MATCH($A$1&amp;"|"&amp;6,Índice!$A$4:$A$1000,0)),"")</f>
        <v>Mãe, Pai, Enc. Educação</v>
      </c>
      <c r="E9" s="6" t="str">
        <f aca="false">IFERROR(INDEX(Catálogo!E$4:E$1000,MATCH($A$1&amp;"|"&amp;6,Índice!$A$4:$A$1000,0)),"")</f>
        <v>Todas as idades</v>
      </c>
      <c r="F9" s="5" t="n">
        <f aca="false">IFERROR(INDEX(Catálogo!F$4:F$1000,MATCH($A$1&amp;"|"&amp;6,Índice!$A$4:$A$1000,0)),"")</f>
        <v>0</v>
      </c>
      <c r="G9" s="5" t="n">
        <f aca="false">IFERROR(INDEX(Catálogo!G$4:G$1000,MATCH($A$1&amp;"|"&amp;6,Índice!$A$4:$A$1000,0)),"")</f>
        <v>99</v>
      </c>
      <c r="H9" s="5" t="n">
        <f aca="false">IFERROR(INDEX(Catálogo!H$4:H$1000,MATCH($A$1&amp;"|"&amp;6,Índice!$A$4:$A$1000,0)),"")</f>
        <v>6</v>
      </c>
      <c r="I9" s="6" t="str">
        <f aca="false">IFERROR(INDEX(Catálogo!I$4:I$1000,MATCH($A$1&amp;"|"&amp;6,Índice!$A$4:$A$1000,0)),"")</f>
        <v>Registo diário de comportamento em contexto de casa — comparação com/sem medicação (atenção, regulação emocional, comportamento social, atividade motora, bem-estar, efeitos adversos)</v>
      </c>
      <c r="J9" s="6" t="str">
        <f aca="false">IFERROR(INDEX(Catálogo!J$4:J$1000,MATCH($A$1&amp;"|"&amp;6,Índice!$A$4:$A$1000,0)),"")</f>
        <v>Atenção &amp; Função Executiva; Regulação Emocional; Comportamento Social; Atividade Motora; Bem-estar; Efeitos Adversos</v>
      </c>
      <c r="K9" s="6" t="str">
        <f aca="false">IFERROR(INDEX(Catálogo!K$4:K$1000,MATCH($A$1&amp;"|"&amp;6,Índice!$A$4:$A$1000,0)),"")</f>
        <v>obs_phda_casa</v>
      </c>
      <c r="L9" s="6" t="str">
        <f aca="false">IFERROR(INDEX(Catálogo!L$4:L$1000,MATCH($A$1&amp;"|"&amp;6,Índice!$A$4:$A$1000,0)),"")</f>
        <v>q_obs_phda_casa</v>
      </c>
      <c r="M9" s="7" t="str">
        <f aca="false">IFERROR(INDEX(Catálogo!M$4:M$1000,MATCH($A$1&amp;"|"&amp;6,Índice!$A$4:$A$1000,0)),"")</f>
        <v>https://correiaricardina-ui.github.io/questionarios/checklist_obs_medicacao_PHDA_casa.html</v>
      </c>
    </row>
    <row r="10" customFormat="false" ht="42" hidden="false" customHeight="true" outlineLevel="0" collapsed="false">
      <c r="A10" s="5" t="n">
        <f aca="false">IFERROR(INDEX(Catálogo!A$4:A$1000,MATCH($A$1&amp;"|"&amp;7,Índice!$A$4:$A$1000,0)),"")</f>
        <v>35</v>
      </c>
      <c r="B10" s="6" t="str">
        <f aca="false">IFERROR(INDEX(Catálogo!B$4:B$1000,MATCH($A$1&amp;"|"&amp;7,Índice!$A$4:$A$1000,0)),"")</f>
        <v>Checklist Obs. Comportamental — Escola</v>
      </c>
      <c r="C10" s="6" t="str">
        <f aca="false">IFERROR(INDEX(Catálogo!C$4:C$1000,MATCH($A$1&amp;"|"&amp;7,Índice!$A$4:$A$1000,0)),"")</f>
        <v>Atenção, PHDA &amp; Funções Executivas</v>
      </c>
      <c r="D10" s="6" t="str">
        <f aca="false">IFERROR(INDEX(Catálogo!D$4:D$1000,MATCH($A$1&amp;"|"&amp;7,Índice!$A$4:$A$1000,0)),"")</f>
        <v>Professor(a), Educador(a)</v>
      </c>
      <c r="E10" s="6" t="str">
        <f aca="false">IFERROR(INDEX(Catálogo!E$4:E$1000,MATCH($A$1&amp;"|"&amp;7,Índice!$A$4:$A$1000,0)),"")</f>
        <v>Todas as idades</v>
      </c>
      <c r="F10" s="5" t="n">
        <f aca="false">IFERROR(INDEX(Catálogo!F$4:F$1000,MATCH($A$1&amp;"|"&amp;7,Índice!$A$4:$A$1000,0)),"")</f>
        <v>0</v>
      </c>
      <c r="G10" s="5" t="n">
        <f aca="false">IFERROR(INDEX(Catálogo!G$4:G$1000,MATCH($A$1&amp;"|"&amp;7,Índice!$A$4:$A$1000,0)),"")</f>
        <v>99</v>
      </c>
      <c r="H10" s="5" t="n">
        <f aca="false">IFERROR(INDEX(Catálogo!H$4:H$1000,MATCH($A$1&amp;"|"&amp;7,Índice!$A$4:$A$1000,0)),"")</f>
        <v>4</v>
      </c>
      <c r="I10" s="6" t="str">
        <f aca="false">IFERROR(INDEX(Catálogo!I$4:I$1000,MATCH($A$1&amp;"|"&amp;7,Índice!$A$4:$A$1000,0)),"")</f>
        <v>Registo diário de comportamento em contexto escolar — comparação com/sem medicação (atenção, regulação emocional, comportamento social, atividade motora)</v>
      </c>
      <c r="J10" s="6" t="str">
        <f aca="false">IFERROR(INDEX(Catálogo!J$4:J$1000,MATCH($A$1&amp;"|"&amp;7,Índice!$A$4:$A$1000,0)),"")</f>
        <v>Atenção &amp; Função Executiva; Regulação Emocional; Comportamento Social; Atividade Motora</v>
      </c>
      <c r="K10" s="6" t="str">
        <f aca="false">IFERROR(INDEX(Catálogo!K$4:K$1000,MATCH($A$1&amp;"|"&amp;7,Índice!$A$4:$A$1000,0)),"")</f>
        <v>obs_phda_escola</v>
      </c>
      <c r="L10" s="6" t="str">
        <f aca="false">IFERROR(INDEX(Catálogo!L$4:L$1000,MATCH($A$1&amp;"|"&amp;7,Índice!$A$4:$A$1000,0)),"")</f>
        <v>q_obs_phda_escola</v>
      </c>
      <c r="M10" s="7" t="str">
        <f aca="false">IFERROR(INDEX(Catálogo!M$4:M$1000,MATCH($A$1&amp;"|"&amp;7,Índice!$A$4:$A$1000,0)),"")</f>
        <v>https://correiaricardina-ui.github.io/questionarios/checklist_obs_medicacao_PHDA_escola.html</v>
      </c>
    </row>
    <row r="11" customFormat="false" ht="42" hidden="false" customHeight="true" outlineLevel="0" collapsed="false">
      <c r="A11" s="5" t="n">
        <f aca="false">IFERROR(INDEX(Catálogo!A$4:A$1000,MATCH($A$1&amp;"|"&amp;8,Índice!$A$4:$A$1000,0)),"")</f>
        <v>43</v>
      </c>
      <c r="B11" s="6" t="str">
        <f aca="false">IFERROR(INDEX(Catálogo!B$4:B$1000,MATCH($A$1&amp;"|"&amp;8,Índice!$A$4:$A$1000,0)),"")</f>
        <v>Conners 3-P — Pais (Completa)</v>
      </c>
      <c r="C11" s="6" t="str">
        <f aca="false">IFERROR(INDEX(Catálogo!C$4:C$1000,MATCH($A$1&amp;"|"&amp;8,Índice!$A$4:$A$1000,0)),"")</f>
        <v>Atenção, PHDA &amp; Funções Executivas</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10</v>
      </c>
      <c r="I11" s="6" t="str">
        <f aca="false">IFERROR(INDEX(Catálogo!I$4:I$1000,MATCH($A$1&amp;"|"&amp;8,Índice!$A$4:$A$1000,0)),"")</f>
        <v>Avalia sintomas de PHDA, aprendizagem e comportamento — versão pais completa (110 itens)</v>
      </c>
      <c r="J11" s="6" t="str">
        <f aca="false">IFERROR(INDEX(Catálogo!J$4:J$1000,MATCH($A$1&amp;"|"&amp;8,Índice!$A$4:$A$1000,0)),"")</f>
        <v>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v>
      </c>
      <c r="K11" s="6" t="str">
        <f aca="false">IFERROR(INDEX(Catálogo!K$4:K$1000,MATCH($A$1&amp;"|"&amp;8,Índice!$A$4:$A$1000,0)),"")</f>
        <v>conners3p_full</v>
      </c>
      <c r="L11" s="6" t="str">
        <f aca="false">IFERROR(INDEX(Catálogo!L$4:L$1000,MATCH($A$1&amp;"|"&amp;8,Índice!$A$4:$A$1000,0)),"")</f>
        <v>q_conners3p_full</v>
      </c>
      <c r="M11" s="7" t="str">
        <f aca="false">IFERROR(INDEX(Catálogo!M$4:M$1000,MATCH($A$1&amp;"|"&amp;8,Índice!$A$4:$A$1000,0)),"")</f>
        <v>https://correiaricardina-ui.github.io/questionarios/Conners3_Pais_Full.html</v>
      </c>
    </row>
    <row r="12" customFormat="false" ht="42" hidden="false" customHeight="true" outlineLevel="0" collapsed="false">
      <c r="A12" s="5" t="n">
        <f aca="false">IFERROR(INDEX(Catálogo!A$4:A$1000,MATCH($A$1&amp;"|"&amp;9,Índice!$A$4:$A$1000,0)),"")</f>
        <v>44</v>
      </c>
      <c r="B12" s="6" t="str">
        <f aca="false">IFERROR(INDEX(Catálogo!B$4:B$1000,MATCH($A$1&amp;"|"&amp;9,Índice!$A$4:$A$1000,0)),"")</f>
        <v>Conners 3-P(S) — Pais (Curta)</v>
      </c>
      <c r="C12" s="6" t="str">
        <f aca="false">IFERROR(INDEX(Catálogo!C$4:C$1000,MATCH($A$1&amp;"|"&amp;9,Índice!$A$4:$A$1000,0)),"")</f>
        <v>Atenção, PHDA &amp; Funções Executivas</v>
      </c>
      <c r="D12" s="6" t="str">
        <f aca="false">IFERROR(INDEX(Catálogo!D$4:D$1000,MATCH($A$1&amp;"|"&amp;9,Índice!$A$4:$A$1000,0)),"")</f>
        <v>Mãe, Pai, Enc. Educação</v>
      </c>
      <c r="E12" s="6" t="str">
        <f aca="false">IFERROR(INDEX(Catálogo!E$4:E$1000,MATCH($A$1&amp;"|"&amp;9,Índice!$A$4:$A$1000,0)),"")</f>
        <v>6–18 anos</v>
      </c>
      <c r="F12" s="5" t="n">
        <f aca="false">IFERROR(INDEX(Catálogo!F$4:F$1000,MATCH($A$1&amp;"|"&amp;9,Índice!$A$4:$A$1000,0)),"")</f>
        <v>6</v>
      </c>
      <c r="G12" s="5" t="n">
        <f aca="false">IFERROR(INDEX(Catálogo!G$4:G$1000,MATCH($A$1&amp;"|"&amp;9,Índice!$A$4:$A$1000,0)),"")</f>
        <v>17.9</v>
      </c>
      <c r="H12" s="5" t="n">
        <f aca="false">IFERROR(INDEX(Catálogo!H$4:H$1000,MATCH($A$1&amp;"|"&amp;9,Índice!$A$4:$A$1000,0)),"")</f>
        <v>6</v>
      </c>
      <c r="I12" s="6" t="str">
        <f aca="false">IFERROR(INDEX(Catálogo!I$4:I$1000,MATCH($A$1&amp;"|"&amp;9,Índice!$A$4:$A$1000,0)),"")</f>
        <v>Avalia sintomas de PHDA, aprendizagem e comportamento — versão pais curta (45 itens)</v>
      </c>
      <c r="J12" s="6" t="str">
        <f aca="false">IFERROR(INDEX(Catálogo!J$4:J$1000,MATCH($A$1&amp;"|"&amp;9,Índice!$A$4:$A$1000,0)),"")</f>
        <v>Desatenção (IN); Hiperatividade/Impulsividade (HI); Problemas de Aprendizagem (LP); Funções Executivas (EF); Agressão (AG); Relações com os Pares (PR)</v>
      </c>
      <c r="K12" s="6" t="str">
        <f aca="false">IFERROR(INDEX(Catálogo!K$4:K$1000,MATCH($A$1&amp;"|"&amp;9,Índice!$A$4:$A$1000,0)),"")</f>
        <v>conners3ps</v>
      </c>
      <c r="L12" s="6" t="str">
        <f aca="false">IFERROR(INDEX(Catálogo!L$4:L$1000,MATCH($A$1&amp;"|"&amp;9,Índice!$A$4:$A$1000,0)),"")</f>
        <v>q_conners3ps</v>
      </c>
      <c r="M12" s="7" t="str">
        <f aca="false">IFERROR(INDEX(Catálogo!M$4:M$1000,MATCH($A$1&amp;"|"&amp;9,Índice!$A$4:$A$1000,0)),"")</f>
        <v>https://correiaricardina-ui.github.io/questionarios/Conners3_Pais_Short.html</v>
      </c>
    </row>
    <row r="13" customFormat="false" ht="42" hidden="false" customHeight="true" outlineLevel="0" collapsed="false">
      <c r="A13" s="5" t="n">
        <f aca="false">IFERROR(INDEX(Catálogo!A$4:A$1000,MATCH($A$1&amp;"|"&amp;10,Índice!$A$4:$A$1000,0)),"")</f>
        <v>45</v>
      </c>
      <c r="B13" s="6" t="str">
        <f aca="false">IFERROR(INDEX(Catálogo!B$4:B$1000,MATCH($A$1&amp;"|"&amp;10,Índice!$A$4:$A$1000,0)),"")</f>
        <v>Conners 3-T — Professores (Completa)</v>
      </c>
      <c r="C13" s="6" t="str">
        <f aca="false">IFERROR(INDEX(Catálogo!C$4:C$1000,MATCH($A$1&amp;"|"&amp;10,Índice!$A$4:$A$1000,0)),"")</f>
        <v>Atenção, PHDA &amp; Funções Executivas</v>
      </c>
      <c r="D13" s="6" t="str">
        <f aca="false">IFERROR(INDEX(Catálogo!D$4:D$1000,MATCH($A$1&amp;"|"&amp;10,Índice!$A$4:$A$1000,0)),"")</f>
        <v>Professor(a)</v>
      </c>
      <c r="E13" s="6" t="str">
        <f aca="false">IFERROR(INDEX(Catálogo!E$4:E$1000,MATCH($A$1&amp;"|"&amp;10,Índice!$A$4:$A$1000,0)),"")</f>
        <v>6–18 anos</v>
      </c>
      <c r="F13" s="5" t="n">
        <f aca="false">IFERROR(INDEX(Catálogo!F$4:F$1000,MATCH($A$1&amp;"|"&amp;10,Índice!$A$4:$A$1000,0)),"")</f>
        <v>6</v>
      </c>
      <c r="G13" s="5" t="n">
        <f aca="false">IFERROR(INDEX(Catálogo!G$4:G$1000,MATCH($A$1&amp;"|"&amp;10,Índice!$A$4:$A$1000,0)),"")</f>
        <v>17.9</v>
      </c>
      <c r="H13" s="5" t="n">
        <f aca="false">IFERROR(INDEX(Catálogo!H$4:H$1000,MATCH($A$1&amp;"|"&amp;10,Índice!$A$4:$A$1000,0)),"")</f>
        <v>9</v>
      </c>
      <c r="I13" s="6" t="str">
        <f aca="false">IFERROR(INDEX(Catálogo!I$4:I$1000,MATCH($A$1&amp;"|"&amp;10,Índice!$A$4:$A$1000,0)),"")</f>
        <v>Avalia sintomas de PHDA, aprendizagem e comportamento — versão professores completa (115 itens)</v>
      </c>
      <c r="J13" s="6" t="str">
        <f aca="false">IFERROR(INDEX(Catálogo!J$4:J$1000,MATCH($A$1&amp;"|"&amp;10,Índice!$A$4:$A$1000,0)),"")</f>
        <v>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v>
      </c>
      <c r="K13" s="6" t="str">
        <f aca="false">IFERROR(INDEX(Catálogo!K$4:K$1000,MATCH($A$1&amp;"|"&amp;10,Índice!$A$4:$A$1000,0)),"")</f>
        <v>conners3t_full</v>
      </c>
      <c r="L13" s="6" t="str">
        <f aca="false">IFERROR(INDEX(Catálogo!L$4:L$1000,MATCH($A$1&amp;"|"&amp;10,Índice!$A$4:$A$1000,0)),"")</f>
        <v>q_conners3t_full</v>
      </c>
      <c r="M13" s="7" t="str">
        <f aca="false">IFERROR(INDEX(Catálogo!M$4:M$1000,MATCH($A$1&amp;"|"&amp;10,Índice!$A$4:$A$1000,0)),"")</f>
        <v>https://correiaricardina-ui.github.io/questionarios/Conners3_Professores_Full.html</v>
      </c>
    </row>
    <row r="14" customFormat="false" ht="42" hidden="false" customHeight="true" outlineLevel="0" collapsed="false">
      <c r="A14" s="5" t="n">
        <f aca="false">IFERROR(INDEX(Catálogo!A$4:A$1000,MATCH($A$1&amp;"|"&amp;11,Índice!$A$4:$A$1000,0)),"")</f>
        <v>46</v>
      </c>
      <c r="B14" s="6" t="str">
        <f aca="false">IFERROR(INDEX(Catálogo!B$4:B$1000,MATCH($A$1&amp;"|"&amp;11,Índice!$A$4:$A$1000,0)),"")</f>
        <v>Conners 3-T(S) — Professores (Curta)</v>
      </c>
      <c r="C14" s="6" t="str">
        <f aca="false">IFERROR(INDEX(Catálogo!C$4:C$1000,MATCH($A$1&amp;"|"&amp;11,Índice!$A$4:$A$1000,0)),"")</f>
        <v>Atenção, PHDA &amp; Funções Executivas</v>
      </c>
      <c r="D14" s="6" t="str">
        <f aca="false">IFERROR(INDEX(Catálogo!D$4:D$1000,MATCH($A$1&amp;"|"&amp;11,Índice!$A$4:$A$1000,0)),"")</f>
        <v>Professor(a)</v>
      </c>
      <c r="E14" s="6" t="str">
        <f aca="false">IFERROR(INDEX(Catálogo!E$4:E$1000,MATCH($A$1&amp;"|"&amp;11,Índice!$A$4:$A$1000,0)),"")</f>
        <v>6–18 anos</v>
      </c>
      <c r="F14" s="5" t="n">
        <f aca="false">IFERROR(INDEX(Catálogo!F$4:F$1000,MATCH($A$1&amp;"|"&amp;11,Índice!$A$4:$A$1000,0)),"")</f>
        <v>6</v>
      </c>
      <c r="G14" s="5" t="n">
        <f aca="false">IFERROR(INDEX(Catálogo!G$4:G$1000,MATCH($A$1&amp;"|"&amp;11,Índice!$A$4:$A$1000,0)),"")</f>
        <v>17.9</v>
      </c>
      <c r="H14" s="5" t="n">
        <f aca="false">IFERROR(INDEX(Catálogo!H$4:H$1000,MATCH($A$1&amp;"|"&amp;11,Índice!$A$4:$A$1000,0)),"")</f>
        <v>5</v>
      </c>
      <c r="I14" s="6" t="str">
        <f aca="false">IFERROR(INDEX(Catálogo!I$4:I$1000,MATCH($A$1&amp;"|"&amp;11,Índice!$A$4:$A$1000,0)),"")</f>
        <v>Avalia sintomas de PHDA, aprendizagem e comportamento — versão professores curta (41 itens)</v>
      </c>
      <c r="J14" s="6" t="str">
        <f aca="false">IFERROR(INDEX(Catálogo!J$4:J$1000,MATCH($A$1&amp;"|"&amp;11,Índice!$A$4:$A$1000,0)),"")</f>
        <v>Desatenção (IN); Hiperatividade/Impulsividade (HI); Aprendizagem e Funções Executivas (LPEF); Agressão (AG); Relações com os Pares (PR)</v>
      </c>
      <c r="K14" s="6" t="str">
        <f aca="false">IFERROR(INDEX(Catálogo!K$4:K$1000,MATCH($A$1&amp;"|"&amp;11,Índice!$A$4:$A$1000,0)),"")</f>
        <v>conners3ts</v>
      </c>
      <c r="L14" s="6" t="str">
        <f aca="false">IFERROR(INDEX(Catálogo!L$4:L$1000,MATCH($A$1&amp;"|"&amp;11,Índice!$A$4:$A$1000,0)),"")</f>
        <v>q_conners3ts</v>
      </c>
      <c r="M14" s="7" t="str">
        <f aca="false">IFERROR(INDEX(Catálogo!M$4:M$1000,MATCH($A$1&amp;"|"&amp;11,Índice!$A$4:$A$1000,0)),"")</f>
        <v>https://correiaricardina-ui.github.io/questionarios/Conners3_Professores_Short.html</v>
      </c>
    </row>
    <row r="15" customFormat="false" ht="42" hidden="false" customHeight="true" outlineLevel="0" collapsed="false">
      <c r="A15" s="5" t="n">
        <f aca="false">IFERROR(INDEX(Catálogo!A$4:A$1000,MATCH($A$1&amp;"|"&amp;12,Índice!$A$4:$A$1000,0)),"")</f>
        <v>55</v>
      </c>
      <c r="B15" s="6" t="str">
        <f aca="false">IFERROR(INDEX(Catálogo!B$4:B$1000,MATCH($A$1&amp;"|"&amp;12,Índice!$A$4:$A$1000,0)),"")</f>
        <v>DIVA-5</v>
      </c>
      <c r="C15" s="6" t="str">
        <f aca="false">IFERROR(INDEX(Catálogo!C$4:C$1000,MATCH($A$1&amp;"|"&amp;12,Índice!$A$4:$A$1000,0)),"")</f>
        <v>Atenção, PHDA &amp; Funções Executivas</v>
      </c>
      <c r="D15" s="6" t="str">
        <f aca="false">IFERROR(INDEX(Catálogo!D$4:D$1000,MATCH($A$1&amp;"|"&amp;12,Índice!$A$4:$A$1000,0)),"")</f>
        <v>Paciente, Cônjuge/Parceiro(a), Mãe, Pai, Enc. Educação, Clínico</v>
      </c>
      <c r="E15" s="6" t="str">
        <f aca="false">IFERROR(INDEX(Catálogo!E$4:E$1000,MATCH($A$1&amp;"|"&amp;12,Índice!$A$4:$A$1000,0)),"")</f>
        <v>5 anos+</v>
      </c>
      <c r="F15" s="5" t="n">
        <f aca="false">IFERROR(INDEX(Catálogo!F$4:F$1000,MATCH($A$1&amp;"|"&amp;12,Índice!$A$4:$A$1000,0)),"")</f>
        <v>5</v>
      </c>
      <c r="G15" s="5" t="n">
        <f aca="false">IFERROR(INDEX(Catálogo!G$4:G$1000,MATCH($A$1&amp;"|"&amp;12,Índice!$A$4:$A$1000,0)),"")</f>
        <v>99</v>
      </c>
      <c r="H15" s="5" t="n">
        <f aca="false">IFERROR(INDEX(Catálogo!H$4:H$1000,MATCH($A$1&amp;"|"&amp;12,Índice!$A$4:$A$1000,0)),"")</f>
        <v>11</v>
      </c>
      <c r="I15" s="6" t="str">
        <f aca="false">IFERROR(INDEX(Catálogo!I$4:I$1000,MATCH($A$1&amp;"|"&amp;12,Índice!$A$4:$A$1000,0)),"")</f>
        <v>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v>
      </c>
      <c r="J15" s="6" t="str">
        <f aca="false">IFERROR(INDEX(Catálogo!J$4:J$1000,MATCH($A$1&amp;"|"&amp;12,Índice!$A$4:$A$1000,0)),"")</f>
        <v>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v>
      </c>
      <c r="K15" s="6" t="str">
        <f aca="false">IFERROR(INDEX(Catálogo!K$4:K$1000,MATCH($A$1&amp;"|"&amp;12,Índice!$A$4:$A$1000,0)),"")</f>
        <v>diva5</v>
      </c>
      <c r="L15" s="6" t="str">
        <f aca="false">IFERROR(INDEX(Catálogo!L$4:L$1000,MATCH($A$1&amp;"|"&amp;12,Índice!$A$4:$A$1000,0)),"")</f>
        <v>q_diva5</v>
      </c>
      <c r="M15" s="7" t="str">
        <f aca="false">IFERROR(INDEX(Catálogo!M$4:M$1000,MATCH($A$1&amp;"|"&amp;12,Índice!$A$4:$A$1000,0)),"")</f>
        <v>https://correiaricardina-ui.github.io/questionarios/DIVA5_v1.html</v>
      </c>
    </row>
    <row r="16" customFormat="false" ht="42" hidden="false" customHeight="true" outlineLevel="0" collapsed="false">
      <c r="A16" s="5" t="n">
        <f aca="false">IFERROR(INDEX(Catálogo!A$4:A$1000,MATCH($A$1&amp;"|"&amp;13,Índice!$A$4:$A$1000,0)),"")</f>
        <v>137</v>
      </c>
      <c r="B16" s="6" t="str">
        <f aca="false">IFERROR(INDEX(Catálogo!B$4:B$1000,MATCH($A$1&amp;"|"&amp;13,Índice!$A$4:$A$1000,0)),"")</f>
        <v>SNAP-IV — Escala de Sintomas de PHDA (Versão Reduzida, DSM-IV)</v>
      </c>
      <c r="C16" s="6" t="str">
        <f aca="false">IFERROR(INDEX(Catálogo!C$4:C$1000,MATCH($A$1&amp;"|"&amp;13,Índice!$A$4:$A$1000,0)),"")</f>
        <v>Atenção, PHDA &amp; Funções Executivas</v>
      </c>
      <c r="D16" s="6" t="str">
        <f aca="false">IFERROR(INDEX(Catálogo!D$4:D$1000,MATCH($A$1&amp;"|"&amp;13,Índice!$A$4:$A$1000,0)),"")</f>
        <v>Mãe, Pai, Enc. Educação, Professor(a)</v>
      </c>
      <c r="E16" s="6" t="str">
        <f aca="false">IFERROR(INDEX(Catálogo!E$4:E$1000,MATCH($A$1&amp;"|"&amp;13,Índice!$A$4:$A$1000,0)),"")</f>
        <v>5–11 anos</v>
      </c>
      <c r="F16" s="5" t="n">
        <f aca="false">IFERROR(INDEX(Catálogo!F$4:F$1000,MATCH($A$1&amp;"|"&amp;13,Índice!$A$4:$A$1000,0)),"")</f>
        <v>5</v>
      </c>
      <c r="G16" s="5" t="n">
        <f aca="false">IFERROR(INDEX(Catálogo!G$4:G$1000,MATCH($A$1&amp;"|"&amp;13,Índice!$A$4:$A$1000,0)),"")</f>
        <v>11</v>
      </c>
      <c r="H16" s="5" t="n">
        <f aca="false">IFERROR(INDEX(Catálogo!H$4:H$1000,MATCH($A$1&amp;"|"&amp;13,Índice!$A$4:$A$1000,0)),"")</f>
        <v>3</v>
      </c>
      <c r="I16" s="6" t="str">
        <f aca="false">IFERROR(INDEX(Catálogo!I$4:I$1000,MATCH($A$1&amp;"|"&amp;13,Índice!$A$4:$A$1000,0)),"")</f>
        <v>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v>
      </c>
      <c r="J16" s="6" t="str">
        <f aca="false">IFERROR(INDEX(Catálogo!J$4:J$1000,MATCH($A$1&amp;"|"&amp;13,Índice!$A$4:$A$1000,0)),"")</f>
        <v>Desatenção (itens 1–9); Hiperatividade-Impulsividade (itens 10–18); Combinada / PHDA (itens 1–18)</v>
      </c>
      <c r="K16" s="6" t="str">
        <f aca="false">IFERROR(INDEX(Catálogo!K$4:K$1000,MATCH($A$1&amp;"|"&amp;13,Índice!$A$4:$A$1000,0)),"")</f>
        <v>snapiv</v>
      </c>
      <c r="L16" s="6" t="str">
        <f aca="false">IFERROR(INDEX(Catálogo!L$4:L$1000,MATCH($A$1&amp;"|"&amp;13,Índice!$A$4:$A$1000,0)),"")</f>
        <v>q_snapiv</v>
      </c>
      <c r="M16" s="7" t="str">
        <f aca="false">IFERROR(INDEX(Catálogo!M$4:M$1000,MATCH($A$1&amp;"|"&amp;13,Índice!$A$4:$A$1000,0)),"")</f>
        <v>https://correiaricardina-ui.github.io/questionarios/SNAP_IV_v1.html</v>
      </c>
    </row>
    <row r="17" customFormat="false" ht="42" hidden="false" customHeight="true" outlineLevel="0" collapsed="false">
      <c r="A17" s="5" t="n">
        <f aca="false">IFERROR(INDEX(Catálogo!A$4:A$1000,MATCH($A$1&amp;"|"&amp;14,Índice!$A$4:$A$1000,0)),"")</f>
        <v>150</v>
      </c>
      <c r="B17" s="6" t="str">
        <f aca="false">IFERROR(INDEX(Catálogo!B$4:B$1000,MATCH($A$1&amp;"|"&amp;14,Índice!$A$4:$A$1000,0)),"")</f>
        <v>SWAN</v>
      </c>
      <c r="C17" s="6" t="str">
        <f aca="false">IFERROR(INDEX(Catálogo!C$4:C$1000,MATCH($A$1&amp;"|"&amp;14,Índice!$A$4:$A$1000,0)),"")</f>
        <v>Atenção, PHDA &amp; Funções Executivas</v>
      </c>
      <c r="D17" s="6" t="str">
        <f aca="false">IFERROR(INDEX(Catálogo!D$4:D$1000,MATCH($A$1&amp;"|"&amp;14,Índice!$A$4:$A$1000,0)),"")</f>
        <v>Pais, Mãe, Pai, Enc. Educação, Professor(a)</v>
      </c>
      <c r="E17" s="6" t="str">
        <f aca="false">IFERROR(INDEX(Catálogo!E$4:E$1000,MATCH($A$1&amp;"|"&amp;14,Índice!$A$4:$A$1000,0)),"")</f>
        <v>6–18 anos</v>
      </c>
      <c r="F17" s="5" t="n">
        <f aca="false">IFERROR(INDEX(Catálogo!F$4:F$1000,MATCH($A$1&amp;"|"&amp;14,Índice!$A$4:$A$1000,0)),"")</f>
        <v>6</v>
      </c>
      <c r="G17" s="5" t="n">
        <f aca="false">IFERROR(INDEX(Catálogo!G$4:G$1000,MATCH($A$1&amp;"|"&amp;14,Índice!$A$4:$A$1000,0)),"")</f>
        <v>17.9</v>
      </c>
      <c r="H17" s="5" t="n">
        <f aca="false">IFERROR(INDEX(Catálogo!H$4:H$1000,MATCH($A$1&amp;"|"&amp;14,Índice!$A$4:$A$1000,0)),"")</f>
        <v>2</v>
      </c>
      <c r="I17" s="6" t="str">
        <f aca="false">IFERROR(INDEX(Catálogo!I$4:I$1000,MATCH($A$1&amp;"|"&amp;14,Índice!$A$4:$A$1000,0)),"")</f>
        <v>Avaliar sintomas de PHDA em contexto dimensional</v>
      </c>
      <c r="J17" s="6" t="str">
        <f aca="false">IFERROR(INDEX(Catálogo!J$4:J$1000,MATCH($A$1&amp;"|"&amp;14,Índice!$A$4:$A$1000,0)),"")</f>
        <v>Desatenção; Hiperatividade-Impulsividade</v>
      </c>
      <c r="K17" s="6" t="str">
        <f aca="false">IFERROR(INDEX(Catálogo!K$4:K$1000,MATCH($A$1&amp;"|"&amp;14,Índice!$A$4:$A$1000,0)),"")</f>
        <v>swan</v>
      </c>
      <c r="L17" s="6" t="str">
        <f aca="false">IFERROR(INDEX(Catálogo!L$4:L$1000,MATCH($A$1&amp;"|"&amp;14,Índice!$A$4:$A$1000,0)),"")</f>
        <v>q_swan</v>
      </c>
      <c r="M17" s="7" t="str">
        <f aca="false">IFERROR(INDEX(Catálogo!M$4:M$1000,MATCH($A$1&amp;"|"&amp;14,Índice!$A$4:$A$1000,0)),"")</f>
        <v>https://correiaricardina-ui.github.io/questionarios/SWAN_v1.html</v>
      </c>
    </row>
    <row r="18" customFormat="false" ht="42" hidden="false" customHeight="true" outlineLevel="0" collapsed="false">
      <c r="A18" s="5" t="n">
        <f aca="false">IFERROR(INDEX(Catálogo!A$4:A$1000,MATCH($A$1&amp;"|"&amp;15,Índice!$A$4:$A$1000,0)),"")</f>
        <v>182</v>
      </c>
      <c r="B18" s="6" t="str">
        <f aca="false">IFERROR(INDEX(Catálogo!B$4:B$1000,MATCH($A$1&amp;"|"&amp;15,Índice!$A$4:$A$1000,0)),"")</f>
        <v>BRIEF-A — Autorrelato</v>
      </c>
      <c r="C18" s="6" t="str">
        <f aca="false">IFERROR(INDEX(Catálogo!C$4:C$1000,MATCH($A$1&amp;"|"&amp;15,Índice!$A$4:$A$1000,0)),"")</f>
        <v>Atenção, PHDA &amp; Funções Executivas</v>
      </c>
      <c r="D18" s="6" t="str">
        <f aca="false">IFERROR(INDEX(Catálogo!D$4:D$1000,MATCH($A$1&amp;"|"&amp;15,Índice!$A$4:$A$1000,0)),"")</f>
        <v>Paciente</v>
      </c>
      <c r="E18" s="6" t="str">
        <f aca="false">IFERROR(INDEX(Catálogo!E$4:E$1000,MATCH($A$1&amp;"|"&amp;15,Índice!$A$4:$A$1000,0)),"")</f>
        <v>18–90 anos</v>
      </c>
      <c r="F18" s="5" t="n">
        <f aca="false">IFERROR(INDEX(Catálogo!F$4:F$1000,MATCH($A$1&amp;"|"&amp;15,Índice!$A$4:$A$1000,0)),"")</f>
        <v>18</v>
      </c>
      <c r="G18" s="5" t="n">
        <f aca="false">IFERROR(INDEX(Catálogo!G$4:G$1000,MATCH($A$1&amp;"|"&amp;15,Índice!$A$4:$A$1000,0)),"")</f>
        <v>90</v>
      </c>
      <c r="H18" s="5" t="n">
        <f aca="false">IFERROR(INDEX(Catálogo!H$4:H$1000,MATCH($A$1&amp;"|"&amp;15,Índice!$A$4:$A$1000,0)),"")</f>
        <v>14</v>
      </c>
      <c r="I18" s="6" t="str">
        <f aca="false">IFERROR(INDEX(Catálogo!I$4:I$1000,MATCH($A$1&amp;"|"&amp;15,Índice!$A$4:$A$1000,0)),"")</f>
        <v>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v>
      </c>
      <c r="J18" s="6" t="str">
        <f aca="false">IFERROR(INDEX(Catálogo!J$4:J$1000,MATCH($A$1&amp;"|"&amp;15,Índice!$A$4:$A$1000,0)),"")</f>
        <v>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v>
      </c>
      <c r="K18" s="6" t="str">
        <f aca="false">IFERROR(INDEX(Catálogo!K$4:K$1000,MATCH($A$1&amp;"|"&amp;15,Índice!$A$4:$A$1000,0)),"")</f>
        <v>brief_a_auto</v>
      </c>
      <c r="L18" s="6" t="str">
        <f aca="false">IFERROR(INDEX(Catálogo!L$4:L$1000,MATCH($A$1&amp;"|"&amp;15,Índice!$A$4:$A$1000,0)),"")</f>
        <v>q_brief_a_auto</v>
      </c>
      <c r="M18" s="7" t="str">
        <f aca="false">IFERROR(INDEX(Catálogo!M$4:M$1000,MATCH($A$1&amp;"|"&amp;15,Índice!$A$4:$A$1000,0)),"")</f>
        <v>https://correiaricardina-ui.github.io/questionarios/BRIEF_A_Autorrelato_v1.html</v>
      </c>
    </row>
    <row r="19" customFormat="false" ht="42" hidden="false" customHeight="true" outlineLevel="0" collapsed="false">
      <c r="A19" s="5" t="n">
        <f aca="false">IFERROR(INDEX(Catálogo!A$4:A$1000,MATCH($A$1&amp;"|"&amp;16,Índice!$A$4:$A$1000,0)),"")</f>
        <v>183</v>
      </c>
      <c r="B19" s="6" t="str">
        <f aca="false">IFERROR(INDEX(Catálogo!B$4:B$1000,MATCH($A$1&amp;"|"&amp;16,Índice!$A$4:$A$1000,0)),"")</f>
        <v>BRIEF-A — Informante</v>
      </c>
      <c r="C19" s="6" t="str">
        <f aca="false">IFERROR(INDEX(Catálogo!C$4:C$1000,MATCH($A$1&amp;"|"&amp;16,Índice!$A$4:$A$1000,0)),"")</f>
        <v>Atenção, PHDA &amp; Funções Executivas</v>
      </c>
      <c r="D19" s="6" t="str">
        <f aca="false">IFERROR(INDEX(Catálogo!D$4:D$1000,MATCH($A$1&amp;"|"&amp;16,Índice!$A$4:$A$1000,0)),"")</f>
        <v>Mãe, Pai, Outro</v>
      </c>
      <c r="E19" s="6" t="str">
        <f aca="false">IFERROR(INDEX(Catálogo!E$4:E$1000,MATCH($A$1&amp;"|"&amp;16,Índice!$A$4:$A$1000,0)),"")</f>
        <v>18–90 anos</v>
      </c>
      <c r="F19" s="5" t="n">
        <f aca="false">IFERROR(INDEX(Catálogo!F$4:F$1000,MATCH($A$1&amp;"|"&amp;16,Índice!$A$4:$A$1000,0)),"")</f>
        <v>18</v>
      </c>
      <c r="G19" s="5" t="n">
        <f aca="false">IFERROR(INDEX(Catálogo!G$4:G$1000,MATCH($A$1&amp;"|"&amp;16,Índice!$A$4:$A$1000,0)),"")</f>
        <v>90</v>
      </c>
      <c r="H19" s="5" t="n">
        <f aca="false">IFERROR(INDEX(Catálogo!H$4:H$1000,MATCH($A$1&amp;"|"&amp;16,Índice!$A$4:$A$1000,0)),"")</f>
        <v>14</v>
      </c>
      <c r="I19" s="6" t="str">
        <f aca="false">IFERROR(INDEX(Catálogo!I$4:I$1000,MATCH($A$1&amp;"|"&amp;16,Índice!$A$4:$A$1000,0)),"")</f>
        <v>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v>
      </c>
      <c r="J19" s="6" t="str">
        <f aca="false">IFERROR(INDEX(Catálogo!J$4:J$1000,MATCH($A$1&amp;"|"&amp;16,Índice!$A$4:$A$1000,0)),"")</f>
        <v>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v>
      </c>
      <c r="K19" s="6" t="str">
        <f aca="false">IFERROR(INDEX(Catálogo!K$4:K$1000,MATCH($A$1&amp;"|"&amp;16,Índice!$A$4:$A$1000,0)),"")</f>
        <v>brief_a_inf</v>
      </c>
      <c r="L19" s="6" t="str">
        <f aca="false">IFERROR(INDEX(Catálogo!L$4:L$1000,MATCH($A$1&amp;"|"&amp;16,Índice!$A$4:$A$1000,0)),"")</f>
        <v>q_brief_a_inf</v>
      </c>
      <c r="M19" s="7" t="str">
        <f aca="false">IFERROR(INDEX(Catálogo!M$4:M$1000,MATCH($A$1&amp;"|"&amp;16,Índice!$A$4:$A$1000,0)),"")</f>
        <v>https://correiaricardina-ui.github.io/questionarios/BRIEF_A_Informante_v1.html</v>
      </c>
    </row>
    <row r="20" customFormat="false" ht="42" hidden="false" customHeight="true" outlineLevel="0" collapsed="false">
      <c r="A20" s="5" t="n">
        <f aca="false">IFERROR(INDEX(Catálogo!A$4:A$1000,MATCH($A$1&amp;"|"&amp;17,Índice!$A$4:$A$1000,0)),"")</f>
        <v>190</v>
      </c>
      <c r="B20" s="6" t="str">
        <f aca="false">IFERROR(INDEX(Catálogo!B$4:B$1000,MATCH($A$1&amp;"|"&amp;17,Índice!$A$4:$A$1000,0)),"")</f>
        <v>CAARS–S:L — Conners’ Adult ADHD Rating Scales (forma longa, auto-relato)</v>
      </c>
      <c r="C20" s="6" t="str">
        <f aca="false">IFERROR(INDEX(Catálogo!C$4:C$1000,MATCH($A$1&amp;"|"&amp;17,Índice!$A$4:$A$1000,0)),"")</f>
        <v>Atenção, PHDA &amp; Funções Executivas</v>
      </c>
      <c r="D20" s="6" t="str">
        <f aca="false">IFERROR(INDEX(Catálogo!D$4:D$1000,MATCH($A$1&amp;"|"&amp;17,Índice!$A$4:$A$1000,0)),"")</f>
        <v>Próprio</v>
      </c>
      <c r="E20" s="6" t="str">
        <f aca="false">IFERROR(INDEX(Catálogo!E$4:E$1000,MATCH($A$1&amp;"|"&amp;17,Índice!$A$4:$A$1000,0)),"")</f>
        <v>18–99 anos</v>
      </c>
      <c r="F20" s="5" t="n">
        <f aca="false">IFERROR(INDEX(Catálogo!F$4:F$1000,MATCH($A$1&amp;"|"&amp;17,Índice!$A$4:$A$1000,0)),"")</f>
        <v>18</v>
      </c>
      <c r="G20" s="5" t="n">
        <f aca="false">IFERROR(INDEX(Catálogo!G$4:G$1000,MATCH($A$1&amp;"|"&amp;17,Índice!$A$4:$A$1000,0)),"")</f>
        <v>99</v>
      </c>
      <c r="H20" s="5" t="n">
        <f aca="false">IFERROR(INDEX(Catálogo!H$4:H$1000,MATCH($A$1&amp;"|"&amp;17,Índice!$A$4:$A$1000,0)),"")</f>
        <v>12</v>
      </c>
      <c r="I20" s="6" t="str">
        <f aca="false">IFERROR(INDEX(Catálogo!I$4:I$1000,MATCH($A$1&amp;"|"&amp;17,Índice!$A$4:$A$1000,0)),"")</f>
        <v>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v>
      </c>
      <c r="J20" s="6" t="str">
        <f aca="false">IFERROR(INDEX(Catálogo!J$4:J$1000,MATCH($A$1&amp;"|"&amp;17,Índice!$A$4:$A$1000,0)),"")</f>
        <v>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v>
      </c>
      <c r="K20" s="6" t="str">
        <f aca="false">IFERROR(INDEX(Catálogo!K$4:K$1000,MATCH($A$1&amp;"|"&amp;17,Índice!$A$4:$A$1000,0)),"")</f>
        <v>caars_sl</v>
      </c>
      <c r="L20" s="6" t="str">
        <f aca="false">IFERROR(INDEX(Catálogo!L$4:L$1000,MATCH($A$1&amp;"|"&amp;17,Índice!$A$4:$A$1000,0)),"")</f>
        <v>q_caars_sl</v>
      </c>
      <c r="M20" s="7" t="str">
        <f aca="false">IFERROR(INDEX(Catálogo!M$4:M$1000,MATCH($A$1&amp;"|"&amp;17,Índice!$A$4:$A$1000,0)),"")</f>
        <v>https://correiaricardina-ui.github.io/questionarios/CAARS_SL_v1.html</v>
      </c>
    </row>
    <row r="21" customFormat="false" ht="42" hidden="false" customHeight="true" outlineLevel="0" collapsed="false">
      <c r="A21" s="5" t="n">
        <f aca="false">IFERROR(INDEX(Catálogo!A$4:A$1000,MATCH($A$1&amp;"|"&amp;18,Índice!$A$4:$A$1000,0)),"")</f>
        <v>191</v>
      </c>
      <c r="B21" s="6" t="str">
        <f aca="false">IFERROR(INDEX(Catálogo!B$4:B$1000,MATCH($A$1&amp;"|"&amp;18,Índice!$A$4:$A$1000,0)),"")</f>
        <v>CAARS–O:L — Conners’ Adult ADHD Rating Scales (forma longa, heterorrelato)</v>
      </c>
      <c r="C21" s="6" t="str">
        <f aca="false">IFERROR(INDEX(Catálogo!C$4:C$1000,MATCH($A$1&amp;"|"&amp;18,Índice!$A$4:$A$1000,0)),"")</f>
        <v>Atenção, PHDA &amp; Funções Executivas</v>
      </c>
      <c r="D21" s="6" t="str">
        <f aca="false">IFERROR(INDEX(Catálogo!D$4:D$1000,MATCH($A$1&amp;"|"&amp;18,Índice!$A$4:$A$1000,0)),"")</f>
        <v>Cônjuge/Parceiro(a), Familiar, Mãe, Pai, Outro familiar</v>
      </c>
      <c r="E21" s="6" t="str">
        <f aca="false">IFERROR(INDEX(Catálogo!E$4:E$1000,MATCH($A$1&amp;"|"&amp;18,Índice!$A$4:$A$1000,0)),"")</f>
        <v>18–99 anos</v>
      </c>
      <c r="F21" s="5" t="n">
        <f aca="false">IFERROR(INDEX(Catálogo!F$4:F$1000,MATCH($A$1&amp;"|"&amp;18,Índice!$A$4:$A$1000,0)),"")</f>
        <v>18</v>
      </c>
      <c r="G21" s="5" t="n">
        <f aca="false">IFERROR(INDEX(Catálogo!G$4:G$1000,MATCH($A$1&amp;"|"&amp;18,Índice!$A$4:$A$1000,0)),"")</f>
        <v>99</v>
      </c>
      <c r="H21" s="5" t="n">
        <f aca="false">IFERROR(INDEX(Catálogo!H$4:H$1000,MATCH($A$1&amp;"|"&amp;18,Índice!$A$4:$A$1000,0)),"")</f>
        <v>12</v>
      </c>
      <c r="I21" s="6" t="str">
        <f aca="false">IFERROR(INDEX(Catálogo!I$4:I$1000,MATCH($A$1&amp;"|"&amp;18,Índice!$A$4:$A$1000,0)),"")</f>
        <v>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v>
      </c>
      <c r="J21" s="6" t="str">
        <f aca="false">IFERROR(INDEX(Catálogo!J$4:J$1000,MATCH($A$1&amp;"|"&amp;18,Índice!$A$4:$A$1000,0)),"")</f>
        <v>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v>
      </c>
      <c r="K21" s="6" t="str">
        <f aca="false">IFERROR(INDEX(Catálogo!K$4:K$1000,MATCH($A$1&amp;"|"&amp;18,Índice!$A$4:$A$1000,0)),"")</f>
        <v>caars_ol</v>
      </c>
      <c r="L21" s="6" t="str">
        <f aca="false">IFERROR(INDEX(Catálogo!L$4:L$1000,MATCH($A$1&amp;"|"&amp;18,Índice!$A$4:$A$1000,0)),"")</f>
        <v>q_caars_ol</v>
      </c>
      <c r="M21" s="7" t="str">
        <f aca="false">IFERROR(INDEX(Catálogo!M$4:M$1000,MATCH($A$1&amp;"|"&amp;18,Índice!$A$4:$A$1000,0)),"")</f>
        <v>https://correiaricardina-ui.github.io/questionarios/CAARS_OL_v1.html</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row r="24" customFormat="false" ht="42" hidden="false" customHeight="true" outlineLevel="0" collapsed="false">
      <c r="A24" s="5" t="str">
        <f aca="false">IFERROR(INDEX(Catálogo!A$4:A$1000,MATCH($A$1&amp;"|"&amp;21,Índice!$A$4:$A$1000,0)),"")</f>
        <v/>
      </c>
      <c r="B24" s="6" t="str">
        <f aca="false">IFERROR(INDEX(Catálogo!B$4:B$1000,MATCH($A$1&amp;"|"&amp;21,Índice!$A$4:$A$1000,0)),"")</f>
        <v/>
      </c>
      <c r="C24" s="6" t="str">
        <f aca="false">IFERROR(INDEX(Catálogo!C$4:C$1000,MATCH($A$1&amp;"|"&amp;21,Índice!$A$4:$A$1000,0)),"")</f>
        <v/>
      </c>
      <c r="D24" s="6" t="str">
        <f aca="false">IFERROR(INDEX(Catálogo!D$4:D$1000,MATCH($A$1&amp;"|"&amp;21,Índice!$A$4:$A$1000,0)),"")</f>
        <v/>
      </c>
      <c r="E24" s="6" t="str">
        <f aca="false">IFERROR(INDEX(Catálogo!E$4:E$1000,MATCH($A$1&amp;"|"&amp;21,Índice!$A$4:$A$1000,0)),"")</f>
        <v/>
      </c>
      <c r="F24" s="5" t="str">
        <f aca="false">IFERROR(INDEX(Catálogo!F$4:F$1000,MATCH($A$1&amp;"|"&amp;21,Índice!$A$4:$A$1000,0)),"")</f>
        <v/>
      </c>
      <c r="G24" s="5" t="str">
        <f aca="false">IFERROR(INDEX(Catálogo!G$4:G$1000,MATCH($A$1&amp;"|"&amp;21,Índice!$A$4:$A$1000,0)),"")</f>
        <v/>
      </c>
      <c r="H24" s="5" t="str">
        <f aca="false">IFERROR(INDEX(Catálogo!H$4:H$1000,MATCH($A$1&amp;"|"&amp;21,Índice!$A$4:$A$1000,0)),"")</f>
        <v/>
      </c>
      <c r="I24" s="6" t="str">
        <f aca="false">IFERROR(INDEX(Catálogo!I$4:I$1000,MATCH($A$1&amp;"|"&amp;21,Índice!$A$4:$A$1000,0)),"")</f>
        <v/>
      </c>
      <c r="J24" s="6" t="str">
        <f aca="false">IFERROR(INDEX(Catálogo!J$4:J$1000,MATCH($A$1&amp;"|"&amp;21,Índice!$A$4:$A$1000,0)),"")</f>
        <v/>
      </c>
      <c r="K24" s="6" t="str">
        <f aca="false">IFERROR(INDEX(Catálogo!K$4:K$1000,MATCH($A$1&amp;"|"&amp;21,Índice!$A$4:$A$1000,0)),"")</f>
        <v/>
      </c>
      <c r="L24" s="6" t="str">
        <f aca="false">IFERROR(INDEX(Catálogo!L$4:L$1000,MATCH($A$1&amp;"|"&amp;21,Índice!$A$4:$A$1000,0)),"")</f>
        <v/>
      </c>
      <c r="M24" s="7" t="str">
        <f aca="false">IFERROR(INDEX(Catálogo!M$4:M$1000,MATCH($A$1&amp;"|"&amp;21,Índice!$A$4:$A$1000,0)),"")</f>
        <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row r="26" customFormat="false" ht="42" hidden="false" customHeight="true" outlineLevel="0" collapsed="false">
      <c r="A26" s="5" t="str">
        <f aca="false">IFERROR(INDEX(Catálogo!A$4:A$1000,MATCH($A$1&amp;"|"&amp;23,Índice!$A$4:$A$1000,0)),"")</f>
        <v/>
      </c>
      <c r="B26" s="6" t="str">
        <f aca="false">IFERROR(INDEX(Catálogo!B$4:B$1000,MATCH($A$1&amp;"|"&amp;23,Índice!$A$4:$A$1000,0)),"")</f>
        <v/>
      </c>
      <c r="C26" s="6" t="str">
        <f aca="false">IFERROR(INDEX(Catálogo!C$4:C$1000,MATCH($A$1&amp;"|"&amp;23,Índice!$A$4:$A$1000,0)),"")</f>
        <v/>
      </c>
      <c r="D26" s="6" t="str">
        <f aca="false">IFERROR(INDEX(Catálogo!D$4:D$1000,MATCH($A$1&amp;"|"&amp;23,Índice!$A$4:$A$1000,0)),"")</f>
        <v/>
      </c>
      <c r="E26" s="6" t="str">
        <f aca="false">IFERROR(INDEX(Catálogo!E$4:E$1000,MATCH($A$1&amp;"|"&amp;23,Índice!$A$4:$A$1000,0)),"")</f>
        <v/>
      </c>
      <c r="F26" s="5" t="str">
        <f aca="false">IFERROR(INDEX(Catálogo!F$4:F$1000,MATCH($A$1&amp;"|"&amp;23,Índice!$A$4:$A$1000,0)),"")</f>
        <v/>
      </c>
      <c r="G26" s="5" t="str">
        <f aca="false">IFERROR(INDEX(Catálogo!G$4:G$1000,MATCH($A$1&amp;"|"&amp;23,Índice!$A$4:$A$1000,0)),"")</f>
        <v/>
      </c>
      <c r="H26" s="5" t="str">
        <f aca="false">IFERROR(INDEX(Catálogo!H$4:H$1000,MATCH($A$1&amp;"|"&amp;23,Índice!$A$4:$A$1000,0)),"")</f>
        <v/>
      </c>
      <c r="I26" s="6" t="str">
        <f aca="false">IFERROR(INDEX(Catálogo!I$4:I$1000,MATCH($A$1&amp;"|"&amp;23,Índice!$A$4:$A$1000,0)),"")</f>
        <v/>
      </c>
      <c r="J26" s="6" t="str">
        <f aca="false">IFERROR(INDEX(Catálogo!J$4:J$1000,MATCH($A$1&amp;"|"&amp;23,Índice!$A$4:$A$1000,0)),"")</f>
        <v/>
      </c>
      <c r="K26" s="6" t="str">
        <f aca="false">IFERROR(INDEX(Catálogo!K$4:K$1000,MATCH($A$1&amp;"|"&amp;23,Índice!$A$4:$A$1000,0)),"")</f>
        <v/>
      </c>
      <c r="L26" s="6" t="str">
        <f aca="false">IFERROR(INDEX(Catálogo!L$4:L$1000,MATCH($A$1&amp;"|"&amp;23,Índice!$A$4:$A$1000,0)),"")</f>
        <v/>
      </c>
      <c r="M26" s="7" t="str">
        <f aca="false">IFERROR(INDEX(Catálogo!M$4:M$1000,MATCH($A$1&amp;"|"&amp;23,Índice!$A$4:$A$1000,0)),"")</f>
        <v/>
      </c>
    </row>
    <row r="27" customFormat="false" ht="42" hidden="false" customHeight="true" outlineLevel="0" collapsed="false">
      <c r="A27" s="5" t="str">
        <f aca="false">IFERROR(INDEX(Catálogo!A$4:A$1000,MATCH($A$1&amp;"|"&amp;24,Índice!$A$4:$A$1000,0)),"")</f>
        <v/>
      </c>
      <c r="B27" s="6" t="str">
        <f aca="false">IFERROR(INDEX(Catálogo!B$4:B$1000,MATCH($A$1&amp;"|"&amp;24,Índice!$A$4:$A$1000,0)),"")</f>
        <v/>
      </c>
      <c r="C27" s="6" t="str">
        <f aca="false">IFERROR(INDEX(Catálogo!C$4:C$1000,MATCH($A$1&amp;"|"&amp;24,Índice!$A$4:$A$1000,0)),"")</f>
        <v/>
      </c>
      <c r="D27" s="6" t="str">
        <f aca="false">IFERROR(INDEX(Catálogo!D$4:D$1000,MATCH($A$1&amp;"|"&amp;24,Índice!$A$4:$A$1000,0)),"")</f>
        <v/>
      </c>
      <c r="E27" s="6" t="str">
        <f aca="false">IFERROR(INDEX(Catálogo!E$4:E$1000,MATCH($A$1&amp;"|"&amp;24,Índice!$A$4:$A$1000,0)),"")</f>
        <v/>
      </c>
      <c r="F27" s="5" t="str">
        <f aca="false">IFERROR(INDEX(Catálogo!F$4:F$1000,MATCH($A$1&amp;"|"&amp;24,Índice!$A$4:$A$1000,0)),"")</f>
        <v/>
      </c>
      <c r="G27" s="5" t="str">
        <f aca="false">IFERROR(INDEX(Catálogo!G$4:G$1000,MATCH($A$1&amp;"|"&amp;24,Índice!$A$4:$A$1000,0)),"")</f>
        <v/>
      </c>
      <c r="H27" s="5" t="str">
        <f aca="false">IFERROR(INDEX(Catálogo!H$4:H$1000,MATCH($A$1&amp;"|"&amp;24,Índice!$A$4:$A$1000,0)),"")</f>
        <v/>
      </c>
      <c r="I27" s="6" t="str">
        <f aca="false">IFERROR(INDEX(Catálogo!I$4:I$1000,MATCH($A$1&amp;"|"&amp;24,Índice!$A$4:$A$1000,0)),"")</f>
        <v/>
      </c>
      <c r="J27" s="6" t="str">
        <f aca="false">IFERROR(INDEX(Catálogo!J$4:J$1000,MATCH($A$1&amp;"|"&amp;24,Índice!$A$4:$A$1000,0)),"")</f>
        <v/>
      </c>
      <c r="K27" s="6" t="str">
        <f aca="false">IFERROR(INDEX(Catálogo!K$4:K$1000,MATCH($A$1&amp;"|"&amp;24,Índice!$A$4:$A$1000,0)),"")</f>
        <v/>
      </c>
      <c r="L27" s="6" t="str">
        <f aca="false">IFERROR(INDEX(Catálogo!L$4:L$1000,MATCH($A$1&amp;"|"&amp;24,Índice!$A$4:$A$1000,0)),"")</f>
        <v/>
      </c>
      <c r="M27" s="7" t="str">
        <f aca="false">IFERROR(INDEX(Catálogo!M$4:M$1000,MATCH($A$1&amp;"|"&amp;24,Índice!$A$4:$A$1000,0)),"")</f>
        <v/>
      </c>
    </row>
    <row r="28" customFormat="false" ht="42" hidden="false" customHeight="true" outlineLevel="0" collapsed="false">
      <c r="A28" s="5" t="str">
        <f aca="false">IFERROR(INDEX(Catálogo!A$4:A$1000,MATCH($A$1&amp;"|"&amp;25,Índice!$A$4:$A$1000,0)),"")</f>
        <v/>
      </c>
      <c r="B28" s="6" t="str">
        <f aca="false">IFERROR(INDEX(Catálogo!B$4:B$1000,MATCH($A$1&amp;"|"&amp;25,Índice!$A$4:$A$1000,0)),"")</f>
        <v/>
      </c>
      <c r="C28" s="6" t="str">
        <f aca="false">IFERROR(INDEX(Catálogo!C$4:C$1000,MATCH($A$1&amp;"|"&amp;25,Índice!$A$4:$A$1000,0)),"")</f>
        <v/>
      </c>
      <c r="D28" s="6" t="str">
        <f aca="false">IFERROR(INDEX(Catálogo!D$4:D$1000,MATCH($A$1&amp;"|"&amp;25,Índice!$A$4:$A$1000,0)),"")</f>
        <v/>
      </c>
      <c r="E28" s="6" t="str">
        <f aca="false">IFERROR(INDEX(Catálogo!E$4:E$1000,MATCH($A$1&amp;"|"&amp;25,Índice!$A$4:$A$1000,0)),"")</f>
        <v/>
      </c>
      <c r="F28" s="5" t="str">
        <f aca="false">IFERROR(INDEX(Catálogo!F$4:F$1000,MATCH($A$1&amp;"|"&amp;25,Índice!$A$4:$A$1000,0)),"")</f>
        <v/>
      </c>
      <c r="G28" s="5" t="str">
        <f aca="false">IFERROR(INDEX(Catálogo!G$4:G$1000,MATCH($A$1&amp;"|"&amp;25,Índice!$A$4:$A$1000,0)),"")</f>
        <v/>
      </c>
      <c r="H28" s="5" t="str">
        <f aca="false">IFERROR(INDEX(Catálogo!H$4:H$1000,MATCH($A$1&amp;"|"&amp;25,Índice!$A$4:$A$1000,0)),"")</f>
        <v/>
      </c>
      <c r="I28" s="6" t="str">
        <f aca="false">IFERROR(INDEX(Catálogo!I$4:I$1000,MATCH($A$1&amp;"|"&amp;25,Índice!$A$4:$A$1000,0)),"")</f>
        <v/>
      </c>
      <c r="J28" s="6" t="str">
        <f aca="false">IFERROR(INDEX(Catálogo!J$4:J$1000,MATCH($A$1&amp;"|"&amp;25,Índice!$A$4:$A$1000,0)),"")</f>
        <v/>
      </c>
      <c r="K28" s="6" t="str">
        <f aca="false">IFERROR(INDEX(Catálogo!K$4:K$1000,MATCH($A$1&amp;"|"&amp;25,Índice!$A$4:$A$1000,0)),"")</f>
        <v/>
      </c>
      <c r="L28" s="6" t="str">
        <f aca="false">IFERROR(INDEX(Catálogo!L$4:L$1000,MATCH($A$1&amp;"|"&amp;25,Índice!$A$4:$A$1000,0)),"")</f>
        <v/>
      </c>
      <c r="M28" s="7" t="str">
        <f aca="false">IFERROR(INDEX(Catálogo!M$4:M$1000,MATCH($A$1&amp;"|"&amp;25,Índice!$A$4:$A$1000,0)),"")</f>
        <v/>
      </c>
    </row>
    <row r="29" customFormat="false" ht="42" hidden="false" customHeight="true" outlineLevel="0" collapsed="false">
      <c r="A29" s="5" t="str">
        <f aca="false">IFERROR(INDEX(Catálogo!A$4:A$1000,MATCH($A$1&amp;"|"&amp;26,Índice!$A$4:$A$1000,0)),"")</f>
        <v/>
      </c>
      <c r="B29" s="6" t="str">
        <f aca="false">IFERROR(INDEX(Catálogo!B$4:B$1000,MATCH($A$1&amp;"|"&amp;26,Índice!$A$4:$A$1000,0)),"")</f>
        <v/>
      </c>
      <c r="C29" s="6" t="str">
        <f aca="false">IFERROR(INDEX(Catálogo!C$4:C$1000,MATCH($A$1&amp;"|"&amp;26,Índice!$A$4:$A$1000,0)),"")</f>
        <v/>
      </c>
      <c r="D29" s="6" t="str">
        <f aca="false">IFERROR(INDEX(Catálogo!D$4:D$1000,MATCH($A$1&amp;"|"&amp;26,Índice!$A$4:$A$1000,0)),"")</f>
        <v/>
      </c>
      <c r="E29" s="6" t="str">
        <f aca="false">IFERROR(INDEX(Catálogo!E$4:E$1000,MATCH($A$1&amp;"|"&amp;26,Índice!$A$4:$A$1000,0)),"")</f>
        <v/>
      </c>
      <c r="F29" s="5" t="str">
        <f aca="false">IFERROR(INDEX(Catálogo!F$4:F$1000,MATCH($A$1&amp;"|"&amp;26,Índice!$A$4:$A$1000,0)),"")</f>
        <v/>
      </c>
      <c r="G29" s="5" t="str">
        <f aca="false">IFERROR(INDEX(Catálogo!G$4:G$1000,MATCH($A$1&amp;"|"&amp;26,Índice!$A$4:$A$1000,0)),"")</f>
        <v/>
      </c>
      <c r="H29" s="5" t="str">
        <f aca="false">IFERROR(INDEX(Catálogo!H$4:H$1000,MATCH($A$1&amp;"|"&amp;26,Índice!$A$4:$A$1000,0)),"")</f>
        <v/>
      </c>
      <c r="I29" s="6" t="str">
        <f aca="false">IFERROR(INDEX(Catálogo!I$4:I$1000,MATCH($A$1&amp;"|"&amp;26,Índice!$A$4:$A$1000,0)),"")</f>
        <v/>
      </c>
      <c r="J29" s="6" t="str">
        <f aca="false">IFERROR(INDEX(Catálogo!J$4:J$1000,MATCH($A$1&amp;"|"&amp;26,Índice!$A$4:$A$1000,0)),"")</f>
        <v/>
      </c>
      <c r="K29" s="6" t="str">
        <f aca="false">IFERROR(INDEX(Catálogo!K$4:K$1000,MATCH($A$1&amp;"|"&amp;26,Índice!$A$4:$A$1000,0)),"")</f>
        <v/>
      </c>
      <c r="L29" s="6" t="str">
        <f aca="false">IFERROR(INDEX(Catálogo!L$4:L$1000,MATCH($A$1&amp;"|"&amp;26,Índice!$A$4:$A$1000,0)),"")</f>
        <v/>
      </c>
      <c r="M29" s="7" t="str">
        <f aca="false">IFERROR(INDEX(Catálogo!M$4:M$1000,MATCH($A$1&amp;"|"&amp;26,Índice!$A$4:$A$1000,0)),"")</f>
        <v/>
      </c>
    </row>
  </sheetData>
  <autoFilter ref="A3:M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217</v>
      </c>
      <c r="I1" s="17" t="str">
        <f aca="false">COUNTIF(Catálogo!$C$4:$C$1000,$A$1)&amp;IF(COUNTIF(Catálogo!$C$4:$C$1000,$A$1)=1," instrumento nesta área"," instrumentos nesta área")</f>
        <v>31 instrumentos nesta área</v>
      </c>
    </row>
    <row r="2" customFormat="false" ht="15" hidden="false" customHeight="true" outlineLevel="0" collapsed="false">
      <c r="A2" s="18" t="s">
        <v>1331</v>
      </c>
      <c r="I2" s="19" t="str">
        <f aca="false">IF(COUNTIF(Catálogo!$C$4:$C$1000,$A$1)&gt;39,"⚠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29</v>
      </c>
      <c r="B4" s="6" t="str">
        <f aca="false">IFERROR(INDEX(Catálogo!B$4:B$1000,MATCH($A$1&amp;"|"&amp;1,Índice!$A$4:$A$1000,0)),"")</f>
        <v>CDI-2:SR</v>
      </c>
      <c r="C4" s="6" t="str">
        <f aca="false">IFERROR(INDEX(Catálogo!C$4:C$1000,MATCH($A$1&amp;"|"&amp;1,Índice!$A$4:$A$1000,0)),"")</f>
        <v>Ansiedade, Depressão &amp; Internalização</v>
      </c>
      <c r="D4" s="6" t="str">
        <f aca="false">IFERROR(INDEX(Catálogo!D$4:D$1000,MATCH($A$1&amp;"|"&amp;1,Índice!$A$4:$A$1000,0)),"")</f>
        <v>Paciente</v>
      </c>
      <c r="E4" s="6" t="str">
        <f aca="false">IFERROR(INDEX(Catálogo!E$4:E$1000,MATCH($A$1&amp;"|"&amp;1,Índice!$A$4:$A$1000,0)),"")</f>
        <v>7–17 anos</v>
      </c>
      <c r="F4" s="5" t="n">
        <f aca="false">IFERROR(INDEX(Catálogo!F$4:F$1000,MATCH($A$1&amp;"|"&amp;1,Índice!$A$4:$A$1000,0)),"")</f>
        <v>7</v>
      </c>
      <c r="G4" s="5" t="n">
        <f aca="false">IFERROR(INDEX(Catálogo!G$4:G$1000,MATCH($A$1&amp;"|"&amp;1,Índice!$A$4:$A$1000,0)),"")</f>
        <v>17.9</v>
      </c>
      <c r="H4" s="5" t="n">
        <f aca="false">IFERROR(INDEX(Catálogo!H$4:H$1000,MATCH($A$1&amp;"|"&amp;1,Índice!$A$4:$A$1000,0)),"")</f>
        <v>7</v>
      </c>
      <c r="I4" s="6" t="str">
        <f aca="false">IFERROR(INDEX(Catálogo!I$4:I$1000,MATCH($A$1&amp;"|"&amp;1,Índice!$A$4:$A$1000,0)),"")</f>
        <v>Rastreio de sintomatologia depressiva (auto-relato) — Kovacs &amp; MHS Staff (2011)</v>
      </c>
      <c r="J4" s="6" t="str">
        <f aca="false">IFERROR(INDEX(Catálogo!J$4:J$1000,MATCH($A$1&amp;"|"&amp;1,Índice!$A$4:$A$1000,0)),"")</f>
        <v>Score Total (Total); Problemas Emocionais (EP); Problemas Funcionais (FP); Humor Negativo/Sintomas Físicos (HM/SF); Autoestima Negativa (AE-); Ineficácia (INE); Problemas Interpessoais (PI)</v>
      </c>
      <c r="K4" s="6" t="str">
        <f aca="false">IFERROR(INDEX(Catálogo!K$4:K$1000,MATCH($A$1&amp;"|"&amp;1,Índice!$A$4:$A$1000,0)),"")</f>
        <v>cdi2sr</v>
      </c>
      <c r="L4" s="6" t="str">
        <f aca="false">IFERROR(INDEX(Catálogo!L$4:L$1000,MATCH($A$1&amp;"|"&amp;1,Índice!$A$4:$A$1000,0)),"")</f>
        <v>q_cdi2sr</v>
      </c>
      <c r="M4" s="7" t="str">
        <f aca="false">IFERROR(INDEX(Catálogo!M$4:M$1000,MATCH($A$1&amp;"|"&amp;1,Índice!$A$4:$A$1000,0)),"")</f>
        <v>https://correiaricardina-ui.github.io/questionarios/CDI2_SR_v1.html</v>
      </c>
    </row>
    <row r="5" customFormat="false" ht="42" hidden="false" customHeight="true" outlineLevel="0" collapsed="false">
      <c r="A5" s="5" t="n">
        <f aca="false">IFERROR(INDEX(Catálogo!A$4:A$1000,MATCH($A$1&amp;"|"&amp;2,Índice!$A$4:$A$1000,0)),"")</f>
        <v>36</v>
      </c>
      <c r="B5" s="6" t="str">
        <f aca="false">IFERROR(INDEX(Catálogo!B$4:B$1000,MATCH($A$1&amp;"|"&amp;2,Índice!$A$4:$A$1000,0)),"")</f>
        <v>CMAS-R</v>
      </c>
      <c r="C5" s="6" t="str">
        <f aca="false">IFERROR(INDEX(Catálogo!C$4:C$1000,MATCH($A$1&amp;"|"&amp;2,Índice!$A$4:$A$1000,0)),"")</f>
        <v>Ansiedade, Depressão &amp; Internalização</v>
      </c>
      <c r="D5" s="6" t="str">
        <f aca="false">IFERROR(INDEX(Catálogo!D$4:D$1000,MATCH($A$1&amp;"|"&amp;2,Índice!$A$4:$A$1000,0)),"")</f>
        <v>Paciente</v>
      </c>
      <c r="E5" s="6" t="str">
        <f aca="false">IFERROR(INDEX(Catálogo!E$4:E$1000,MATCH($A$1&amp;"|"&amp;2,Índice!$A$4:$A$1000,0)),"")</f>
        <v>8–17 anos</v>
      </c>
      <c r="F5" s="5" t="n">
        <f aca="false">IFERROR(INDEX(Catálogo!F$4:F$1000,MATCH($A$1&amp;"|"&amp;2,Índice!$A$4:$A$1000,0)),"")</f>
        <v>8</v>
      </c>
      <c r="G5" s="5" t="n">
        <f aca="false">IFERROR(INDEX(Catálogo!G$4:G$1000,MATCH($A$1&amp;"|"&amp;2,Índice!$A$4:$A$1000,0)),"")</f>
        <v>17.9</v>
      </c>
      <c r="H5" s="5" t="n">
        <f aca="false">IFERROR(INDEX(Catálogo!H$4:H$1000,MATCH($A$1&amp;"|"&amp;2,Índice!$A$4:$A$1000,0)),"")</f>
        <v>2</v>
      </c>
      <c r="I5" s="6" t="str">
        <f aca="false">IFERROR(INDEX(Catálogo!I$4:I$1000,MATCH($A$1&amp;"|"&amp;2,Índice!$A$4:$A$1000,0)),"")</f>
        <v>Avaliação da ansiedade manifesta com escala de validade (Mentira) — Reynolds &amp; Richmond (1978)</v>
      </c>
      <c r="J5" s="6" t="str">
        <f aca="false">IFERROR(INDEX(Catálogo!J$4:J$1000,MATCH($A$1&amp;"|"&amp;2,Índice!$A$4:$A$1000,0)),"")</f>
        <v>Ansiedade Total; Mentira/Validade</v>
      </c>
      <c r="K5" s="6" t="str">
        <f aca="false">IFERROR(INDEX(Catálogo!K$4:K$1000,MATCH($A$1&amp;"|"&amp;2,Índice!$A$4:$A$1000,0)),"")</f>
        <v>cmasr</v>
      </c>
      <c r="L5" s="6" t="str">
        <f aca="false">IFERROR(INDEX(Catálogo!L$4:L$1000,MATCH($A$1&amp;"|"&amp;2,Índice!$A$4:$A$1000,0)),"")</f>
        <v>q_cmasr</v>
      </c>
      <c r="M5" s="7" t="str">
        <f aca="false">IFERROR(INDEX(Catálogo!M$4:M$1000,MATCH($A$1&amp;"|"&amp;2,Índice!$A$4:$A$1000,0)),"")</f>
        <v>https://correiaricardina-ui.github.io/questionarios/CMAS_R_v1.html</v>
      </c>
    </row>
    <row r="6" customFormat="false" ht="42" hidden="false" customHeight="true" outlineLevel="0" collapsed="false">
      <c r="A6" s="5" t="n">
        <f aca="false">IFERROR(INDEX(Catálogo!A$4:A$1000,MATCH($A$1&amp;"|"&amp;3,Índice!$A$4:$A$1000,0)),"")</f>
        <v>76</v>
      </c>
      <c r="B6" s="6" t="str">
        <f aca="false">IFERROR(INDEX(Catálogo!B$4:B$1000,MATCH($A$1&amp;"|"&amp;3,Índice!$A$4:$A$1000,0)),"")</f>
        <v>FSSC-R</v>
      </c>
      <c r="C6" s="6" t="str">
        <f aca="false">IFERROR(INDEX(Catálogo!C$4:C$1000,MATCH($A$1&amp;"|"&amp;3,Índice!$A$4:$A$1000,0)),"")</f>
        <v>Ansiedade, Depressão &amp; Internalização</v>
      </c>
      <c r="D6" s="6" t="str">
        <f aca="false">IFERROR(INDEX(Catálogo!D$4:D$1000,MATCH($A$1&amp;"|"&amp;3,Índice!$A$4:$A$1000,0)),"")</f>
        <v>Paciente</v>
      </c>
      <c r="E6" s="6" t="str">
        <f aca="false">IFERROR(INDEX(Catálogo!E$4:E$1000,MATCH($A$1&amp;"|"&amp;3,Índice!$A$4:$A$1000,0)),"")</f>
        <v>8–17 anos</v>
      </c>
      <c r="F6" s="5" t="n">
        <f aca="false">IFERROR(INDEX(Catálogo!F$4:F$1000,MATCH($A$1&amp;"|"&amp;3,Índice!$A$4:$A$1000,0)),"")</f>
        <v>8</v>
      </c>
      <c r="G6" s="5" t="n">
        <f aca="false">IFERROR(INDEX(Catálogo!G$4:G$1000,MATCH($A$1&amp;"|"&amp;3,Índice!$A$4:$A$1000,0)),"")</f>
        <v>17.9</v>
      </c>
      <c r="H6" s="5" t="n">
        <f aca="false">IFERROR(INDEX(Catálogo!H$4:H$1000,MATCH($A$1&amp;"|"&amp;3,Índice!$A$4:$A$1000,0)),"")</f>
        <v>7</v>
      </c>
      <c r="I6" s="6" t="str">
        <f aca="false">IFERROR(INDEX(Catálogo!I$4:I$1000,MATCH($A$1&amp;"|"&amp;3,Índice!$A$4:$A$1000,0)),"")</f>
        <v>Inventário de medos infantis com 5 fatores e 4 normas — Ollendick (1978/1983)</v>
      </c>
      <c r="J6" s="6" t="str">
        <f aca="false">IFERROR(INDEX(Catálogo!J$4:J$1000,MATCH($A$1&amp;"|"&amp;3,Índice!$A$4:$A$1000,0)),"")</f>
        <v>Total; F1 Falhanço; F2 Desconhecido; F3 Animais/Fer.; F4 Perigo/Morte; F5 Médico; "Muito"</v>
      </c>
      <c r="K6" s="6" t="str">
        <f aca="false">IFERROR(INDEX(Catálogo!K$4:K$1000,MATCH($A$1&amp;"|"&amp;3,Índice!$A$4:$A$1000,0)),"")</f>
        <v>fsscr</v>
      </c>
      <c r="L6" s="6" t="str">
        <f aca="false">IFERROR(INDEX(Catálogo!L$4:L$1000,MATCH($A$1&amp;"|"&amp;3,Índice!$A$4:$A$1000,0)),"")</f>
        <v>q_fsscr</v>
      </c>
      <c r="M6" s="7" t="str">
        <f aca="false">IFERROR(INDEX(Catálogo!M$4:M$1000,MATCH($A$1&amp;"|"&amp;3,Índice!$A$4:$A$1000,0)),"")</f>
        <v>https://correiaricardina-ui.github.io/questionarios/FSSC_R_v1.html</v>
      </c>
    </row>
    <row r="7" customFormat="false" ht="42" hidden="false" customHeight="true" outlineLevel="0" collapsed="false">
      <c r="A7" s="5" t="n">
        <f aca="false">IFERROR(INDEX(Catálogo!A$4:A$1000,MATCH($A$1&amp;"|"&amp;4,Índice!$A$4:$A$1000,0)),"")</f>
        <v>85</v>
      </c>
      <c r="B7" s="6" t="str">
        <f aca="false">IFERROR(INDEX(Catálogo!B$4:B$1000,MATCH($A$1&amp;"|"&amp;4,Índice!$A$4:$A$1000,0)),"")</f>
        <v>ISS-I / ESI — Inventário de Sintomas de Stress Infantil</v>
      </c>
      <c r="C7" s="6" t="str">
        <f aca="false">IFERROR(INDEX(Catálogo!C$4:C$1000,MATCH($A$1&amp;"|"&amp;4,Índice!$A$4:$A$1000,0)),"")</f>
        <v>Ansiedade, Depressão &amp; Internalização</v>
      </c>
      <c r="D7" s="6" t="str">
        <f aca="false">IFERROR(INDEX(Catálogo!D$4:D$1000,MATCH($A$1&amp;"|"&amp;4,Índice!$A$4:$A$1000,0)),"")</f>
        <v>Paciente</v>
      </c>
      <c r="E7" s="6" t="str">
        <f aca="false">IFERROR(INDEX(Catálogo!E$4:E$1000,MATCH($A$1&amp;"|"&amp;4,Índice!$A$4:$A$1000,0)),"")</f>
        <v>6–14 anos</v>
      </c>
      <c r="F7" s="5" t="n">
        <f aca="false">IFERROR(INDEX(Catálogo!F$4:F$1000,MATCH($A$1&amp;"|"&amp;4,Índice!$A$4:$A$1000,0)),"")</f>
        <v>6</v>
      </c>
      <c r="G7" s="5" t="n">
        <f aca="false">IFERROR(INDEX(Catálogo!G$4:G$1000,MATCH($A$1&amp;"|"&amp;4,Índice!$A$4:$A$1000,0)),"")</f>
        <v>14.9</v>
      </c>
      <c r="H7" s="5" t="n">
        <f aca="false">IFERROR(INDEX(Catálogo!H$4:H$1000,MATCH($A$1&amp;"|"&amp;4,Índice!$A$4:$A$1000,0)),"")</f>
        <v>5</v>
      </c>
      <c r="I7" s="6" t="str">
        <f aca="false">IFERROR(INDEX(Catálogo!I$4:I$1000,MATCH($A$1&amp;"|"&amp;4,Índice!$A$4:$A$1000,0)),"")</f>
        <v>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v>
      </c>
      <c r="J7" s="6" t="str">
        <f aca="false">IFERROR(INDEX(Catálogo!J$4:J$1000,MATCH($A$1&amp;"|"&amp;4,Índice!$A$4:$A$1000,0)),"")</f>
        <v>Reações Físicas (F); Reações Psicológicas (P); Reações Psic. Comp. Depressivo (D); Reações Psicofisiológicas (PF); Score Total (TOTAL)</v>
      </c>
      <c r="K7" s="6" t="str">
        <f aca="false">IFERROR(INDEX(Catálogo!K$4:K$1000,MATCH($A$1&amp;"|"&amp;4,Índice!$A$4:$A$1000,0)),"")</f>
        <v>iss_esi</v>
      </c>
      <c r="L7" s="6" t="str">
        <f aca="false">IFERROR(INDEX(Catálogo!L$4:L$1000,MATCH($A$1&amp;"|"&amp;4,Índice!$A$4:$A$1000,0)),"")</f>
        <v>q_iss_esi</v>
      </c>
      <c r="M7" s="7" t="str">
        <f aca="false">IFERROR(INDEX(Catálogo!M$4:M$1000,MATCH($A$1&amp;"|"&amp;4,Índice!$A$4:$A$1000,0)),"")</f>
        <v>https://correiaricardina-ui.github.io/questionarios/ISS_ESI_v1.html</v>
      </c>
    </row>
    <row r="8" customFormat="false" ht="42" hidden="false" customHeight="true" outlineLevel="0" collapsed="false">
      <c r="A8" s="5" t="n">
        <f aca="false">IFERROR(INDEX(Catálogo!A$4:A$1000,MATCH($A$1&amp;"|"&amp;5,Índice!$A$4:$A$1000,0)),"")</f>
        <v>102</v>
      </c>
      <c r="B8" s="6" t="str">
        <f aca="false">IFERROR(INDEX(Catálogo!B$4:B$1000,MATCH($A$1&amp;"|"&amp;5,Índice!$A$4:$A$1000,0)),"")</f>
        <v>OCI-CV-R — Sintomatologia Obsessivo-Compulsiva</v>
      </c>
      <c r="C8" s="6" t="str">
        <f aca="false">IFERROR(INDEX(Catálogo!C$4:C$1000,MATCH($A$1&amp;"|"&amp;5,Índice!$A$4:$A$1000,0)),"")</f>
        <v>Ansiedade, Depressão &amp; Internalização</v>
      </c>
      <c r="D8" s="6" t="str">
        <f aca="false">IFERROR(INDEX(Catálogo!D$4:D$1000,MATCH($A$1&amp;"|"&amp;5,Índice!$A$4:$A$1000,0)),"")</f>
        <v>Criança/Adolescente, Paciente</v>
      </c>
      <c r="E8" s="6" t="str">
        <f aca="false">IFERROR(INDEX(Catálogo!E$4:E$1000,MATCH($A$1&amp;"|"&amp;5,Índice!$A$4:$A$1000,0)),"")</f>
        <v>7–17 anos</v>
      </c>
      <c r="F8" s="5" t="n">
        <f aca="false">IFERROR(INDEX(Catálogo!F$4:F$1000,MATCH($A$1&amp;"|"&amp;5,Índice!$A$4:$A$1000,0)),"")</f>
        <v>7</v>
      </c>
      <c r="G8" s="5" t="n">
        <f aca="false">IFERROR(INDEX(Catálogo!G$4:G$1000,MATCH($A$1&amp;"|"&amp;5,Índice!$A$4:$A$1000,0)),"")</f>
        <v>17.9</v>
      </c>
      <c r="H8" s="5" t="n">
        <f aca="false">IFERROR(INDEX(Catálogo!H$4:H$1000,MATCH($A$1&amp;"|"&amp;5,Índice!$A$4:$A$1000,0)),"")</f>
        <v>6</v>
      </c>
      <c r="I8" s="6" t="str">
        <f aca="false">IFERROR(INDEX(Catálogo!I$4:I$1000,MATCH($A$1&amp;"|"&amp;5,Índice!$A$4:$A$1000,0)),"")</f>
        <v>Rastreio de sintomatologia obsessivo-compulsiva pediátrica em 5 dimensões (Abramovitch et al., 2022) — auto-relato com 18 itens; janela do último mês</v>
      </c>
      <c r="J8" s="6" t="str">
        <f aca="false">IFERROR(INDEX(Catálogo!J$4:J$1000,MATCH($A$1&amp;"|"&amp;5,Índice!$A$4:$A$1000,0)),"")</f>
        <v>VD — Verificação/Dúvida; OBS — Obsessões; LAV — Lavagem; ORD — Ordenação; NEUTR — Neutralização; Total</v>
      </c>
      <c r="K8" s="6" t="str">
        <f aca="false">IFERROR(INDEX(Catálogo!K$4:K$1000,MATCH($A$1&amp;"|"&amp;5,Índice!$A$4:$A$1000,0)),"")</f>
        <v>ocicvr</v>
      </c>
      <c r="L8" s="6" t="str">
        <f aca="false">IFERROR(INDEX(Catálogo!L$4:L$1000,MATCH($A$1&amp;"|"&amp;5,Índice!$A$4:$A$1000,0)),"")</f>
        <v>q_ocicvr</v>
      </c>
      <c r="M8" s="7" t="str">
        <f aca="false">IFERROR(INDEX(Catálogo!M$4:M$1000,MATCH($A$1&amp;"|"&amp;5,Índice!$A$4:$A$1000,0)),"")</f>
        <v>https://correiaricardina-ui.github.io/questionarios/OCI_CV_R_v1.html</v>
      </c>
    </row>
    <row r="9" customFormat="false" ht="42" hidden="false" customHeight="true" outlineLevel="0" collapsed="false">
      <c r="A9" s="5" t="n">
        <f aca="false">IFERROR(INDEX(Catálogo!A$4:A$1000,MATCH($A$1&amp;"|"&amp;6,Índice!$A$4:$A$1000,0)),"")</f>
        <v>103</v>
      </c>
      <c r="B9" s="6" t="str">
        <f aca="false">IFERROR(INDEX(Catálogo!B$4:B$1000,MATCH($A$1&amp;"|"&amp;6,Índice!$A$4:$A$1000,0)),"")</f>
        <v>OCI-R — Sintomatologia Obsessivo-Compulsiva (adultos)</v>
      </c>
      <c r="C9" s="6" t="str">
        <f aca="false">IFERROR(INDEX(Catálogo!C$4:C$1000,MATCH($A$1&amp;"|"&amp;6,Índice!$A$4:$A$1000,0)),"")</f>
        <v>Ansiedade, Depressão &amp; Internalização</v>
      </c>
      <c r="D9" s="6" t="str">
        <f aca="false">IFERROR(INDEX(Catálogo!D$4:D$1000,MATCH($A$1&amp;"|"&amp;6,Índice!$A$4:$A$1000,0)),"")</f>
        <v>Paciente</v>
      </c>
      <c r="E9" s="6" t="str">
        <f aca="false">IFERROR(INDEX(Catálogo!E$4:E$1000,MATCH($A$1&amp;"|"&amp;6,Índice!$A$4:$A$1000,0)),"")</f>
        <v>≥18 anos</v>
      </c>
      <c r="F9" s="5" t="n">
        <f aca="false">IFERROR(INDEX(Catálogo!F$4:F$1000,MATCH($A$1&amp;"|"&amp;6,Índice!$A$4:$A$1000,0)),"")</f>
        <v>18</v>
      </c>
      <c r="G9" s="5" t="n">
        <f aca="false">IFERROR(INDEX(Catálogo!G$4:G$1000,MATCH($A$1&amp;"|"&amp;6,Índice!$A$4:$A$1000,0)),"")</f>
        <v>99</v>
      </c>
      <c r="H9" s="5" t="n">
        <f aca="false">IFERROR(INDEX(Catálogo!H$4:H$1000,MATCH($A$1&amp;"|"&amp;6,Índice!$A$4:$A$1000,0)),"")</f>
        <v>7</v>
      </c>
      <c r="I9" s="6" t="str">
        <f aca="false">IFERROR(INDEX(Catálogo!I$4:I$1000,MATCH($A$1&amp;"|"&amp;6,Índice!$A$4:$A$1000,0)),"")</f>
        <v>Rastreio de sintomatologia obsessivo-compulsiva em adultos em 6 dimensões (Foa et al., 2002 · versão PT: Cardoso, 2015) — auto-relato com 18 itens, escala 0-4; janela do último mês; corte ≥21 sugere provável POC</v>
      </c>
      <c r="J9" s="6" t="str">
        <f aca="false">IFERROR(INDEX(Catálogo!J$4:J$1000,MATCH($A$1&amp;"|"&amp;6,Índice!$A$4:$A$1000,0)),"")</f>
        <v>Lavagem; Verificação; Ordem; Acumulação; Obsessões; Neutralização; Total</v>
      </c>
      <c r="K9" s="6" t="str">
        <f aca="false">IFERROR(INDEX(Catálogo!K$4:K$1000,MATCH($A$1&amp;"|"&amp;6,Índice!$A$4:$A$1000,0)),"")</f>
        <v>ocir</v>
      </c>
      <c r="L9" s="6" t="str">
        <f aca="false">IFERROR(INDEX(Catálogo!L$4:L$1000,MATCH($A$1&amp;"|"&amp;6,Índice!$A$4:$A$1000,0)),"")</f>
        <v>q_ocir</v>
      </c>
      <c r="M9" s="7" t="str">
        <f aca="false">IFERROR(INDEX(Catálogo!M$4:M$1000,MATCH($A$1&amp;"|"&amp;6,Índice!$A$4:$A$1000,0)),"")</f>
        <v>https://correiaricardina-ui.github.io/questionarios/OCI_R_v1.html</v>
      </c>
    </row>
    <row r="10" customFormat="false" ht="42" hidden="false" customHeight="true" outlineLevel="0" collapsed="false">
      <c r="A10" s="5" t="n">
        <f aca="false">IFERROR(INDEX(Catálogo!A$4:A$1000,MATCH($A$1&amp;"|"&amp;7,Índice!$A$4:$A$1000,0)),"")</f>
        <v>114</v>
      </c>
      <c r="B10" s="6" t="str">
        <f aca="false">IFERROR(INDEX(Catálogo!B$4:B$1000,MATCH($A$1&amp;"|"&amp;7,Índice!$A$4:$A$1000,0)),"")</f>
        <v>PPGR-J — Pressão Percebida em Guarda-Redes Jovens</v>
      </c>
      <c r="C10" s="6" t="str">
        <f aca="false">IFERROR(INDEX(Catálogo!C$4:C$1000,MATCH($A$1&amp;"|"&amp;7,Índice!$A$4:$A$1000,0)),"")</f>
        <v>Ansiedade, Depressão &amp; Internalização</v>
      </c>
      <c r="D10" s="6" t="str">
        <f aca="false">IFERROR(INDEX(Catálogo!D$4:D$1000,MATCH($A$1&amp;"|"&amp;7,Índice!$A$4:$A$1000,0)),"")</f>
        <v>Atleta, Jovem avaliado, Paciente</v>
      </c>
      <c r="E10" s="6" t="str">
        <f aca="false">IFERROR(INDEX(Catálogo!E$4:E$1000,MATCH($A$1&amp;"|"&amp;7,Índice!$A$4:$A$1000,0)),"")</f>
        <v>≥ 12 anos (guarda-redes)</v>
      </c>
      <c r="F10" s="5" t="n">
        <f aca="false">IFERROR(INDEX(Catálogo!F$4:F$1000,MATCH($A$1&amp;"|"&amp;7,Índice!$A$4:$A$1000,0)),"")</f>
        <v>12</v>
      </c>
      <c r="G10" s="5" t="n">
        <f aca="false">IFERROR(INDEX(Catálogo!G$4:G$1000,MATCH($A$1&amp;"|"&amp;7,Índice!$A$4:$A$1000,0)),"")</f>
        <v>99</v>
      </c>
      <c r="H10" s="5" t="n">
        <f aca="false">IFERROR(INDEX(Catálogo!H$4:H$1000,MATCH($A$1&amp;"|"&amp;7,Índice!$A$4:$A$1000,0)),"")</f>
        <v>8</v>
      </c>
      <c r="I10" s="6" t="str">
        <f aca="false">IFERROR(INDEX(Catálogo!I$4:I$1000,MATCH($A$1&amp;"|"&amp;7,Índice!$A$4:$A$1000,0)),"")</f>
        <v>Avalia a vivência multidimensional da pressão de desempenho em guarda-redes jovens (Correia, 2026 — clínico-exploratório, sem validação psicométrica formal)</v>
      </c>
      <c r="J10" s="6" t="str">
        <f aca="false">IFERROR(INDEX(Catálogo!J$4:J$1000,MATCH($A$1&amp;"|"&amp;7,Índice!$A$4:$A$1000,0)),"")</f>
        <v>AAC — Ativação Ansiogénica; MEF — Medo do Erro; PFE — Pressão Externa; APP — Autoexigência; EEIP — Exposição/Identidade; RPRM — Recuperação Pós-Erro; Score Total (TOTAL); Normalizado 0-100</v>
      </c>
      <c r="K10" s="6" t="str">
        <f aca="false">IFERROR(INDEX(Catálogo!K$4:K$1000,MATCH($A$1&amp;"|"&amp;7,Índice!$A$4:$A$1000,0)),"")</f>
        <v>ppgrj</v>
      </c>
      <c r="L10" s="6" t="str">
        <f aca="false">IFERROR(INDEX(Catálogo!L$4:L$1000,MATCH($A$1&amp;"|"&amp;7,Índice!$A$4:$A$1000,0)),"")</f>
        <v>q_ppgrj</v>
      </c>
      <c r="M10" s="7" t="str">
        <f aca="false">IFERROR(INDEX(Catálogo!M$4:M$1000,MATCH($A$1&amp;"|"&amp;7,Índice!$A$4:$A$1000,0)),"")</f>
        <v>https://correiaricardina-ui.github.io/questionarios/PPGRJ_v1.html</v>
      </c>
    </row>
    <row r="11" customFormat="false" ht="42" hidden="false" customHeight="true" outlineLevel="0" collapsed="false">
      <c r="A11" s="5" t="n">
        <f aca="false">IFERROR(INDEX(Catálogo!A$4:A$1000,MATCH($A$1&amp;"|"&amp;8,Índice!$A$4:$A$1000,0)),"")</f>
        <v>128</v>
      </c>
      <c r="B11" s="6" t="str">
        <f aca="false">IFERROR(INDEX(Catálogo!B$4:B$1000,MATCH($A$1&amp;"|"&amp;8,Índice!$A$4:$A$1000,0)),"")</f>
        <v>RCADS-25 — Pais/Cuidadores</v>
      </c>
      <c r="C11" s="6" t="str">
        <f aca="false">IFERROR(INDEX(Catálogo!C$4:C$1000,MATCH($A$1&amp;"|"&amp;8,Índice!$A$4:$A$1000,0)),"")</f>
        <v>Ansiedade, Depressão &amp; Internalização</v>
      </c>
      <c r="D11" s="6" t="str">
        <f aca="false">IFERROR(INDEX(Catálogo!D$4:D$1000,MATCH($A$1&amp;"|"&amp;8,Índice!$A$4:$A$1000,0)),"")</f>
        <v>Mãe, Pai, Enc. Educação, Cuidador</v>
      </c>
      <c r="E11" s="6" t="str">
        <f aca="false">IFERROR(INDEX(Catálogo!E$4:E$1000,MATCH($A$1&amp;"|"&amp;8,Índice!$A$4:$A$1000,0)),"")</f>
        <v>9–18 anos</v>
      </c>
      <c r="F11" s="5" t="n">
        <f aca="false">IFERROR(INDEX(Catálogo!F$4:F$1000,MATCH($A$1&amp;"|"&amp;8,Índice!$A$4:$A$1000,0)),"")</f>
        <v>9</v>
      </c>
      <c r="G11" s="5" t="n">
        <f aca="false">IFERROR(INDEX(Catálogo!G$4:G$1000,MATCH($A$1&amp;"|"&amp;8,Índice!$A$4:$A$1000,0)),"")</f>
        <v>18</v>
      </c>
      <c r="H11" s="5" t="n">
        <f aca="false">IFERROR(INDEX(Catálogo!H$4:H$1000,MATCH($A$1&amp;"|"&amp;8,Índice!$A$4:$A$1000,0)),"")</f>
        <v>8</v>
      </c>
      <c r="I11" s="6" t="str">
        <f aca="false">IFERROR(INDEX(Catálogo!I$4:I$1000,MATCH($A$1&amp;"|"&amp;8,Índice!$A$4:$A$1000,0)),"")</f>
        <v>Avalia ansiedade e depressão em crianças e adolescentes — versão para pais (25 itens)</v>
      </c>
      <c r="J11" s="6" t="str">
        <f aca="false">IFERROR(INDEX(Catálogo!J$4:J$1000,MATCH($A$1&amp;"|"&amp;8,Índice!$A$4:$A$1000,0)),"")</f>
        <v>Depressão Major (T) (MDD_T); Ansiedade Total (T) (ANX_T); Score Total (T) (Total_T); Fobia Social (SP); Ansiedade de Separação (SAD); Ansiedade Generalizada (GAD); Perturbação de Pânico (PD); Obsessivo-Compulsivo (OCD)</v>
      </c>
      <c r="K11" s="6" t="str">
        <f aca="false">IFERROR(INDEX(Catálogo!K$4:K$1000,MATCH($A$1&amp;"|"&amp;8,Índice!$A$4:$A$1000,0)),"")</f>
        <v>rcads_25cg</v>
      </c>
      <c r="L11" s="6" t="str">
        <f aca="false">IFERROR(INDEX(Catálogo!L$4:L$1000,MATCH($A$1&amp;"|"&amp;8,Índice!$A$4:$A$1000,0)),"")</f>
        <v>q_rcads_25cg</v>
      </c>
      <c r="M11" s="7" t="str">
        <f aca="false">IFERROR(INDEX(Catálogo!M$4:M$1000,MATCH($A$1&amp;"|"&amp;8,Índice!$A$4:$A$1000,0)),"")</f>
        <v>https://correiaricardina-ui.github.io/questionarios/RCADS25_Pais_v2.html</v>
      </c>
    </row>
    <row r="12" customFormat="false" ht="42" hidden="false" customHeight="true" outlineLevel="0" collapsed="false">
      <c r="A12" s="5" t="n">
        <f aca="false">IFERROR(INDEX(Catálogo!A$4:A$1000,MATCH($A$1&amp;"|"&amp;9,Índice!$A$4:$A$1000,0)),"")</f>
        <v>129</v>
      </c>
      <c r="B12" s="6" t="str">
        <f aca="false">IFERROR(INDEX(Catálogo!B$4:B$1000,MATCH($A$1&amp;"|"&amp;9,Índice!$A$4:$A$1000,0)),"")</f>
        <v>RCADS-25 — Youth (Self-Report)</v>
      </c>
      <c r="C12" s="6" t="str">
        <f aca="false">IFERROR(INDEX(Catálogo!C$4:C$1000,MATCH($A$1&amp;"|"&amp;9,Índice!$A$4:$A$1000,0)),"")</f>
        <v>Ansiedade, Depressão &amp; Internalização</v>
      </c>
      <c r="D12" s="6" t="str">
        <f aca="false">IFERROR(INDEX(Catálogo!D$4:D$1000,MATCH($A$1&amp;"|"&amp;9,Índice!$A$4:$A$1000,0)),"")</f>
        <v>Paciente</v>
      </c>
      <c r="E12" s="6" t="str">
        <f aca="false">IFERROR(INDEX(Catálogo!E$4:E$1000,MATCH($A$1&amp;"|"&amp;9,Índice!$A$4:$A$1000,0)),"")</f>
        <v>9–18 anos</v>
      </c>
      <c r="F12" s="5" t="n">
        <f aca="false">IFERROR(INDEX(Catálogo!F$4:F$1000,MATCH($A$1&amp;"|"&amp;9,Índice!$A$4:$A$1000,0)),"")</f>
        <v>9</v>
      </c>
      <c r="G12" s="5" t="n">
        <f aca="false">IFERROR(INDEX(Catálogo!G$4:G$1000,MATCH($A$1&amp;"|"&amp;9,Índice!$A$4:$A$1000,0)),"")</f>
        <v>18</v>
      </c>
      <c r="H12" s="5" t="n">
        <f aca="false">IFERROR(INDEX(Catálogo!H$4:H$1000,MATCH($A$1&amp;"|"&amp;9,Índice!$A$4:$A$1000,0)),"")</f>
        <v>8</v>
      </c>
      <c r="I12" s="6" t="str">
        <f aca="false">IFERROR(INDEX(Catálogo!I$4:I$1000,MATCH($A$1&amp;"|"&amp;9,Índice!$A$4:$A$1000,0)),"")</f>
        <v>Avalia ansiedade e depressão em crianças e adolescentes — versão de auto-avaliação (25 itens)</v>
      </c>
      <c r="J12" s="6" t="str">
        <f aca="false">IFERROR(INDEX(Catálogo!J$4:J$1000,MATCH($A$1&amp;"|"&amp;9,Índice!$A$4:$A$1000,0)),"")</f>
        <v>Depressão Major (T) (MDD_T); Ansiedade Total (T) (ANX_T); Score Total (T) (Total_T); Fobia Social (SP); Ansiedade de Separação (SAD); Ansiedade Generalizada (GAD); Perturbação de Pânico (PD); Obsessivo-Compulsivo (OCD)</v>
      </c>
      <c r="K12" s="6" t="str">
        <f aca="false">IFERROR(INDEX(Catálogo!K$4:K$1000,MATCH($A$1&amp;"|"&amp;9,Índice!$A$4:$A$1000,0)),"")</f>
        <v>rcads_25y</v>
      </c>
      <c r="L12" s="6" t="str">
        <f aca="false">IFERROR(INDEX(Catálogo!L$4:L$1000,MATCH($A$1&amp;"|"&amp;9,Índice!$A$4:$A$1000,0)),"")</f>
        <v>q_rcads_25y</v>
      </c>
      <c r="M12" s="7" t="str">
        <f aca="false">IFERROR(INDEX(Catálogo!M$4:M$1000,MATCH($A$1&amp;"|"&amp;9,Índice!$A$4:$A$1000,0)),"")</f>
        <v>https://correiaricardina-ui.github.io/questionarios/RCADS25_Youth_v2.html</v>
      </c>
    </row>
    <row r="13" customFormat="false" ht="42" hidden="false" customHeight="true" outlineLevel="0" collapsed="false">
      <c r="A13" s="5" t="n">
        <f aca="false">IFERROR(INDEX(Catálogo!A$4:A$1000,MATCH($A$1&amp;"|"&amp;10,Índice!$A$4:$A$1000,0)),"")</f>
        <v>130</v>
      </c>
      <c r="B13" s="6" t="str">
        <f aca="false">IFERROR(INDEX(Catálogo!B$4:B$1000,MATCH($A$1&amp;"|"&amp;10,Índice!$A$4:$A$1000,0)),"")</f>
        <v>RCADS-47 — Pais/Cuidadores</v>
      </c>
      <c r="C13" s="6" t="str">
        <f aca="false">IFERROR(INDEX(Catálogo!C$4:C$1000,MATCH($A$1&amp;"|"&amp;10,Índice!$A$4:$A$1000,0)),"")</f>
        <v>Ansiedade, Depressão &amp; Internalização</v>
      </c>
      <c r="D13" s="6" t="str">
        <f aca="false">IFERROR(INDEX(Catálogo!D$4:D$1000,MATCH($A$1&amp;"|"&amp;10,Índice!$A$4:$A$1000,0)),"")</f>
        <v>Mãe, Pai, Enc. Educação, Cuidador</v>
      </c>
      <c r="E13" s="6" t="str">
        <f aca="false">IFERROR(INDEX(Catálogo!E$4:E$1000,MATCH($A$1&amp;"|"&amp;10,Índice!$A$4:$A$1000,0)),"")</f>
        <v>9–18 anos</v>
      </c>
      <c r="F13" s="5" t="n">
        <f aca="false">IFERROR(INDEX(Catálogo!F$4:F$1000,MATCH($A$1&amp;"|"&amp;10,Índice!$A$4:$A$1000,0)),"")</f>
        <v>9</v>
      </c>
      <c r="G13" s="5" t="n">
        <f aca="false">IFERROR(INDEX(Catálogo!G$4:G$1000,MATCH($A$1&amp;"|"&amp;10,Índice!$A$4:$A$1000,0)),"")</f>
        <v>18</v>
      </c>
      <c r="H13" s="5" t="n">
        <f aca="false">IFERROR(INDEX(Catálogo!H$4:H$1000,MATCH($A$1&amp;"|"&amp;10,Índice!$A$4:$A$1000,0)),"")</f>
        <v>13</v>
      </c>
      <c r="I13" s="6" t="str">
        <f aca="false">IFERROR(INDEX(Catálogo!I$4:I$1000,MATCH($A$1&amp;"|"&amp;10,Índice!$A$4:$A$1000,0)),"")</f>
        <v>Avalia ansiedade e depressão em crianças e adolescentes — versão para pais (47 itens)</v>
      </c>
      <c r="J13" s="6" t="str">
        <f aca="false">IFERROR(INDEX(Catálogo!J$4:J$1000,MATCH($A$1&amp;"|"&amp;10,Índice!$A$4:$A$1000,0)),"")</f>
        <v>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v>
      </c>
      <c r="K13" s="6" t="str">
        <f aca="false">IFERROR(INDEX(Catálogo!K$4:K$1000,MATCH($A$1&amp;"|"&amp;10,Índice!$A$4:$A$1000,0)),"")</f>
        <v>rcads_47cg</v>
      </c>
      <c r="L13" s="6" t="str">
        <f aca="false">IFERROR(INDEX(Catálogo!L$4:L$1000,MATCH($A$1&amp;"|"&amp;10,Índice!$A$4:$A$1000,0)),"")</f>
        <v>q_rcads_47cg</v>
      </c>
      <c r="M13" s="7" t="str">
        <f aca="false">IFERROR(INDEX(Catálogo!M$4:M$1000,MATCH($A$1&amp;"|"&amp;10,Índice!$A$4:$A$1000,0)),"")</f>
        <v>https://correiaricardina-ui.github.io/questionarios/RCADS47_Pais_v2.html</v>
      </c>
    </row>
    <row r="14" customFormat="false" ht="42" hidden="false" customHeight="true" outlineLevel="0" collapsed="false">
      <c r="A14" s="5" t="n">
        <f aca="false">IFERROR(INDEX(Catálogo!A$4:A$1000,MATCH($A$1&amp;"|"&amp;11,Índice!$A$4:$A$1000,0)),"")</f>
        <v>131</v>
      </c>
      <c r="B14" s="6" t="str">
        <f aca="false">IFERROR(INDEX(Catálogo!B$4:B$1000,MATCH($A$1&amp;"|"&amp;11,Índice!$A$4:$A$1000,0)),"")</f>
        <v>RCADS-47 — Youth (Self-Report)</v>
      </c>
      <c r="C14" s="6" t="str">
        <f aca="false">IFERROR(INDEX(Catálogo!C$4:C$1000,MATCH($A$1&amp;"|"&amp;11,Índice!$A$4:$A$1000,0)),"")</f>
        <v>Ansiedade, Depressão &amp; Internalização</v>
      </c>
      <c r="D14" s="6" t="str">
        <f aca="false">IFERROR(INDEX(Catálogo!D$4:D$1000,MATCH($A$1&amp;"|"&amp;11,Índice!$A$4:$A$1000,0)),"")</f>
        <v>Paciente</v>
      </c>
      <c r="E14" s="6" t="str">
        <f aca="false">IFERROR(INDEX(Catálogo!E$4:E$1000,MATCH($A$1&amp;"|"&amp;11,Índice!$A$4:$A$1000,0)),"")</f>
        <v>9–18 anos</v>
      </c>
      <c r="F14" s="5" t="n">
        <f aca="false">IFERROR(INDEX(Catálogo!F$4:F$1000,MATCH($A$1&amp;"|"&amp;11,Índice!$A$4:$A$1000,0)),"")</f>
        <v>9</v>
      </c>
      <c r="G14" s="5" t="n">
        <f aca="false">IFERROR(INDEX(Catálogo!G$4:G$1000,MATCH($A$1&amp;"|"&amp;11,Índice!$A$4:$A$1000,0)),"")</f>
        <v>18</v>
      </c>
      <c r="H14" s="5" t="n">
        <f aca="false">IFERROR(INDEX(Catálogo!H$4:H$1000,MATCH($A$1&amp;"|"&amp;11,Índice!$A$4:$A$1000,0)),"")</f>
        <v>13</v>
      </c>
      <c r="I14" s="6" t="str">
        <f aca="false">IFERROR(INDEX(Catálogo!I$4:I$1000,MATCH($A$1&amp;"|"&amp;11,Índice!$A$4:$A$1000,0)),"")</f>
        <v>Avalia ansiedade e depressão em crianças e adolescentes — versão de auto-avaliação (47 itens)</v>
      </c>
      <c r="J14" s="6" t="str">
        <f aca="false">IFERROR(INDEX(Catálogo!J$4:J$1000,MATCH($A$1&amp;"|"&amp;11,Índice!$A$4:$A$1000,0)),"")</f>
        <v>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v>
      </c>
      <c r="K14" s="6" t="str">
        <f aca="false">IFERROR(INDEX(Catálogo!K$4:K$1000,MATCH($A$1&amp;"|"&amp;11,Índice!$A$4:$A$1000,0)),"")</f>
        <v>rcads_47y</v>
      </c>
      <c r="L14" s="6" t="str">
        <f aca="false">IFERROR(INDEX(Catálogo!L$4:L$1000,MATCH($A$1&amp;"|"&amp;11,Índice!$A$4:$A$1000,0)),"")</f>
        <v>q_rcads_47y</v>
      </c>
      <c r="M14" s="7" t="str">
        <f aca="false">IFERROR(INDEX(Catálogo!M$4:M$1000,MATCH($A$1&amp;"|"&amp;11,Índice!$A$4:$A$1000,0)),"")</f>
        <v>https://correiaricardina-ui.github.io/questionarios/RCADS47_Youth_v2.html</v>
      </c>
    </row>
    <row r="15" customFormat="false" ht="42" hidden="false" customHeight="true" outlineLevel="0" collapsed="false">
      <c r="A15" s="5" t="n">
        <f aca="false">IFERROR(INDEX(Catálogo!A$4:A$1000,MATCH($A$1&amp;"|"&amp;12,Índice!$A$4:$A$1000,0)),"")</f>
        <v>132</v>
      </c>
      <c r="B15" s="6" t="str">
        <f aca="false">IFERROR(INDEX(Catálogo!B$4:B$1000,MATCH($A$1&amp;"|"&amp;12,Índice!$A$4:$A$1000,0)),"")</f>
        <v>RSES — Auto-Estima de Rosenberg</v>
      </c>
      <c r="C15" s="6" t="str">
        <f aca="false">IFERROR(INDEX(Catálogo!C$4:C$1000,MATCH($A$1&amp;"|"&amp;12,Índice!$A$4:$A$1000,0)),"")</f>
        <v>Ansiedade, Depressão &amp; Internalização</v>
      </c>
      <c r="D15" s="6" t="str">
        <f aca="false">IFERROR(INDEX(Catálogo!D$4:D$1000,MATCH($A$1&amp;"|"&amp;12,Índice!$A$4:$A$1000,0)),"")</f>
        <v>Paciente</v>
      </c>
      <c r="E15" s="6" t="str">
        <f aca="false">IFERROR(INDEX(Catálogo!E$4:E$1000,MATCH($A$1&amp;"|"&amp;12,Índice!$A$4:$A$1000,0)),"")</f>
        <v>12–20 anos</v>
      </c>
      <c r="F15" s="5" t="n">
        <f aca="false">IFERROR(INDEX(Catálogo!F$4:F$1000,MATCH($A$1&amp;"|"&amp;12,Índice!$A$4:$A$1000,0)),"")</f>
        <v>12</v>
      </c>
      <c r="G15" s="5" t="n">
        <f aca="false">IFERROR(INDEX(Catálogo!G$4:G$1000,MATCH($A$1&amp;"|"&amp;12,Índice!$A$4:$A$1000,0)),"")</f>
        <v>20</v>
      </c>
      <c r="H15" s="5" t="n">
        <f aca="false">IFERROR(INDEX(Catálogo!H$4:H$1000,MATCH($A$1&amp;"|"&amp;12,Índice!$A$4:$A$1000,0)),"")</f>
        <v>1</v>
      </c>
      <c r="I15" s="6" t="str">
        <f aca="false">IFERROR(INDEX(Catálogo!I$4:I$1000,MATCH($A$1&amp;"|"&amp;12,Índice!$A$4:$A$1000,0)),"")</f>
        <v>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v>
      </c>
      <c r="J15" s="6" t="str">
        <f aca="false">IFERROR(INDEX(Catálogo!J$4:J$1000,MATCH($A$1&amp;"|"&amp;12,Índice!$A$4:$A$1000,0)),"")</f>
        <v>Auto-estima global</v>
      </c>
      <c r="K15" s="6" t="str">
        <f aca="false">IFERROR(INDEX(Catálogo!K$4:K$1000,MATCH($A$1&amp;"|"&amp;12,Índice!$A$4:$A$1000,0)),"")</f>
        <v>rses</v>
      </c>
      <c r="L15" s="6" t="str">
        <f aca="false">IFERROR(INDEX(Catálogo!L$4:L$1000,MATCH($A$1&amp;"|"&amp;12,Índice!$A$4:$A$1000,0)),"")</f>
        <v>q_rses</v>
      </c>
      <c r="M15" s="7" t="str">
        <f aca="false">IFERROR(INDEX(Catálogo!M$4:M$1000,MATCH($A$1&amp;"|"&amp;12,Índice!$A$4:$A$1000,0)),"")</f>
        <v>https://correiaricardina-ui.github.io/questionarios/RSES_v1.html</v>
      </c>
    </row>
    <row r="16" customFormat="false" ht="42" hidden="false" customHeight="true" outlineLevel="0" collapsed="false">
      <c r="A16" s="5" t="n">
        <f aca="false">IFERROR(INDEX(Catálogo!A$4:A$1000,MATCH($A$1&amp;"|"&amp;13,Índice!$A$4:$A$1000,0)),"")</f>
        <v>133</v>
      </c>
      <c r="B16" s="6" t="str">
        <f aca="false">IFERROR(INDEX(Catálogo!B$4:B$1000,MATCH($A$1&amp;"|"&amp;13,Índice!$A$4:$A$1000,0)),"")</f>
        <v>SCARED-R — Criança</v>
      </c>
      <c r="C16" s="6" t="str">
        <f aca="false">IFERROR(INDEX(Catálogo!C$4:C$1000,MATCH($A$1&amp;"|"&amp;13,Índice!$A$4:$A$1000,0)),"")</f>
        <v>Ansiedade, Depressão &amp; Internalização</v>
      </c>
      <c r="D16" s="6" t="str">
        <f aca="false">IFERROR(INDEX(Catálogo!D$4:D$1000,MATCH($A$1&amp;"|"&amp;13,Índice!$A$4:$A$1000,0)),"")</f>
        <v>Paciente</v>
      </c>
      <c r="E16" s="6" t="str">
        <f aca="false">IFERROR(INDEX(Catálogo!E$4:E$1000,MATCH($A$1&amp;"|"&amp;13,Índice!$A$4:$A$1000,0)),"")</f>
        <v>8–18 anos</v>
      </c>
      <c r="F16" s="5" t="n">
        <f aca="false">IFERROR(INDEX(Catálogo!F$4:F$1000,MATCH($A$1&amp;"|"&amp;13,Índice!$A$4:$A$1000,0)),"")</f>
        <v>8</v>
      </c>
      <c r="G16" s="5" t="n">
        <f aca="false">IFERROR(INDEX(Catálogo!G$4:G$1000,MATCH($A$1&amp;"|"&amp;13,Índice!$A$4:$A$1000,0)),"")</f>
        <v>17.9</v>
      </c>
      <c r="H16" s="5" t="n">
        <f aca="false">IFERROR(INDEX(Catálogo!H$4:H$1000,MATCH($A$1&amp;"|"&amp;13,Índice!$A$4:$A$1000,0)),"")</f>
        <v>8</v>
      </c>
      <c r="I16" s="6" t="str">
        <f aca="false">IFERROR(INDEX(Catálogo!I$4:I$1000,MATCH($A$1&amp;"|"&amp;13,Índice!$A$4:$A$1000,0)),"")</f>
        <v>Avaliação de perturbações de ansiedade — versão autorrelato</v>
      </c>
      <c r="J16" s="6" t="str">
        <f aca="false">IFERROR(INDEX(Catálogo!J$4:J$1000,MATCH($A$1&amp;"|"&amp;13,Índice!$A$4:$A$1000,0)),"")</f>
        <v>Pânico; Ansiedade Generalizada; Separação; Fobia Social; Fobia Específica; Obsessivo-Compulsiva; Stress Pós-Traumático; Total</v>
      </c>
      <c r="K16" s="6" t="str">
        <f aca="false">IFERROR(INDEX(Catálogo!K$4:K$1000,MATCH($A$1&amp;"|"&amp;13,Índice!$A$4:$A$1000,0)),"")</f>
        <v>scared_r_crianca</v>
      </c>
      <c r="L16" s="6" t="str">
        <f aca="false">IFERROR(INDEX(Catálogo!L$4:L$1000,MATCH($A$1&amp;"|"&amp;13,Índice!$A$4:$A$1000,0)),"")</f>
        <v>q_scared_r_crianca</v>
      </c>
      <c r="M16" s="7" t="str">
        <f aca="false">IFERROR(INDEX(Catálogo!M$4:M$1000,MATCH($A$1&amp;"|"&amp;13,Índice!$A$4:$A$1000,0)),"")</f>
        <v>https://correiaricardina-ui.github.io/questionarios/SCARED_R_Crianca.html</v>
      </c>
    </row>
    <row r="17" customFormat="false" ht="42" hidden="false" customHeight="true" outlineLevel="0" collapsed="false">
      <c r="A17" s="5" t="n">
        <f aca="false">IFERROR(INDEX(Catálogo!A$4:A$1000,MATCH($A$1&amp;"|"&amp;14,Índice!$A$4:$A$1000,0)),"")</f>
        <v>134</v>
      </c>
      <c r="B17" s="6" t="str">
        <f aca="false">IFERROR(INDEX(Catálogo!B$4:B$1000,MATCH($A$1&amp;"|"&amp;14,Índice!$A$4:$A$1000,0)),"")</f>
        <v>SCARED-R — Pais/Cuid.</v>
      </c>
      <c r="C17" s="6" t="str">
        <f aca="false">IFERROR(INDEX(Catálogo!C$4:C$1000,MATCH($A$1&amp;"|"&amp;14,Índice!$A$4:$A$1000,0)),"")</f>
        <v>Ansiedade, Depressão &amp; Internalização</v>
      </c>
      <c r="D17" s="6" t="str">
        <f aca="false">IFERROR(INDEX(Catálogo!D$4:D$1000,MATCH($A$1&amp;"|"&amp;14,Índice!$A$4:$A$1000,0)),"")</f>
        <v>Mãe, Pai, Enc. Educação</v>
      </c>
      <c r="E17" s="6" t="str">
        <f aca="false">IFERROR(INDEX(Catálogo!E$4:E$1000,MATCH($A$1&amp;"|"&amp;14,Índice!$A$4:$A$1000,0)),"")</f>
        <v>8–18 anos</v>
      </c>
      <c r="F17" s="5" t="n">
        <f aca="false">IFERROR(INDEX(Catálogo!F$4:F$1000,MATCH($A$1&amp;"|"&amp;14,Índice!$A$4:$A$1000,0)),"")</f>
        <v>8</v>
      </c>
      <c r="G17" s="5" t="n">
        <f aca="false">IFERROR(INDEX(Catálogo!G$4:G$1000,MATCH($A$1&amp;"|"&amp;14,Índice!$A$4:$A$1000,0)),"")</f>
        <v>17.9</v>
      </c>
      <c r="H17" s="5" t="n">
        <f aca="false">IFERROR(INDEX(Catálogo!H$4:H$1000,MATCH($A$1&amp;"|"&amp;14,Índice!$A$4:$A$1000,0)),"")</f>
        <v>8</v>
      </c>
      <c r="I17" s="6" t="str">
        <f aca="false">IFERROR(INDEX(Catálogo!I$4:I$1000,MATCH($A$1&amp;"|"&amp;14,Índice!$A$4:$A$1000,0)),"")</f>
        <v>Avaliação de perturbações de ansiedade — versão pais/cuidadores</v>
      </c>
      <c r="J17" s="6" t="str">
        <f aca="false">IFERROR(INDEX(Catálogo!J$4:J$1000,MATCH($A$1&amp;"|"&amp;14,Índice!$A$4:$A$1000,0)),"")</f>
        <v>Pânico; Ansiedade Generalizada; Separação; Fobia Social; Fobia Específica; Obsessivo-Compulsiva; Stress Pós-Traumático; Total</v>
      </c>
      <c r="K17" s="6" t="str">
        <f aca="false">IFERROR(INDEX(Catálogo!K$4:K$1000,MATCH($A$1&amp;"|"&amp;14,Índice!$A$4:$A$1000,0)),"")</f>
        <v>scared_r_pais</v>
      </c>
      <c r="L17" s="6" t="str">
        <f aca="false">IFERROR(INDEX(Catálogo!L$4:L$1000,MATCH($A$1&amp;"|"&amp;14,Índice!$A$4:$A$1000,0)),"")</f>
        <v>q_scared_r_pais</v>
      </c>
      <c r="M17" s="7" t="str">
        <f aca="false">IFERROR(INDEX(Catálogo!M$4:M$1000,MATCH($A$1&amp;"|"&amp;14,Índice!$A$4:$A$1000,0)),"")</f>
        <v>https://correiaricardina-ui.github.io/questionarios/SCARED_R_Pais.html</v>
      </c>
    </row>
    <row r="18" customFormat="false" ht="42" hidden="false" customHeight="true" outlineLevel="0" collapsed="false">
      <c r="A18" s="5" t="n">
        <f aca="false">IFERROR(INDEX(Catálogo!A$4:A$1000,MATCH($A$1&amp;"|"&amp;15,Índice!$A$4:$A$1000,0)),"")</f>
        <v>139</v>
      </c>
      <c r="B18" s="6" t="str">
        <f aca="false">IFERROR(INDEX(Catálogo!B$4:B$1000,MATCH($A$1&amp;"|"&amp;15,Índice!$A$4:$A$1000,0)),"")</f>
        <v>SPAS — Pais</v>
      </c>
      <c r="C18" s="6" t="str">
        <f aca="false">IFERROR(INDEX(Catálogo!C$4:C$1000,MATCH($A$1&amp;"|"&amp;15,Índice!$A$4:$A$1000,0)),"")</f>
        <v>Ansiedade, Depressão &amp; Internalização</v>
      </c>
      <c r="D18" s="6" t="str">
        <f aca="false">IFERROR(INDEX(Catálogo!D$4:D$1000,MATCH($A$1&amp;"|"&amp;15,Índice!$A$4:$A$1000,0)),"")</f>
        <v>Mãe, Pai, Enc. Educação</v>
      </c>
      <c r="E18" s="6" t="str">
        <f aca="false">IFERROR(INDEX(Catálogo!E$4:E$1000,MATCH($A$1&amp;"|"&amp;15,Índice!$A$4:$A$1000,0)),"")</f>
        <v>3–13 anos</v>
      </c>
      <c r="F18" s="5" t="n">
        <f aca="false">IFERROR(INDEX(Catálogo!F$4:F$1000,MATCH($A$1&amp;"|"&amp;15,Índice!$A$4:$A$1000,0)),"")</f>
        <v>3</v>
      </c>
      <c r="G18" s="5" t="n">
        <f aca="false">IFERROR(INDEX(Catálogo!G$4:G$1000,MATCH($A$1&amp;"|"&amp;15,Índice!$A$4:$A$1000,0)),"")</f>
        <v>12.9</v>
      </c>
      <c r="H18" s="5" t="n">
        <f aca="false">IFERROR(INDEX(Catálogo!H$4:H$1000,MATCH($A$1&amp;"|"&amp;15,Índice!$A$4:$A$1000,0)),"")</f>
        <v>6</v>
      </c>
      <c r="I18" s="6" t="str">
        <f aca="false">IFERROR(INDEX(Catálogo!I$4:I$1000,MATCH($A$1&amp;"|"&amp;15,Índice!$A$4:$A$1000,0)),"")</f>
        <v>Avalia ansiedade social em crianças — versão pais</v>
      </c>
      <c r="J18" s="6" t="str">
        <f aca="false">IFERROR(INDEX(Catálogo!J$4:J$1000,MATCH($A$1&amp;"|"&amp;15,Índice!$A$4:$A$1000,0)),"")</f>
        <v>Ansiedade Generalizada (AG); Ansiedade Social (AS); Ansiedade de Separação (SEP); Medos de Dano Físico (MDF); Obsessivo-Compulsivo (POC); Score Total (Total)</v>
      </c>
      <c r="K18" s="6" t="str">
        <f aca="false">IFERROR(INDEX(Catálogo!K$4:K$1000,MATCH($A$1&amp;"|"&amp;15,Índice!$A$4:$A$1000,0)),"")</f>
        <v>spas_pais</v>
      </c>
      <c r="L18" s="6" t="str">
        <f aca="false">IFERROR(INDEX(Catálogo!L$4:L$1000,MATCH($A$1&amp;"|"&amp;15,Índice!$A$4:$A$1000,0)),"")</f>
        <v>q_spas_pais</v>
      </c>
      <c r="M18" s="7" t="str">
        <f aca="false">IFERROR(INDEX(Catálogo!M$4:M$1000,MATCH($A$1&amp;"|"&amp;15,Índice!$A$4:$A$1000,0)),"")</f>
        <v>https://correiaricardina-ui.github.io/questionarios/SPAS_Pais.html</v>
      </c>
    </row>
    <row r="19" customFormat="false" ht="42" hidden="false" customHeight="true" outlineLevel="0" collapsed="false">
      <c r="A19" s="5" t="n">
        <f aca="false">IFERROR(INDEX(Catálogo!A$4:A$1000,MATCH($A$1&amp;"|"&amp;16,Índice!$A$4:$A$1000,0)),"")</f>
        <v>140</v>
      </c>
      <c r="B19" s="6" t="str">
        <f aca="false">IFERROR(INDEX(Catálogo!B$4:B$1000,MATCH($A$1&amp;"|"&amp;16,Índice!$A$4:$A$1000,0)),"")</f>
        <v>SPAS — Professor</v>
      </c>
      <c r="C19" s="6" t="str">
        <f aca="false">IFERROR(INDEX(Catálogo!C$4:C$1000,MATCH($A$1&amp;"|"&amp;16,Índice!$A$4:$A$1000,0)),"")</f>
        <v>Ansiedade, Depressão &amp; Internalização</v>
      </c>
      <c r="D19" s="6" t="str">
        <f aca="false">IFERROR(INDEX(Catálogo!D$4:D$1000,MATCH($A$1&amp;"|"&amp;16,Índice!$A$4:$A$1000,0)),"")</f>
        <v>Professor(a), Educador(a)</v>
      </c>
      <c r="E19" s="6" t="str">
        <f aca="false">IFERROR(INDEX(Catálogo!E$4:E$1000,MATCH($A$1&amp;"|"&amp;16,Índice!$A$4:$A$1000,0)),"")</f>
        <v>3–13 anos</v>
      </c>
      <c r="F19" s="5" t="n">
        <f aca="false">IFERROR(INDEX(Catálogo!F$4:F$1000,MATCH($A$1&amp;"|"&amp;16,Índice!$A$4:$A$1000,0)),"")</f>
        <v>3</v>
      </c>
      <c r="G19" s="5" t="n">
        <f aca="false">IFERROR(INDEX(Catálogo!G$4:G$1000,MATCH($A$1&amp;"|"&amp;16,Índice!$A$4:$A$1000,0)),"")</f>
        <v>12.9</v>
      </c>
      <c r="H19" s="5" t="n">
        <f aca="false">IFERROR(INDEX(Catálogo!H$4:H$1000,MATCH($A$1&amp;"|"&amp;16,Índice!$A$4:$A$1000,0)),"")</f>
        <v>6</v>
      </c>
      <c r="I19" s="6" t="str">
        <f aca="false">IFERROR(INDEX(Catálogo!I$4:I$1000,MATCH($A$1&amp;"|"&amp;16,Índice!$A$4:$A$1000,0)),"")</f>
        <v>Avalia ansiedade social em crianças — versão professor/educador</v>
      </c>
      <c r="J19" s="6" t="str">
        <f aca="false">IFERROR(INDEX(Catálogo!J$4:J$1000,MATCH($A$1&amp;"|"&amp;16,Índice!$A$4:$A$1000,0)),"")</f>
        <v>Ansiedade Generalizada (AG); Ansiedade Social (AS); Ansiedade de Separação (SEP); Medos de Dano Físico (MDF); Obsessivo-Compulsivo (POC); Score Total (Total)</v>
      </c>
      <c r="K19" s="6" t="str">
        <f aca="false">IFERROR(INDEX(Catálogo!K$4:K$1000,MATCH($A$1&amp;"|"&amp;16,Índice!$A$4:$A$1000,0)),"")</f>
        <v>spas_prof</v>
      </c>
      <c r="L19" s="6" t="str">
        <f aca="false">IFERROR(INDEX(Catálogo!L$4:L$1000,MATCH($A$1&amp;"|"&amp;16,Índice!$A$4:$A$1000,0)),"")</f>
        <v>q_spas_prof</v>
      </c>
      <c r="M19" s="7" t="str">
        <f aca="false">IFERROR(INDEX(Catálogo!M$4:M$1000,MATCH($A$1&amp;"|"&amp;16,Índice!$A$4:$A$1000,0)),"")</f>
        <v>https://correiaricardina-ui.github.io/questionarios/SPAS_Educador.html</v>
      </c>
    </row>
    <row r="20" customFormat="false" ht="42" hidden="false" customHeight="true" outlineLevel="0" collapsed="false">
      <c r="A20" s="5" t="n">
        <f aca="false">IFERROR(INDEX(Catálogo!A$4:A$1000,MATCH($A$1&amp;"|"&amp;17,Índice!$A$4:$A$1000,0)),"")</f>
        <v>148</v>
      </c>
      <c r="B20" s="6" t="str">
        <f aca="false">IFERROR(INDEX(Catálogo!B$4:B$1000,MATCH($A$1&amp;"|"&amp;17,Índice!$A$4:$A$1000,0)),"")</f>
        <v>STAIC C-2 (A-Traço)</v>
      </c>
      <c r="C20" s="6" t="str">
        <f aca="false">IFERROR(INDEX(Catálogo!C$4:C$1000,MATCH($A$1&amp;"|"&amp;17,Índice!$A$4:$A$1000,0)),"")</f>
        <v>Ansiedade, Depressão &amp; Internalização</v>
      </c>
      <c r="D20" s="6" t="str">
        <f aca="false">IFERROR(INDEX(Catálogo!D$4:D$1000,MATCH($A$1&amp;"|"&amp;17,Índice!$A$4:$A$1000,0)),"")</f>
        <v>Paciente</v>
      </c>
      <c r="E20" s="6" t="str">
        <f aca="false">IFERROR(INDEX(Catálogo!E$4:E$1000,MATCH($A$1&amp;"|"&amp;17,Índice!$A$4:$A$1000,0)),"")</f>
        <v>8–17 anos</v>
      </c>
      <c r="F20" s="5" t="n">
        <f aca="false">IFERROR(INDEX(Catálogo!F$4:F$1000,MATCH($A$1&amp;"|"&amp;17,Índice!$A$4:$A$1000,0)),"")</f>
        <v>8</v>
      </c>
      <c r="G20" s="5" t="n">
        <f aca="false">IFERROR(INDEX(Catálogo!G$4:G$1000,MATCH($A$1&amp;"|"&amp;17,Índice!$A$4:$A$1000,0)),"")</f>
        <v>17.9</v>
      </c>
      <c r="H20" s="5" t="n">
        <f aca="false">IFERROR(INDEX(Catálogo!H$4:H$1000,MATCH($A$1&amp;"|"&amp;17,Índice!$A$4:$A$1000,0)),"")</f>
        <v>4</v>
      </c>
      <c r="I20" s="6" t="str">
        <f aca="false">IFERROR(INDEX(Catálogo!I$4:I$1000,MATCH($A$1&amp;"|"&amp;17,Índice!$A$4:$A$1000,0)),"")</f>
        <v>Rastreio de ansiedade-traço (auto-relato) — Spielberger et al. (1973) / Dias &amp; Gonçalves (1999)</v>
      </c>
      <c r="J20" s="6" t="str">
        <f aca="false">IFERROR(INDEX(Catálogo!J$4:J$1000,MATCH($A$1&amp;"|"&amp;17,Índice!$A$4:$A$1000,0)),"")</f>
        <v>Total; Z-Spielberger; Z-Biaggio; Z-D&amp;G PT</v>
      </c>
      <c r="K20" s="6" t="str">
        <f aca="false">IFERROR(INDEX(Catálogo!K$4:K$1000,MATCH($A$1&amp;"|"&amp;17,Índice!$A$4:$A$1000,0)),"")</f>
        <v>staicc2</v>
      </c>
      <c r="L20" s="6" t="str">
        <f aca="false">IFERROR(INDEX(Catálogo!L$4:L$1000,MATCH($A$1&amp;"|"&amp;17,Índice!$A$4:$A$1000,0)),"")</f>
        <v>q_staicc2</v>
      </c>
      <c r="M20" s="7" t="str">
        <f aca="false">IFERROR(INDEX(Catálogo!M$4:M$1000,MATCH($A$1&amp;"|"&amp;17,Índice!$A$4:$A$1000,0)),"")</f>
        <v>https://correiaricardina-ui.github.io/questionarios/STAIC_C2_v1.html</v>
      </c>
    </row>
    <row r="21" customFormat="false" ht="42" hidden="false" customHeight="true" outlineLevel="0" collapsed="false">
      <c r="A21" s="5" t="n">
        <f aca="false">IFERROR(INDEX(Catálogo!A$4:A$1000,MATCH($A$1&amp;"|"&amp;18,Índice!$A$4:$A$1000,0)),"")</f>
        <v>161</v>
      </c>
      <c r="B21" s="6" t="str">
        <f aca="false">IFERROR(INDEX(Catálogo!B$4:B$1000,MATCH($A$1&amp;"|"&amp;18,Índice!$A$4:$A$1000,0)),"")</f>
        <v>CSAS — Escala de Ansiedade de Separação para Crianças (Criança)</v>
      </c>
      <c r="C21" s="6" t="str">
        <f aca="false">IFERROR(INDEX(Catálogo!C$4:C$1000,MATCH($A$1&amp;"|"&amp;18,Índice!$A$4:$A$1000,0)),"")</f>
        <v>Ansiedade, Depressão &amp; Internalização</v>
      </c>
      <c r="D21" s="6" t="str">
        <f aca="false">IFERROR(INDEX(Catálogo!D$4:D$1000,MATCH($A$1&amp;"|"&amp;18,Índice!$A$4:$A$1000,0)),"")</f>
        <v>Paciente</v>
      </c>
      <c r="E21" s="6" t="str">
        <f aca="false">IFERROR(INDEX(Catálogo!E$4:E$1000,MATCH($A$1&amp;"|"&amp;18,Índice!$A$4:$A$1000,0)),"")</f>
        <v>8–11 anos</v>
      </c>
      <c r="F21" s="5" t="n">
        <f aca="false">IFERROR(INDEX(Catálogo!F$4:F$1000,MATCH($A$1&amp;"|"&amp;18,Índice!$A$4:$A$1000,0)),"")</f>
        <v>8</v>
      </c>
      <c r="G21" s="5" t="n">
        <f aca="false">IFERROR(INDEX(Catálogo!G$4:G$1000,MATCH($A$1&amp;"|"&amp;18,Índice!$A$4:$A$1000,0)),"")</f>
        <v>11</v>
      </c>
      <c r="H21" s="5" t="n">
        <f aca="false">IFERROR(INDEX(Catálogo!H$4:H$1000,MATCH($A$1&amp;"|"&amp;18,Índice!$A$4:$A$1000,0)),"")</f>
        <v>5</v>
      </c>
      <c r="I21" s="6" t="str">
        <f aca="false">IFERROR(INDEX(Catálogo!I$4:I$1000,MATCH($A$1&amp;"|"&amp;18,Índice!$A$4:$A$1000,0)),"")</f>
        <v>Autorrelato de sintomas de ansiedade de separação (20 itens, 4 fatores). Corte total ≥ 68 orientativo (norma espanhola, não portuguesa; Méndez et al., 2014).</v>
      </c>
      <c r="J21" s="6" t="str">
        <f aca="false">IFERROR(INDEX(Catálogo!J$4:J$1000,MATCH($A$1&amp;"|"&amp;18,Índice!$A$4:$A$1000,0)),"")</f>
        <v>Preocupação com a separação (cognitivo); Mal-estar da separação (psicofisiológico); Oposição à separação (comportamental); Calma na separação (fator positivo, invertido no cálculo — itens 3, 8, 12, 15, 19); Total (20–100)</v>
      </c>
      <c r="K21" s="6" t="str">
        <f aca="false">IFERROR(INDEX(Catálogo!K$4:K$1000,MATCH($A$1&amp;"|"&amp;18,Índice!$A$4:$A$1000,0)),"")</f>
        <v>csas</v>
      </c>
      <c r="L21" s="6" t="str">
        <f aca="false">IFERROR(INDEX(Catálogo!L$4:L$1000,MATCH($A$1&amp;"|"&amp;18,Índice!$A$4:$A$1000,0)),"")</f>
        <v>q_csas</v>
      </c>
      <c r="M21" s="7" t="str">
        <f aca="false">IFERROR(INDEX(Catálogo!M$4:M$1000,MATCH($A$1&amp;"|"&amp;18,Índice!$A$4:$A$1000,0)),"")</f>
        <v>https://correiaricardina-ui.github.io/questionarios/CSAS_v1.html</v>
      </c>
    </row>
    <row r="22" customFormat="false" ht="42" hidden="false" customHeight="true" outlineLevel="0" collapsed="false">
      <c r="A22" s="5" t="n">
        <f aca="false">IFERROR(INDEX(Catálogo!A$4:A$1000,MATCH($A$1&amp;"|"&amp;19,Índice!$A$4:$A$1000,0)),"")</f>
        <v>162</v>
      </c>
      <c r="B22" s="6" t="str">
        <f aca="false">IFERROR(INDEX(Catálogo!B$4:B$1000,MATCH($A$1&amp;"|"&amp;19,Índice!$A$4:$A$1000,0)),"")</f>
        <v>CSAS-P — Escala de Ansiedade de Separação para Crianças · Versão Pais</v>
      </c>
      <c r="C22" s="6" t="str">
        <f aca="false">IFERROR(INDEX(Catálogo!C$4:C$1000,MATCH($A$1&amp;"|"&amp;19,Índice!$A$4:$A$1000,0)),"")</f>
        <v>Ansiedade, Depressão &amp; Internalização</v>
      </c>
      <c r="D22" s="6" t="str">
        <f aca="false">IFERROR(INDEX(Catálogo!D$4:D$1000,MATCH($A$1&amp;"|"&amp;19,Índice!$A$4:$A$1000,0)),"")</f>
        <v>Mãe, Pai, Enc. Educação</v>
      </c>
      <c r="E22" s="6" t="str">
        <f aca="false">IFERROR(INDEX(Catálogo!E$4:E$1000,MATCH($A$1&amp;"|"&amp;19,Índice!$A$4:$A$1000,0)),"")</f>
        <v>8–11 anos</v>
      </c>
      <c r="F22" s="5" t="n">
        <f aca="false">IFERROR(INDEX(Catálogo!F$4:F$1000,MATCH($A$1&amp;"|"&amp;19,Índice!$A$4:$A$1000,0)),"")</f>
        <v>8</v>
      </c>
      <c r="G22" s="5" t="n">
        <f aca="false">IFERROR(INDEX(Catálogo!G$4:G$1000,MATCH($A$1&amp;"|"&amp;19,Índice!$A$4:$A$1000,0)),"")</f>
        <v>11</v>
      </c>
      <c r="H22" s="5" t="n">
        <f aca="false">IFERROR(INDEX(Catálogo!H$4:H$1000,MATCH($A$1&amp;"|"&amp;19,Índice!$A$4:$A$1000,0)),"")</f>
        <v>5</v>
      </c>
      <c r="I22" s="6" t="str">
        <f aca="false">IFERROR(INDEX(Catálogo!I$4:I$1000,MATCH($A$1&amp;"|"&amp;19,Índice!$A$4:$A$1000,0)),"")</f>
        <v>Heterorrelato parental de ansiedade de separação (20 itens, 4 fatores). Sem ponto de corte; leitura principal por fator (z vs norma parental espanhola, não portuguesa; Méndez et al., 2022).</v>
      </c>
      <c r="J22" s="6" t="str">
        <f aca="false">IFERROR(INDEX(Catálogo!J$4:J$1000,MATCH($A$1&amp;"|"&amp;19,Índice!$A$4:$A$1000,0)),"")</f>
        <v>Preocupação; Oposição; Calma (fator positivo/protetor — leitura inversa); Mal-estar (norma com efeito de chão — ler com cautela); Total orientativo = Preocupação + Oposição + Mal-estar + (30 − Calma)</v>
      </c>
      <c r="K22" s="6" t="str">
        <f aca="false">IFERROR(INDEX(Catálogo!K$4:K$1000,MATCH($A$1&amp;"|"&amp;19,Índice!$A$4:$A$1000,0)),"")</f>
        <v>csas_p</v>
      </c>
      <c r="L22" s="6" t="str">
        <f aca="false">IFERROR(INDEX(Catálogo!L$4:L$1000,MATCH($A$1&amp;"|"&amp;19,Índice!$A$4:$A$1000,0)),"")</f>
        <v>q_csas_p</v>
      </c>
      <c r="M22" s="7" t="str">
        <f aca="false">IFERROR(INDEX(Catálogo!M$4:M$1000,MATCH($A$1&amp;"|"&amp;19,Índice!$A$4:$A$1000,0)),"")</f>
        <v>https://correiaricardina-ui.github.io/questionarios/CSAS_P_v1.html</v>
      </c>
    </row>
    <row r="23" customFormat="false" ht="42" hidden="false" customHeight="true" outlineLevel="0" collapsed="false">
      <c r="A23" s="5" t="n">
        <f aca="false">IFERROR(INDEX(Catálogo!A$4:A$1000,MATCH($A$1&amp;"|"&amp;20,Índice!$A$4:$A$1000,0)),"")</f>
        <v>165</v>
      </c>
      <c r="B23" s="6" t="str">
        <f aca="false">IFERROR(INDEX(Catálogo!B$4:B$1000,MATCH($A$1&amp;"|"&amp;20,Índice!$A$4:$A$1000,0)),"")</f>
        <v>GAD-7 — Escala de Ansiedade Generalizada</v>
      </c>
      <c r="C23" s="6" t="str">
        <f aca="false">IFERROR(INDEX(Catálogo!C$4:C$1000,MATCH($A$1&amp;"|"&amp;20,Índice!$A$4:$A$1000,0)),"")</f>
        <v>Ansiedade, Depressão &amp; Internalização</v>
      </c>
      <c r="D23" s="6" t="str">
        <f aca="false">IFERROR(INDEX(Catálogo!D$4:D$1000,MATCH($A$1&amp;"|"&amp;20,Índice!$A$4:$A$1000,0)),"")</f>
        <v>Paciente</v>
      </c>
      <c r="E23" s="6" t="str">
        <f aca="false">IFERROR(INDEX(Catálogo!E$4:E$1000,MATCH($A$1&amp;"|"&amp;20,Índice!$A$4:$A$1000,0)),"")</f>
        <v>≥ 12 anos</v>
      </c>
      <c r="F23" s="5" t="n">
        <f aca="false">IFERROR(INDEX(Catálogo!F$4:F$1000,MATCH($A$1&amp;"|"&amp;20,Índice!$A$4:$A$1000,0)),"")</f>
        <v>12</v>
      </c>
      <c r="G23" s="5" t="n">
        <f aca="false">IFERROR(INDEX(Catálogo!G$4:G$1000,MATCH($A$1&amp;"|"&amp;20,Índice!$A$4:$A$1000,0)),"")</f>
        <v>99</v>
      </c>
      <c r="H23" s="5" t="n">
        <f aca="false">IFERROR(INDEX(Catálogo!H$4:H$1000,MATCH($A$1&amp;"|"&amp;20,Índice!$A$4:$A$1000,0)),"")</f>
        <v>4</v>
      </c>
      <c r="I23" s="6" t="str">
        <f aca="false">IFERROR(INDEX(Catálogo!I$4:I$1000,MATCH($A$1&amp;"|"&amp;20,Índice!$A$4:$A$1000,0)),"")</f>
        <v>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v>
      </c>
      <c r="J23" s="6" t="str">
        <f aca="false">IFERROR(INDEX(Catálogo!J$4:J$1000,MATCH($A$1&amp;"|"&amp;20,Índice!$A$4:$A$1000,0)),"")</f>
        <v>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v>
      </c>
      <c r="K23" s="6" t="str">
        <f aca="false">IFERROR(INDEX(Catálogo!K$4:K$1000,MATCH($A$1&amp;"|"&amp;20,Índice!$A$4:$A$1000,0)),"")</f>
        <v>gad7</v>
      </c>
      <c r="L23" s="6" t="str">
        <f aca="false">IFERROR(INDEX(Catálogo!L$4:L$1000,MATCH($A$1&amp;"|"&amp;20,Índice!$A$4:$A$1000,0)),"")</f>
        <v>q_gad7</v>
      </c>
      <c r="M23" s="7" t="str">
        <f aca="false">IFERROR(INDEX(Catálogo!M$4:M$1000,MATCH($A$1&amp;"|"&amp;20,Índice!$A$4:$A$1000,0)),"")</f>
        <v>https://correiaricardina-ui.github.io/questionarios/GAD7_v1.html</v>
      </c>
    </row>
    <row r="24" customFormat="false" ht="42" hidden="false" customHeight="true" outlineLevel="0" collapsed="false">
      <c r="A24" s="5" t="n">
        <f aca="false">IFERROR(INDEX(Catálogo!A$4:A$1000,MATCH($A$1&amp;"|"&amp;21,Índice!$A$4:$A$1000,0)),"")</f>
        <v>166</v>
      </c>
      <c r="B24" s="6" t="str">
        <f aca="false">IFERROR(INDEX(Catálogo!B$4:B$1000,MATCH($A$1&amp;"|"&amp;21,Índice!$A$4:$A$1000,0)),"")</f>
        <v>SMQ — Questionário de Mutismo Seletivo (Pais)</v>
      </c>
      <c r="C24" s="6" t="str">
        <f aca="false">IFERROR(INDEX(Catálogo!C$4:C$1000,MATCH($A$1&amp;"|"&amp;21,Índice!$A$4:$A$1000,0)),"")</f>
        <v>Ansiedade, Depressão &amp; Internalização</v>
      </c>
      <c r="D24" s="6" t="str">
        <f aca="false">IFERROR(INDEX(Catálogo!D$4:D$1000,MATCH($A$1&amp;"|"&amp;21,Índice!$A$4:$A$1000,0)),"")</f>
        <v>Mãe, Pai, Enc. Educação</v>
      </c>
      <c r="E24" s="6" t="str">
        <f aca="false">IFERROR(INDEX(Catálogo!E$4:E$1000,MATCH($A$1&amp;"|"&amp;21,Índice!$A$4:$A$1000,0)),"")</f>
        <v>3–17 anos</v>
      </c>
      <c r="F24" s="5" t="n">
        <f aca="false">IFERROR(INDEX(Catálogo!F$4:F$1000,MATCH($A$1&amp;"|"&amp;21,Índice!$A$4:$A$1000,0)),"")</f>
        <v>3</v>
      </c>
      <c r="G24" s="5" t="n">
        <f aca="false">IFERROR(INDEX(Catálogo!G$4:G$1000,MATCH($A$1&amp;"|"&amp;21,Índice!$A$4:$A$1000,0)),"")</f>
        <v>17</v>
      </c>
      <c r="H24" s="5" t="n">
        <f aca="false">IFERROR(INDEX(Catálogo!H$4:H$1000,MATCH($A$1&amp;"|"&amp;21,Índice!$A$4:$A$1000,0)),"")</f>
        <v>10</v>
      </c>
      <c r="I24" s="6" t="str">
        <f aca="false">IFERROR(INDEX(Catálogo!I$4:I$1000,MATCH($A$1&amp;"|"&amp;21,Índice!$A$4:$A$1000,0)),"")</f>
        <v>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v>
      </c>
      <c r="J24" s="6" t="str">
        <f aca="false">IFERROR(INDEX(Catálogo!J$4:J$1000,MATCH($A$1&amp;"|"&amp;21,Índice!$A$4:$A$1000,0)),"")</f>
        <v>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v>
      </c>
      <c r="K24" s="6" t="str">
        <f aca="false">IFERROR(INDEX(Catálogo!K$4:K$1000,MATCH($A$1&amp;"|"&amp;21,Índice!$A$4:$A$1000,0)),"")</f>
        <v>smq_pais</v>
      </c>
      <c r="L24" s="6" t="str">
        <f aca="false">IFERROR(INDEX(Catálogo!L$4:L$1000,MATCH($A$1&amp;"|"&amp;21,Índice!$A$4:$A$1000,0)),"")</f>
        <v>q_smq_pais</v>
      </c>
      <c r="M24" s="7" t="str">
        <f aca="false">IFERROR(INDEX(Catálogo!M$4:M$1000,MATCH($A$1&amp;"|"&amp;21,Índice!$A$4:$A$1000,0)),"")</f>
        <v>https://correiaricardina-ui.github.io/questionarios/SMQ_Pais_v1.html</v>
      </c>
    </row>
    <row r="25" customFormat="false" ht="42" hidden="false" customHeight="true" outlineLevel="0" collapsed="false">
      <c r="A25" s="5" t="n">
        <f aca="false">IFERROR(INDEX(Catálogo!A$4:A$1000,MATCH($A$1&amp;"|"&amp;22,Índice!$A$4:$A$1000,0)),"")</f>
        <v>167</v>
      </c>
      <c r="B25" s="6" t="str">
        <f aca="false">IFERROR(INDEX(Catálogo!B$4:B$1000,MATCH($A$1&amp;"|"&amp;22,Índice!$A$4:$A$1000,0)),"")</f>
        <v>SMQ — Questionário de Mutismo Seletivo (Professores)</v>
      </c>
      <c r="C25" s="6" t="str">
        <f aca="false">IFERROR(INDEX(Catálogo!C$4:C$1000,MATCH($A$1&amp;"|"&amp;22,Índice!$A$4:$A$1000,0)),"")</f>
        <v>Ansiedade, Depressão &amp; Internalização</v>
      </c>
      <c r="D25" s="6" t="str">
        <f aca="false">IFERROR(INDEX(Catálogo!D$4:D$1000,MATCH($A$1&amp;"|"&amp;22,Índice!$A$4:$A$1000,0)),"")</f>
        <v>Professor(a), Educador(a)</v>
      </c>
      <c r="E25" s="6" t="str">
        <f aca="false">IFERROR(INDEX(Catálogo!E$4:E$1000,MATCH($A$1&amp;"|"&amp;22,Índice!$A$4:$A$1000,0)),"")</f>
        <v>3–17 anos</v>
      </c>
      <c r="F25" s="5" t="n">
        <f aca="false">IFERROR(INDEX(Catálogo!F$4:F$1000,MATCH($A$1&amp;"|"&amp;22,Índice!$A$4:$A$1000,0)),"")</f>
        <v>3</v>
      </c>
      <c r="G25" s="5" t="n">
        <f aca="false">IFERROR(INDEX(Catálogo!G$4:G$1000,MATCH($A$1&amp;"|"&amp;22,Índice!$A$4:$A$1000,0)),"")</f>
        <v>17</v>
      </c>
      <c r="H25" s="5" t="n">
        <f aca="false">IFERROR(INDEX(Catálogo!H$4:H$1000,MATCH($A$1&amp;"|"&amp;22,Índice!$A$4:$A$1000,0)),"")</f>
        <v>5</v>
      </c>
      <c r="I25" s="6" t="str">
        <f aca="false">IFERROR(INDEX(Catálogo!I$4:I$1000,MATCH($A$1&amp;"|"&amp;22,Índice!$A$4:$A$1000,0)),"")</f>
        <v>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v>
      </c>
      <c r="J25" s="6" t="str">
        <f aca="false">IFERROR(INDEX(Catálogo!J$4:J$1000,MATCH($A$1&amp;"|"&amp;22,Índice!$A$4:$A$1000,0)),"")</f>
        <v>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v>
      </c>
      <c r="K25" s="6" t="str">
        <f aca="false">IFERROR(INDEX(Catálogo!K$4:K$1000,MATCH($A$1&amp;"|"&amp;22,Índice!$A$4:$A$1000,0)),"")</f>
        <v>smq_prof</v>
      </c>
      <c r="L25" s="6" t="str">
        <f aca="false">IFERROR(INDEX(Catálogo!L$4:L$1000,MATCH($A$1&amp;"|"&amp;22,Índice!$A$4:$A$1000,0)),"")</f>
        <v>q_smq_prof</v>
      </c>
      <c r="M25" s="7" t="str">
        <f aca="false">IFERROR(INDEX(Catálogo!M$4:M$1000,MATCH($A$1&amp;"|"&amp;22,Índice!$A$4:$A$1000,0)),"")</f>
        <v>https://correiaricardina-ui.github.io/questionarios/SMQ_Professores_v1.html</v>
      </c>
    </row>
    <row r="26" customFormat="false" ht="42" hidden="false" customHeight="true" outlineLevel="0" collapsed="false">
      <c r="A26" s="5" t="n">
        <f aca="false">IFERROR(INDEX(Catálogo!A$4:A$1000,MATCH($A$1&amp;"|"&amp;23,Índice!$A$4:$A$1000,0)),"")</f>
        <v>168</v>
      </c>
      <c r="B26" s="6" t="str">
        <f aca="false">IFERROR(INDEX(Catálogo!B$4:B$1000,MATCH($A$1&amp;"|"&amp;23,Índice!$A$4:$A$1000,0)),"")</f>
        <v>QCVE-P — Comportamento Verbal em Contexto Escolar (Professor)</v>
      </c>
      <c r="C26" s="6" t="str">
        <f aca="false">IFERROR(INDEX(Catálogo!C$4:C$1000,MATCH($A$1&amp;"|"&amp;23,Índice!$A$4:$A$1000,0)),"")</f>
        <v>Ansiedade, Depressão &amp; Internalização</v>
      </c>
      <c r="D26" s="6" t="str">
        <f aca="false">IFERROR(INDEX(Catálogo!D$4:D$1000,MATCH($A$1&amp;"|"&amp;23,Índice!$A$4:$A$1000,0)),"")</f>
        <v>Professor(a), Educador(a), Diretor(a) de Turma</v>
      </c>
      <c r="E26" s="6" t="str">
        <f aca="false">IFERROR(INDEX(Catálogo!E$4:E$1000,MATCH($A$1&amp;"|"&amp;23,Índice!$A$4:$A$1000,0)),"")</f>
        <v>3–18 anos</v>
      </c>
      <c r="F26" s="5" t="n">
        <f aca="false">IFERROR(INDEX(Catálogo!F$4:F$1000,MATCH($A$1&amp;"|"&amp;23,Índice!$A$4:$A$1000,0)),"")</f>
        <v>3</v>
      </c>
      <c r="G26" s="5" t="n">
        <f aca="false">IFERROR(INDEX(Catálogo!G$4:G$1000,MATCH($A$1&amp;"|"&amp;23,Índice!$A$4:$A$1000,0)),"")</f>
        <v>18</v>
      </c>
      <c r="H26" s="5" t="n">
        <f aca="false">IFERROR(INDEX(Catálogo!H$4:H$1000,MATCH($A$1&amp;"|"&amp;23,Índice!$A$4:$A$1000,0)),"")</f>
        <v>7</v>
      </c>
      <c r="I26" s="6" t="str">
        <f aca="false">IFERROR(INDEX(Catálogo!I$4:I$1000,MATCH($A$1&amp;"|"&amp;23,Índice!$A$4:$A$1000,0)),"")</f>
        <v>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v>
      </c>
      <c r="J26" s="6" t="str">
        <f aca="false">IFERROR(INDEX(Catálogo!J$4:J$1000,MATCH($A$1&amp;"|"&amp;23,Índice!$A$4:$A$1000,0)),"")</f>
        <v>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v>
      </c>
      <c r="K26" s="6" t="str">
        <f aca="false">IFERROR(INDEX(Catálogo!K$4:K$1000,MATCH($A$1&amp;"|"&amp;23,Índice!$A$4:$A$1000,0)),"")</f>
        <v>qcvep_prof</v>
      </c>
      <c r="L26" s="6" t="str">
        <f aca="false">IFERROR(INDEX(Catálogo!L$4:L$1000,MATCH($A$1&amp;"|"&amp;23,Índice!$A$4:$A$1000,0)),"")</f>
        <v>q_qcvep_prof</v>
      </c>
      <c r="M26" s="7" t="str">
        <f aca="false">IFERROR(INDEX(Catálogo!M$4:M$1000,MATCH($A$1&amp;"|"&amp;23,Índice!$A$4:$A$1000,0)),"")</f>
        <v>https://correiaricardina-ui.github.io/questionarios/QCVEP_Prof_v1.html</v>
      </c>
    </row>
    <row r="27" customFormat="false" ht="42" hidden="false" customHeight="true" outlineLevel="0" collapsed="false">
      <c r="A27" s="5" t="n">
        <f aca="false">IFERROR(INDEX(Catálogo!A$4:A$1000,MATCH($A$1&amp;"|"&amp;24,Índice!$A$4:$A$1000,0)),"")</f>
        <v>178</v>
      </c>
      <c r="B27" s="6" t="str">
        <f aca="false">IFERROR(INDEX(Catálogo!B$4:B$1000,MATCH($A$1&amp;"|"&amp;24,Índice!$A$4:$A$1000,0)),"")</f>
        <v>SIAS · SPS — Escalas de Ansiedade Social</v>
      </c>
      <c r="C27" s="6" t="str">
        <f aca="false">IFERROR(INDEX(Catálogo!C$4:C$1000,MATCH($A$1&amp;"|"&amp;24,Índice!$A$4:$A$1000,0)),"")</f>
        <v>Ansiedade, Depressão &amp; Internalização</v>
      </c>
      <c r="D27" s="6" t="str">
        <f aca="false">IFERROR(INDEX(Catálogo!D$4:D$1000,MATCH($A$1&amp;"|"&amp;24,Índice!$A$4:$A$1000,0)),"")</f>
        <v>Próprio</v>
      </c>
      <c r="E27" s="6" t="str">
        <f aca="false">IFERROR(INDEX(Catálogo!E$4:E$1000,MATCH($A$1&amp;"|"&amp;24,Índice!$A$4:$A$1000,0)),"")</f>
        <v>14–99 anos</v>
      </c>
      <c r="F27" s="5" t="n">
        <f aca="false">IFERROR(INDEX(Catálogo!F$4:F$1000,MATCH($A$1&amp;"|"&amp;24,Índice!$A$4:$A$1000,0)),"")</f>
        <v>14</v>
      </c>
      <c r="G27" s="5" t="n">
        <f aca="false">IFERROR(INDEX(Catálogo!G$4:G$1000,MATCH($A$1&amp;"|"&amp;24,Índice!$A$4:$A$1000,0)),"")</f>
        <v>99</v>
      </c>
      <c r="H27" s="5" t="n">
        <f aca="false">IFERROR(INDEX(Catálogo!H$4:H$1000,MATCH($A$1&amp;"|"&amp;24,Índice!$A$4:$A$1000,0)),"")</f>
        <v>6</v>
      </c>
      <c r="I27" s="6" t="str">
        <f aca="false">IFERROR(INDEX(Catálogo!I$4:I$1000,MATCH($A$1&amp;"|"&amp;24,Índice!$A$4:$A$1000,0)),"")</f>
        <v>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v>
      </c>
      <c r="J27" s="6" t="str">
        <f aca="false">IFERROR(INDEX(Catálogo!J$4:J$1000,MATCH($A$1&amp;"|"&amp;24,Índice!$A$4:$A$1000,0)),"")</f>
        <v>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v>
      </c>
      <c r="K27" s="6" t="str">
        <f aca="false">IFERROR(INDEX(Catálogo!K$4:K$1000,MATCH($A$1&amp;"|"&amp;24,Índice!$A$4:$A$1000,0)),"")</f>
        <v>sias_sps</v>
      </c>
      <c r="L27" s="6" t="str">
        <f aca="false">IFERROR(INDEX(Catálogo!L$4:L$1000,MATCH($A$1&amp;"|"&amp;24,Índice!$A$4:$A$1000,0)),"")</f>
        <v>q_sias_sps</v>
      </c>
      <c r="M27" s="7" t="str">
        <f aca="false">IFERROR(INDEX(Catálogo!M$4:M$1000,MATCH($A$1&amp;"|"&amp;24,Índice!$A$4:$A$1000,0)),"")</f>
        <v>https://correiaricardina-ui.github.io/questionarios/SIAS_SPS_v1.html</v>
      </c>
    </row>
    <row r="28" customFormat="false" ht="42" hidden="false" customHeight="true" outlineLevel="0" collapsed="false">
      <c r="A28" s="5" t="n">
        <f aca="false">IFERROR(INDEX(Catálogo!A$4:A$1000,MATCH($A$1&amp;"|"&amp;25,Índice!$A$4:$A$1000,0)),"")</f>
        <v>179</v>
      </c>
      <c r="B28" s="6" t="str">
        <f aca="false">IFERROR(INDEX(Catálogo!B$4:B$1000,MATCH($A$1&amp;"|"&amp;25,Índice!$A$4:$A$1000,0)),"")</f>
        <v>BAI — Inventário de Ansiedade de Beck</v>
      </c>
      <c r="C28" s="6" t="str">
        <f aca="false">IFERROR(INDEX(Catálogo!C$4:C$1000,MATCH($A$1&amp;"|"&amp;25,Índice!$A$4:$A$1000,0)),"")</f>
        <v>Ansiedade, Depressão &amp; Internalização</v>
      </c>
      <c r="D28" s="6" t="str">
        <f aca="false">IFERROR(INDEX(Catálogo!D$4:D$1000,MATCH($A$1&amp;"|"&amp;25,Índice!$A$4:$A$1000,0)),"")</f>
        <v>Próprio, Mãe, Pai</v>
      </c>
      <c r="E28" s="6" t="str">
        <f aca="false">IFERROR(INDEX(Catálogo!E$4:E$1000,MATCH($A$1&amp;"|"&amp;25,Índice!$A$4:$A$1000,0)),"")</f>
        <v>13–99 anos</v>
      </c>
      <c r="F28" s="5" t="n">
        <f aca="false">IFERROR(INDEX(Catálogo!F$4:F$1000,MATCH($A$1&amp;"|"&amp;25,Índice!$A$4:$A$1000,0)),"")</f>
        <v>13</v>
      </c>
      <c r="G28" s="5" t="n">
        <f aca="false">IFERROR(INDEX(Catálogo!G$4:G$1000,MATCH($A$1&amp;"|"&amp;25,Índice!$A$4:$A$1000,0)),"")</f>
        <v>99</v>
      </c>
      <c r="H28" s="5" t="n">
        <f aca="false">IFERROR(INDEX(Catálogo!H$4:H$1000,MATCH($A$1&amp;"|"&amp;25,Índice!$A$4:$A$1000,0)),"")</f>
        <v>6</v>
      </c>
      <c r="I28" s="6" t="str">
        <f aca="false">IFERROR(INDEX(Catálogo!I$4:I$1000,MATCH($A$1&amp;"|"&amp;25,Índice!$A$4:$A$1000,0)),"")</f>
        <v>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v>
      </c>
      <c r="J28" s="6" t="str">
        <f aca="false">IFERROR(INDEX(Catálogo!J$4:J$1000,MATCH($A$1&amp;"|"&amp;25,Índice!$A$4:$A$1000,0)),"")</f>
        <v>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v>
      </c>
      <c r="K28" s="6" t="str">
        <f aca="false">IFERROR(INDEX(Catálogo!K$4:K$1000,MATCH($A$1&amp;"|"&amp;25,Índice!$A$4:$A$1000,0)),"")</f>
        <v>bai</v>
      </c>
      <c r="L28" s="6" t="str">
        <f aca="false">IFERROR(INDEX(Catálogo!L$4:L$1000,MATCH($A$1&amp;"|"&amp;25,Índice!$A$4:$A$1000,0)),"")</f>
        <v>q_bai</v>
      </c>
      <c r="M28" s="7" t="str">
        <f aca="false">IFERROR(INDEX(Catálogo!M$4:M$1000,MATCH($A$1&amp;"|"&amp;25,Índice!$A$4:$A$1000,0)),"")</f>
        <v>https://correiaricardina-ui.github.io/questionarios/BAI_v1.html</v>
      </c>
    </row>
    <row r="29" customFormat="false" ht="42" hidden="false" customHeight="true" outlineLevel="0" collapsed="false">
      <c r="A29" s="5" t="n">
        <f aca="false">IFERROR(INDEX(Catálogo!A$4:A$1000,MATCH($A$1&amp;"|"&amp;26,Índice!$A$4:$A$1000,0)),"")</f>
        <v>180</v>
      </c>
      <c r="B29" s="6" t="str">
        <f aca="false">IFERROR(INDEX(Catálogo!B$4:B$1000,MATCH($A$1&amp;"|"&amp;26,Índice!$A$4:$A$1000,0)),"")</f>
        <v>BDI-II — Inventário de Depressão de Beck II</v>
      </c>
      <c r="C29" s="6" t="str">
        <f aca="false">IFERROR(INDEX(Catálogo!C$4:C$1000,MATCH($A$1&amp;"|"&amp;26,Índice!$A$4:$A$1000,0)),"")</f>
        <v>Ansiedade, Depressão &amp; Internalização</v>
      </c>
      <c r="D29" s="6" t="str">
        <f aca="false">IFERROR(INDEX(Catálogo!D$4:D$1000,MATCH($A$1&amp;"|"&amp;26,Índice!$A$4:$A$1000,0)),"")</f>
        <v>Próprio, Mãe, Pai</v>
      </c>
      <c r="E29" s="6" t="str">
        <f aca="false">IFERROR(INDEX(Catálogo!E$4:E$1000,MATCH($A$1&amp;"|"&amp;26,Índice!$A$4:$A$1000,0)),"")</f>
        <v>13–99 anos</v>
      </c>
      <c r="F29" s="5" t="n">
        <f aca="false">IFERROR(INDEX(Catálogo!F$4:F$1000,MATCH($A$1&amp;"|"&amp;26,Índice!$A$4:$A$1000,0)),"")</f>
        <v>13</v>
      </c>
      <c r="G29" s="5" t="n">
        <f aca="false">IFERROR(INDEX(Catálogo!G$4:G$1000,MATCH($A$1&amp;"|"&amp;26,Índice!$A$4:$A$1000,0)),"")</f>
        <v>99</v>
      </c>
      <c r="H29" s="5" t="n">
        <f aca="false">IFERROR(INDEX(Catálogo!H$4:H$1000,MATCH($A$1&amp;"|"&amp;26,Índice!$A$4:$A$1000,0)),"")</f>
        <v>6</v>
      </c>
      <c r="I29" s="6" t="str">
        <f aca="false">IFERROR(INDEX(Catálogo!I$4:I$1000,MATCH($A$1&amp;"|"&amp;26,Índice!$A$4:$A$1000,0)),"")</f>
        <v>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v>
      </c>
      <c r="J29" s="6" t="str">
        <f aca="false">IFERROR(INDEX(Catálogo!J$4:J$1000,MATCH($A$1&amp;"|"&amp;26,Índice!$A$4:$A$1000,0)),"")</f>
        <v>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v>
      </c>
      <c r="K29" s="6" t="str">
        <f aca="false">IFERROR(INDEX(Catálogo!K$4:K$1000,MATCH($A$1&amp;"|"&amp;26,Índice!$A$4:$A$1000,0)),"")</f>
        <v>bdi2</v>
      </c>
      <c r="L29" s="6" t="str">
        <f aca="false">IFERROR(INDEX(Catálogo!L$4:L$1000,MATCH($A$1&amp;"|"&amp;26,Índice!$A$4:$A$1000,0)),"")</f>
        <v>q_bdi2</v>
      </c>
      <c r="M29" s="7" t="str">
        <f aca="false">IFERROR(INDEX(Catálogo!M$4:M$1000,MATCH($A$1&amp;"|"&amp;26,Índice!$A$4:$A$1000,0)),"")</f>
        <v>https://correiaricardina-ui.github.io/questionarios/BDI2_v1.html</v>
      </c>
    </row>
    <row r="30" customFormat="false" ht="42" hidden="false" customHeight="true" outlineLevel="0" collapsed="false">
      <c r="A30" s="5" t="n">
        <f aca="false">IFERROR(INDEX(Catálogo!A$4:A$1000,MATCH($A$1&amp;"|"&amp;27,Índice!$A$4:$A$1000,0)),"")</f>
        <v>181</v>
      </c>
      <c r="B30" s="6" t="str">
        <f aca="false">IFERROR(INDEX(Catálogo!B$4:B$1000,MATCH($A$1&amp;"|"&amp;27,Índice!$A$4:$A$1000,0)),"")</f>
        <v>PSWQ — Questionário de Preocupação do Estado da Pensilvânia</v>
      </c>
      <c r="C30" s="6" t="str">
        <f aca="false">IFERROR(INDEX(Catálogo!C$4:C$1000,MATCH($A$1&amp;"|"&amp;27,Índice!$A$4:$A$1000,0)),"")</f>
        <v>Ansiedade, Depressão &amp; Internalização</v>
      </c>
      <c r="D30" s="6" t="str">
        <f aca="false">IFERROR(INDEX(Catálogo!D$4:D$1000,MATCH($A$1&amp;"|"&amp;27,Índice!$A$4:$A$1000,0)),"")</f>
        <v>Próprio, Mãe, Pai</v>
      </c>
      <c r="E30" s="6" t="str">
        <f aca="false">IFERROR(INDEX(Catálogo!E$4:E$1000,MATCH($A$1&amp;"|"&amp;27,Índice!$A$4:$A$1000,0)),"")</f>
        <v>18–99 anos</v>
      </c>
      <c r="F30" s="5" t="n">
        <f aca="false">IFERROR(INDEX(Catálogo!F$4:F$1000,MATCH($A$1&amp;"|"&amp;27,Índice!$A$4:$A$1000,0)),"")</f>
        <v>18</v>
      </c>
      <c r="G30" s="5" t="n">
        <f aca="false">IFERROR(INDEX(Catálogo!G$4:G$1000,MATCH($A$1&amp;"|"&amp;27,Índice!$A$4:$A$1000,0)),"")</f>
        <v>99</v>
      </c>
      <c r="H30" s="5" t="n">
        <f aca="false">IFERROR(INDEX(Catálogo!H$4:H$1000,MATCH($A$1&amp;"|"&amp;27,Índice!$A$4:$A$1000,0)),"")</f>
        <v>11</v>
      </c>
      <c r="I30" s="6" t="str">
        <f aca="false">IFERROR(INDEX(Catálogo!I$4:I$1000,MATCH($A$1&amp;"|"&amp;27,Índice!$A$4:$A$1000,0)),"")</f>
        <v>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v>
      </c>
      <c r="J30" s="6" t="str">
        <f aca="false">IFERROR(INDEX(Catálogo!J$4:J$1000,MATCH($A$1&amp;"|"&amp;27,Índice!$A$4:$A$1000,0)),"")</f>
        <v>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v>
      </c>
      <c r="K30" s="6" t="str">
        <f aca="false">IFERROR(INDEX(Catálogo!K$4:K$1000,MATCH($A$1&amp;"|"&amp;27,Índice!$A$4:$A$1000,0)),"")</f>
        <v>pswq</v>
      </c>
      <c r="L30" s="6" t="str">
        <f aca="false">IFERROR(INDEX(Catálogo!L$4:L$1000,MATCH($A$1&amp;"|"&amp;27,Índice!$A$4:$A$1000,0)),"")</f>
        <v>q_pswq</v>
      </c>
      <c r="M30" s="7" t="str">
        <f aca="false">IFERROR(INDEX(Catálogo!M$4:M$1000,MATCH($A$1&amp;"|"&amp;27,Índice!$A$4:$A$1000,0)),"")</f>
        <v>https://correiaricardina-ui.github.io/questionarios/PSWQ_v1.html</v>
      </c>
    </row>
    <row r="31" customFormat="false" ht="42" hidden="false" customHeight="true" outlineLevel="0" collapsed="false">
      <c r="A31" s="5" t="n">
        <f aca="false">IFERROR(INDEX(Catálogo!A$4:A$1000,MATCH($A$1&amp;"|"&amp;28,Índice!$A$4:$A$1000,0)),"")</f>
        <v>186</v>
      </c>
      <c r="B31" s="6" t="str">
        <f aca="false">IFERROR(INDEX(Catálogo!B$4:B$1000,MATCH($A$1&amp;"|"&amp;28,Índice!$A$4:$A$1000,0)),"")</f>
        <v>EII-27 · Forma A — Escala de Intolerância à Incerteza (versão longa, adultos)</v>
      </c>
      <c r="C31" s="6" t="str">
        <f aca="false">IFERROR(INDEX(Catálogo!C$4:C$1000,MATCH($A$1&amp;"|"&amp;28,Índice!$A$4:$A$1000,0)),"")</f>
        <v>Ansiedade, Depressão &amp; Internalização</v>
      </c>
      <c r="D31" s="6" t="str">
        <f aca="false">IFERROR(INDEX(Catálogo!D$4:D$1000,MATCH($A$1&amp;"|"&amp;28,Índice!$A$4:$A$1000,0)),"")</f>
        <v>Próprio, Mãe, Pai</v>
      </c>
      <c r="E31" s="6" t="str">
        <f aca="false">IFERROR(INDEX(Catálogo!E$4:E$1000,MATCH($A$1&amp;"|"&amp;28,Índice!$A$4:$A$1000,0)),"")</f>
        <v>18–99 anos</v>
      </c>
      <c r="F31" s="5" t="n">
        <f aca="false">IFERROR(INDEX(Catálogo!F$4:F$1000,MATCH($A$1&amp;"|"&amp;28,Índice!$A$4:$A$1000,0)),"")</f>
        <v>18</v>
      </c>
      <c r="G31" s="5" t="n">
        <f aca="false">IFERROR(INDEX(Catálogo!G$4:G$1000,MATCH($A$1&amp;"|"&amp;28,Índice!$A$4:$A$1000,0)),"")</f>
        <v>99</v>
      </c>
      <c r="H31" s="5" t="n">
        <f aca="false">IFERROR(INDEX(Catálogo!H$4:H$1000,MATCH($A$1&amp;"|"&amp;28,Índice!$A$4:$A$1000,0)),"")</f>
        <v>12</v>
      </c>
      <c r="I31" s="6" t="str">
        <f aca="false">IFERROR(INDEX(Catálogo!I$4:I$1000,MATCH($A$1&amp;"|"&amp;28,Índice!$A$4:$A$1000,0)),"")</f>
        <v>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v>
      </c>
      <c r="J31" s="6" t="str">
        <f aca="false">IFERROR(INDEX(Catálogo!J$4:J$1000,MATCH($A$1&amp;"|"&amp;28,Índice!$A$4:$A$1000,0)),"")</f>
        <v>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v>
      </c>
      <c r="K31" s="6" t="str">
        <f aca="false">IFERROR(INDEX(Catálogo!K$4:K$1000,MATCH($A$1&amp;"|"&amp;28,Índice!$A$4:$A$1000,0)),"")</f>
        <v>eii27_a</v>
      </c>
      <c r="L31" s="6" t="str">
        <f aca="false">IFERROR(INDEX(Catálogo!L$4:L$1000,MATCH($A$1&amp;"|"&amp;28,Índice!$A$4:$A$1000,0)),"")</f>
        <v>q_eii27_a</v>
      </c>
      <c r="M31" s="7" t="str">
        <f aca="false">IFERROR(INDEX(Catálogo!M$4:M$1000,MATCH($A$1&amp;"|"&amp;28,Índice!$A$4:$A$1000,0)),"")</f>
        <v>https://correiaricardina-ui.github.io/questionarios/EII27_A_v1.html</v>
      </c>
    </row>
    <row r="32" customFormat="false" ht="42" hidden="false" customHeight="true" outlineLevel="0" collapsed="false">
      <c r="A32" s="5" t="n">
        <f aca="false">IFERROR(INDEX(Catálogo!A$4:A$1000,MATCH($A$1&amp;"|"&amp;29,Índice!$A$4:$A$1000,0)),"")</f>
        <v>187</v>
      </c>
      <c r="B32" s="6" t="str">
        <f aca="false">IFERROR(INDEX(Catálogo!B$4:B$1000,MATCH($A$1&amp;"|"&amp;29,Índice!$A$4:$A$1000,0)),"")</f>
        <v>EII-27 · Forma J — Escala de Intolerância à Incerteza (versão longa, adolescentes)</v>
      </c>
      <c r="C32" s="6" t="str">
        <f aca="false">IFERROR(INDEX(Catálogo!C$4:C$1000,MATCH($A$1&amp;"|"&amp;29,Índice!$A$4:$A$1000,0)),"")</f>
        <v>Ansiedade, Depressão &amp; Internalização</v>
      </c>
      <c r="D32" s="6" t="str">
        <f aca="false">IFERROR(INDEX(Catálogo!D$4:D$1000,MATCH($A$1&amp;"|"&amp;29,Índice!$A$4:$A$1000,0)),"")</f>
        <v>Próprio</v>
      </c>
      <c r="E32" s="6" t="str">
        <f aca="false">IFERROR(INDEX(Catálogo!E$4:E$1000,MATCH($A$1&amp;"|"&amp;29,Índice!$A$4:$A$1000,0)),"")</f>
        <v>12–17 anos</v>
      </c>
      <c r="F32" s="5" t="n">
        <f aca="false">IFERROR(INDEX(Catálogo!F$4:F$1000,MATCH($A$1&amp;"|"&amp;29,Índice!$A$4:$A$1000,0)),"")</f>
        <v>12</v>
      </c>
      <c r="G32" s="5" t="n">
        <f aca="false">IFERROR(INDEX(Catálogo!G$4:G$1000,MATCH($A$1&amp;"|"&amp;29,Índice!$A$4:$A$1000,0)),"")</f>
        <v>17</v>
      </c>
      <c r="H32" s="5" t="n">
        <f aca="false">IFERROR(INDEX(Catálogo!H$4:H$1000,MATCH($A$1&amp;"|"&amp;29,Índice!$A$4:$A$1000,0)),"")</f>
        <v>12</v>
      </c>
      <c r="I32" s="6" t="str">
        <f aca="false">IFERROR(INDEX(Catálogo!I$4:I$1000,MATCH($A$1&amp;"|"&amp;29,Índice!$A$4:$A$1000,0)),"")</f>
        <v>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v>
      </c>
      <c r="J32" s="6" t="str">
        <f aca="false">IFERROR(INDEX(Catálogo!J$4:J$1000,MATCH($A$1&amp;"|"&amp;29,Índice!$A$4:$A$1000,0)),"")</f>
        <v>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v>
      </c>
      <c r="K32" s="6" t="str">
        <f aca="false">IFERROR(INDEX(Catálogo!K$4:K$1000,MATCH($A$1&amp;"|"&amp;29,Índice!$A$4:$A$1000,0)),"")</f>
        <v>eii27_j</v>
      </c>
      <c r="L32" s="6" t="str">
        <f aca="false">IFERROR(INDEX(Catálogo!L$4:L$1000,MATCH($A$1&amp;"|"&amp;29,Índice!$A$4:$A$1000,0)),"")</f>
        <v>q_eii27_j</v>
      </c>
      <c r="M32" s="7" t="str">
        <f aca="false">IFERROR(INDEX(Catálogo!M$4:M$1000,MATCH($A$1&amp;"|"&amp;29,Índice!$A$4:$A$1000,0)),"")</f>
        <v>https://correiaricardina-ui.github.io/questionarios/EII27_J_v1.html</v>
      </c>
    </row>
    <row r="33" customFormat="false" ht="42" hidden="false" customHeight="true" outlineLevel="0" collapsed="false">
      <c r="A33" s="5" t="n">
        <f aca="false">IFERROR(INDEX(Catálogo!A$4:A$1000,MATCH($A$1&amp;"|"&amp;30,Índice!$A$4:$A$1000,0)),"")</f>
        <v>188</v>
      </c>
      <c r="B33" s="6" t="str">
        <f aca="false">IFERROR(INDEX(Catálogo!B$4:B$1000,MATCH($A$1&amp;"|"&amp;30,Índice!$A$4:$A$1000,0)),"")</f>
        <v>EII-12 · Forma A — Escala de Intolerância à Incerteza (versão curta, adultos)</v>
      </c>
      <c r="C33" s="6" t="str">
        <f aca="false">IFERROR(INDEX(Catálogo!C$4:C$1000,MATCH($A$1&amp;"|"&amp;30,Índice!$A$4:$A$1000,0)),"")</f>
        <v>Ansiedade, Depressão &amp; Internalização</v>
      </c>
      <c r="D33" s="6" t="str">
        <f aca="false">IFERROR(INDEX(Catálogo!D$4:D$1000,MATCH($A$1&amp;"|"&amp;30,Índice!$A$4:$A$1000,0)),"")</f>
        <v>Próprio, Mãe, Pai</v>
      </c>
      <c r="E33" s="6" t="str">
        <f aca="false">IFERROR(INDEX(Catálogo!E$4:E$1000,MATCH($A$1&amp;"|"&amp;30,Índice!$A$4:$A$1000,0)),"")</f>
        <v>18–99 anos</v>
      </c>
      <c r="F33" s="5" t="n">
        <f aca="false">IFERROR(INDEX(Catálogo!F$4:F$1000,MATCH($A$1&amp;"|"&amp;30,Índice!$A$4:$A$1000,0)),"")</f>
        <v>18</v>
      </c>
      <c r="G33" s="5" t="n">
        <f aca="false">IFERROR(INDEX(Catálogo!G$4:G$1000,MATCH($A$1&amp;"|"&amp;30,Índice!$A$4:$A$1000,0)),"")</f>
        <v>99</v>
      </c>
      <c r="H33" s="5" t="n">
        <f aca="false">IFERROR(INDEX(Catálogo!H$4:H$1000,MATCH($A$1&amp;"|"&amp;30,Índice!$A$4:$A$1000,0)),"")</f>
        <v>8</v>
      </c>
      <c r="I33" s="6" t="str">
        <f aca="false">IFERROR(INDEX(Catálogo!I$4:I$1000,MATCH($A$1&amp;"|"&amp;30,Índice!$A$4:$A$1000,0)),"")</f>
        <v>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v>
      </c>
      <c r="J33" s="6" t="str">
        <f aca="false">IFERROR(INDEX(Catálogo!J$4:J$1000,MATCH($A$1&amp;"|"&amp;30,Índice!$A$4:$A$1000,0)),"")</f>
        <v>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v>
      </c>
      <c r="K33" s="6" t="str">
        <f aca="false">IFERROR(INDEX(Catálogo!K$4:K$1000,MATCH($A$1&amp;"|"&amp;30,Índice!$A$4:$A$1000,0)),"")</f>
        <v>eii12_a</v>
      </c>
      <c r="L33" s="6" t="str">
        <f aca="false">IFERROR(INDEX(Catálogo!L$4:L$1000,MATCH($A$1&amp;"|"&amp;30,Índice!$A$4:$A$1000,0)),"")</f>
        <v>q_eii12_a</v>
      </c>
      <c r="M33" s="7" t="str">
        <f aca="false">IFERROR(INDEX(Catálogo!M$4:M$1000,MATCH($A$1&amp;"|"&amp;30,Índice!$A$4:$A$1000,0)),"")</f>
        <v>https://correiaricardina-ui.github.io/questionarios/EII12_A_v1.html</v>
      </c>
    </row>
    <row r="34" customFormat="false" ht="42" hidden="false" customHeight="true" outlineLevel="0" collapsed="false">
      <c r="A34" s="5" t="n">
        <f aca="false">IFERROR(INDEX(Catálogo!A$4:A$1000,MATCH($A$1&amp;"|"&amp;31,Índice!$A$4:$A$1000,0)),"")</f>
        <v>189</v>
      </c>
      <c r="B34" s="6" t="str">
        <f aca="false">IFERROR(INDEX(Catálogo!B$4:B$1000,MATCH($A$1&amp;"|"&amp;31,Índice!$A$4:$A$1000,0)),"")</f>
        <v>EII-12 · Forma J — Escala de Intolerância à Incerteza (versão curta, adolescentes)</v>
      </c>
      <c r="C34" s="6" t="str">
        <f aca="false">IFERROR(INDEX(Catálogo!C$4:C$1000,MATCH($A$1&amp;"|"&amp;31,Índice!$A$4:$A$1000,0)),"")</f>
        <v>Ansiedade, Depressão &amp; Internalização</v>
      </c>
      <c r="D34" s="6" t="str">
        <f aca="false">IFERROR(INDEX(Catálogo!D$4:D$1000,MATCH($A$1&amp;"|"&amp;31,Índice!$A$4:$A$1000,0)),"")</f>
        <v>Próprio</v>
      </c>
      <c r="E34" s="6" t="str">
        <f aca="false">IFERROR(INDEX(Catálogo!E$4:E$1000,MATCH($A$1&amp;"|"&amp;31,Índice!$A$4:$A$1000,0)),"")</f>
        <v>12–17 anos</v>
      </c>
      <c r="F34" s="5" t="n">
        <f aca="false">IFERROR(INDEX(Catálogo!F$4:F$1000,MATCH($A$1&amp;"|"&amp;31,Índice!$A$4:$A$1000,0)),"")</f>
        <v>12</v>
      </c>
      <c r="G34" s="5" t="n">
        <f aca="false">IFERROR(INDEX(Catálogo!G$4:G$1000,MATCH($A$1&amp;"|"&amp;31,Índice!$A$4:$A$1000,0)),"")</f>
        <v>17</v>
      </c>
      <c r="H34" s="5" t="n">
        <f aca="false">IFERROR(INDEX(Catálogo!H$4:H$1000,MATCH($A$1&amp;"|"&amp;31,Índice!$A$4:$A$1000,0)),"")</f>
        <v>8</v>
      </c>
      <c r="I34" s="6" t="str">
        <f aca="false">IFERROR(INDEX(Catálogo!I$4:I$1000,MATCH($A$1&amp;"|"&amp;31,Índice!$A$4:$A$1000,0)),"")</f>
        <v>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v>
      </c>
      <c r="J34" s="6" t="str">
        <f aca="false">IFERROR(INDEX(Catálogo!J$4:J$1000,MATCH($A$1&amp;"|"&amp;31,Índice!$A$4:$A$1000,0)),"")</f>
        <v>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v>
      </c>
      <c r="K34" s="6" t="str">
        <f aca="false">IFERROR(INDEX(Catálogo!K$4:K$1000,MATCH($A$1&amp;"|"&amp;31,Índice!$A$4:$A$1000,0)),"")</f>
        <v>eii12_j</v>
      </c>
      <c r="L34" s="6" t="str">
        <f aca="false">IFERROR(INDEX(Catálogo!L$4:L$1000,MATCH($A$1&amp;"|"&amp;31,Índice!$A$4:$A$1000,0)),"")</f>
        <v>q_eii12_j</v>
      </c>
      <c r="M34" s="7" t="str">
        <f aca="false">IFERROR(INDEX(Catálogo!M$4:M$1000,MATCH($A$1&amp;"|"&amp;31,Índice!$A$4:$A$1000,0)),"")</f>
        <v>https://correiaricardina-ui.github.io/questionarios/EII12_J_v1.html</v>
      </c>
    </row>
    <row r="35" customFormat="false" ht="42" hidden="false" customHeight="true" outlineLevel="0" collapsed="false">
      <c r="A35" s="5" t="str">
        <f aca="false">IFERROR(INDEX(Catálogo!A$4:A$1000,MATCH($A$1&amp;"|"&amp;32,Índice!$A$4:$A$1000,0)),"")</f>
        <v/>
      </c>
      <c r="B35" s="6" t="str">
        <f aca="false">IFERROR(INDEX(Catálogo!B$4:B$1000,MATCH($A$1&amp;"|"&amp;32,Índice!$A$4:$A$1000,0)),"")</f>
        <v/>
      </c>
      <c r="C35" s="6" t="str">
        <f aca="false">IFERROR(INDEX(Catálogo!C$4:C$1000,MATCH($A$1&amp;"|"&amp;32,Índice!$A$4:$A$1000,0)),"")</f>
        <v/>
      </c>
      <c r="D35" s="6" t="str">
        <f aca="false">IFERROR(INDEX(Catálogo!D$4:D$1000,MATCH($A$1&amp;"|"&amp;32,Índice!$A$4:$A$1000,0)),"")</f>
        <v/>
      </c>
      <c r="E35" s="6" t="str">
        <f aca="false">IFERROR(INDEX(Catálogo!E$4:E$1000,MATCH($A$1&amp;"|"&amp;32,Índice!$A$4:$A$1000,0)),"")</f>
        <v/>
      </c>
      <c r="F35" s="5" t="str">
        <f aca="false">IFERROR(INDEX(Catálogo!F$4:F$1000,MATCH($A$1&amp;"|"&amp;32,Índice!$A$4:$A$1000,0)),"")</f>
        <v/>
      </c>
      <c r="G35" s="5" t="str">
        <f aca="false">IFERROR(INDEX(Catálogo!G$4:G$1000,MATCH($A$1&amp;"|"&amp;32,Índice!$A$4:$A$1000,0)),"")</f>
        <v/>
      </c>
      <c r="H35" s="5" t="str">
        <f aca="false">IFERROR(INDEX(Catálogo!H$4:H$1000,MATCH($A$1&amp;"|"&amp;32,Índice!$A$4:$A$1000,0)),"")</f>
        <v/>
      </c>
      <c r="I35" s="6" t="str">
        <f aca="false">IFERROR(INDEX(Catálogo!I$4:I$1000,MATCH($A$1&amp;"|"&amp;32,Índice!$A$4:$A$1000,0)),"")</f>
        <v/>
      </c>
      <c r="J35" s="6" t="str">
        <f aca="false">IFERROR(INDEX(Catálogo!J$4:J$1000,MATCH($A$1&amp;"|"&amp;32,Índice!$A$4:$A$1000,0)),"")</f>
        <v/>
      </c>
      <c r="K35" s="6" t="str">
        <f aca="false">IFERROR(INDEX(Catálogo!K$4:K$1000,MATCH($A$1&amp;"|"&amp;32,Índice!$A$4:$A$1000,0)),"")</f>
        <v/>
      </c>
      <c r="L35" s="6" t="str">
        <f aca="false">IFERROR(INDEX(Catálogo!L$4:L$1000,MATCH($A$1&amp;"|"&amp;32,Índice!$A$4:$A$1000,0)),"")</f>
        <v/>
      </c>
      <c r="M35" s="7" t="str">
        <f aca="false">IFERROR(INDEX(Catálogo!M$4:M$1000,MATCH($A$1&amp;"|"&amp;32,Índice!$A$4:$A$1000,0)),"")</f>
        <v/>
      </c>
    </row>
    <row r="36" customFormat="false" ht="42" hidden="false" customHeight="true" outlineLevel="0" collapsed="false">
      <c r="A36" s="5" t="str">
        <f aca="false">IFERROR(INDEX(Catálogo!A$4:A$1000,MATCH($A$1&amp;"|"&amp;33,Índice!$A$4:$A$1000,0)),"")</f>
        <v/>
      </c>
      <c r="B36" s="6" t="str">
        <f aca="false">IFERROR(INDEX(Catálogo!B$4:B$1000,MATCH($A$1&amp;"|"&amp;33,Índice!$A$4:$A$1000,0)),"")</f>
        <v/>
      </c>
      <c r="C36" s="6" t="str">
        <f aca="false">IFERROR(INDEX(Catálogo!C$4:C$1000,MATCH($A$1&amp;"|"&amp;33,Índice!$A$4:$A$1000,0)),"")</f>
        <v/>
      </c>
      <c r="D36" s="6" t="str">
        <f aca="false">IFERROR(INDEX(Catálogo!D$4:D$1000,MATCH($A$1&amp;"|"&amp;33,Índice!$A$4:$A$1000,0)),"")</f>
        <v/>
      </c>
      <c r="E36" s="6" t="str">
        <f aca="false">IFERROR(INDEX(Catálogo!E$4:E$1000,MATCH($A$1&amp;"|"&amp;33,Índice!$A$4:$A$1000,0)),"")</f>
        <v/>
      </c>
      <c r="F36" s="5" t="str">
        <f aca="false">IFERROR(INDEX(Catálogo!F$4:F$1000,MATCH($A$1&amp;"|"&amp;33,Índice!$A$4:$A$1000,0)),"")</f>
        <v/>
      </c>
      <c r="G36" s="5" t="str">
        <f aca="false">IFERROR(INDEX(Catálogo!G$4:G$1000,MATCH($A$1&amp;"|"&amp;33,Índice!$A$4:$A$1000,0)),"")</f>
        <v/>
      </c>
      <c r="H36" s="5" t="str">
        <f aca="false">IFERROR(INDEX(Catálogo!H$4:H$1000,MATCH($A$1&amp;"|"&amp;33,Índice!$A$4:$A$1000,0)),"")</f>
        <v/>
      </c>
      <c r="I36" s="6" t="str">
        <f aca="false">IFERROR(INDEX(Catálogo!I$4:I$1000,MATCH($A$1&amp;"|"&amp;33,Índice!$A$4:$A$1000,0)),"")</f>
        <v/>
      </c>
      <c r="J36" s="6" t="str">
        <f aca="false">IFERROR(INDEX(Catálogo!J$4:J$1000,MATCH($A$1&amp;"|"&amp;33,Índice!$A$4:$A$1000,0)),"")</f>
        <v/>
      </c>
      <c r="K36" s="6" t="str">
        <f aca="false">IFERROR(INDEX(Catálogo!K$4:K$1000,MATCH($A$1&amp;"|"&amp;33,Índice!$A$4:$A$1000,0)),"")</f>
        <v/>
      </c>
      <c r="L36" s="6" t="str">
        <f aca="false">IFERROR(INDEX(Catálogo!L$4:L$1000,MATCH($A$1&amp;"|"&amp;33,Índice!$A$4:$A$1000,0)),"")</f>
        <v/>
      </c>
      <c r="M36" s="7" t="str">
        <f aca="false">IFERROR(INDEX(Catálogo!M$4:M$1000,MATCH($A$1&amp;"|"&amp;33,Índice!$A$4:$A$1000,0)),"")</f>
        <v/>
      </c>
    </row>
    <row r="37" customFormat="false" ht="42" hidden="false" customHeight="true" outlineLevel="0" collapsed="false">
      <c r="A37" s="5" t="str">
        <f aca="false">IFERROR(INDEX(Catálogo!A$4:A$1000,MATCH($A$1&amp;"|"&amp;34,Índice!$A$4:$A$1000,0)),"")</f>
        <v/>
      </c>
      <c r="B37" s="6" t="str">
        <f aca="false">IFERROR(INDEX(Catálogo!B$4:B$1000,MATCH($A$1&amp;"|"&amp;34,Índice!$A$4:$A$1000,0)),"")</f>
        <v/>
      </c>
      <c r="C37" s="6" t="str">
        <f aca="false">IFERROR(INDEX(Catálogo!C$4:C$1000,MATCH($A$1&amp;"|"&amp;34,Índice!$A$4:$A$1000,0)),"")</f>
        <v/>
      </c>
      <c r="D37" s="6" t="str">
        <f aca="false">IFERROR(INDEX(Catálogo!D$4:D$1000,MATCH($A$1&amp;"|"&amp;34,Índice!$A$4:$A$1000,0)),"")</f>
        <v/>
      </c>
      <c r="E37" s="6" t="str">
        <f aca="false">IFERROR(INDEX(Catálogo!E$4:E$1000,MATCH($A$1&amp;"|"&amp;34,Índice!$A$4:$A$1000,0)),"")</f>
        <v/>
      </c>
      <c r="F37" s="5" t="str">
        <f aca="false">IFERROR(INDEX(Catálogo!F$4:F$1000,MATCH($A$1&amp;"|"&amp;34,Índice!$A$4:$A$1000,0)),"")</f>
        <v/>
      </c>
      <c r="G37" s="5" t="str">
        <f aca="false">IFERROR(INDEX(Catálogo!G$4:G$1000,MATCH($A$1&amp;"|"&amp;34,Índice!$A$4:$A$1000,0)),"")</f>
        <v/>
      </c>
      <c r="H37" s="5" t="str">
        <f aca="false">IFERROR(INDEX(Catálogo!H$4:H$1000,MATCH($A$1&amp;"|"&amp;34,Índice!$A$4:$A$1000,0)),"")</f>
        <v/>
      </c>
      <c r="I37" s="6" t="str">
        <f aca="false">IFERROR(INDEX(Catálogo!I$4:I$1000,MATCH($A$1&amp;"|"&amp;34,Índice!$A$4:$A$1000,0)),"")</f>
        <v/>
      </c>
      <c r="J37" s="6" t="str">
        <f aca="false">IFERROR(INDEX(Catálogo!J$4:J$1000,MATCH($A$1&amp;"|"&amp;34,Índice!$A$4:$A$1000,0)),"")</f>
        <v/>
      </c>
      <c r="K37" s="6" t="str">
        <f aca="false">IFERROR(INDEX(Catálogo!K$4:K$1000,MATCH($A$1&amp;"|"&amp;34,Índice!$A$4:$A$1000,0)),"")</f>
        <v/>
      </c>
      <c r="L37" s="6" t="str">
        <f aca="false">IFERROR(INDEX(Catálogo!L$4:L$1000,MATCH($A$1&amp;"|"&amp;34,Índice!$A$4:$A$1000,0)),"")</f>
        <v/>
      </c>
      <c r="M37" s="7" t="str">
        <f aca="false">IFERROR(INDEX(Catálogo!M$4:M$1000,MATCH($A$1&amp;"|"&amp;34,Índice!$A$4:$A$1000,0)),"")</f>
        <v/>
      </c>
    </row>
    <row r="38" customFormat="false" ht="42" hidden="false" customHeight="true" outlineLevel="0" collapsed="false">
      <c r="A38" s="5" t="str">
        <f aca="false">IFERROR(INDEX(Catálogo!A$4:A$1000,MATCH($A$1&amp;"|"&amp;35,Índice!$A$4:$A$1000,0)),"")</f>
        <v/>
      </c>
      <c r="B38" s="6" t="str">
        <f aca="false">IFERROR(INDEX(Catálogo!B$4:B$1000,MATCH($A$1&amp;"|"&amp;35,Índice!$A$4:$A$1000,0)),"")</f>
        <v/>
      </c>
      <c r="C38" s="6" t="str">
        <f aca="false">IFERROR(INDEX(Catálogo!C$4:C$1000,MATCH($A$1&amp;"|"&amp;35,Índice!$A$4:$A$1000,0)),"")</f>
        <v/>
      </c>
      <c r="D38" s="6" t="str">
        <f aca="false">IFERROR(INDEX(Catálogo!D$4:D$1000,MATCH($A$1&amp;"|"&amp;35,Índice!$A$4:$A$1000,0)),"")</f>
        <v/>
      </c>
      <c r="E38" s="6" t="str">
        <f aca="false">IFERROR(INDEX(Catálogo!E$4:E$1000,MATCH($A$1&amp;"|"&amp;35,Índice!$A$4:$A$1000,0)),"")</f>
        <v/>
      </c>
      <c r="F38" s="5" t="str">
        <f aca="false">IFERROR(INDEX(Catálogo!F$4:F$1000,MATCH($A$1&amp;"|"&amp;35,Índice!$A$4:$A$1000,0)),"")</f>
        <v/>
      </c>
      <c r="G38" s="5" t="str">
        <f aca="false">IFERROR(INDEX(Catálogo!G$4:G$1000,MATCH($A$1&amp;"|"&amp;35,Índice!$A$4:$A$1000,0)),"")</f>
        <v/>
      </c>
      <c r="H38" s="5" t="str">
        <f aca="false">IFERROR(INDEX(Catálogo!H$4:H$1000,MATCH($A$1&amp;"|"&amp;35,Índice!$A$4:$A$1000,0)),"")</f>
        <v/>
      </c>
      <c r="I38" s="6" t="str">
        <f aca="false">IFERROR(INDEX(Catálogo!I$4:I$1000,MATCH($A$1&amp;"|"&amp;35,Índice!$A$4:$A$1000,0)),"")</f>
        <v/>
      </c>
      <c r="J38" s="6" t="str">
        <f aca="false">IFERROR(INDEX(Catálogo!J$4:J$1000,MATCH($A$1&amp;"|"&amp;35,Índice!$A$4:$A$1000,0)),"")</f>
        <v/>
      </c>
      <c r="K38" s="6" t="str">
        <f aca="false">IFERROR(INDEX(Catálogo!K$4:K$1000,MATCH($A$1&amp;"|"&amp;35,Índice!$A$4:$A$1000,0)),"")</f>
        <v/>
      </c>
      <c r="L38" s="6" t="str">
        <f aca="false">IFERROR(INDEX(Catálogo!L$4:L$1000,MATCH($A$1&amp;"|"&amp;35,Índice!$A$4:$A$1000,0)),"")</f>
        <v/>
      </c>
      <c r="M38" s="7" t="str">
        <f aca="false">IFERROR(INDEX(Catálogo!M$4:M$1000,MATCH($A$1&amp;"|"&amp;35,Índice!$A$4:$A$1000,0)),"")</f>
        <v/>
      </c>
    </row>
    <row r="39" customFormat="false" ht="42" hidden="false" customHeight="true" outlineLevel="0" collapsed="false">
      <c r="A39" s="5" t="str">
        <f aca="false">IFERROR(INDEX(Catálogo!A$4:A$1000,MATCH($A$1&amp;"|"&amp;36,Índice!$A$4:$A$1000,0)),"")</f>
        <v/>
      </c>
      <c r="B39" s="6" t="str">
        <f aca="false">IFERROR(INDEX(Catálogo!B$4:B$1000,MATCH($A$1&amp;"|"&amp;36,Índice!$A$4:$A$1000,0)),"")</f>
        <v/>
      </c>
      <c r="C39" s="6" t="str">
        <f aca="false">IFERROR(INDEX(Catálogo!C$4:C$1000,MATCH($A$1&amp;"|"&amp;36,Índice!$A$4:$A$1000,0)),"")</f>
        <v/>
      </c>
      <c r="D39" s="6" t="str">
        <f aca="false">IFERROR(INDEX(Catálogo!D$4:D$1000,MATCH($A$1&amp;"|"&amp;36,Índice!$A$4:$A$1000,0)),"")</f>
        <v/>
      </c>
      <c r="E39" s="6" t="str">
        <f aca="false">IFERROR(INDEX(Catálogo!E$4:E$1000,MATCH($A$1&amp;"|"&amp;36,Índice!$A$4:$A$1000,0)),"")</f>
        <v/>
      </c>
      <c r="F39" s="5" t="str">
        <f aca="false">IFERROR(INDEX(Catálogo!F$4:F$1000,MATCH($A$1&amp;"|"&amp;36,Índice!$A$4:$A$1000,0)),"")</f>
        <v/>
      </c>
      <c r="G39" s="5" t="str">
        <f aca="false">IFERROR(INDEX(Catálogo!G$4:G$1000,MATCH($A$1&amp;"|"&amp;36,Índice!$A$4:$A$1000,0)),"")</f>
        <v/>
      </c>
      <c r="H39" s="5" t="str">
        <f aca="false">IFERROR(INDEX(Catálogo!H$4:H$1000,MATCH($A$1&amp;"|"&amp;36,Índice!$A$4:$A$1000,0)),"")</f>
        <v/>
      </c>
      <c r="I39" s="6" t="str">
        <f aca="false">IFERROR(INDEX(Catálogo!I$4:I$1000,MATCH($A$1&amp;"|"&amp;36,Índice!$A$4:$A$1000,0)),"")</f>
        <v/>
      </c>
      <c r="J39" s="6" t="str">
        <f aca="false">IFERROR(INDEX(Catálogo!J$4:J$1000,MATCH($A$1&amp;"|"&amp;36,Índice!$A$4:$A$1000,0)),"")</f>
        <v/>
      </c>
      <c r="K39" s="6" t="str">
        <f aca="false">IFERROR(INDEX(Catálogo!K$4:K$1000,MATCH($A$1&amp;"|"&amp;36,Índice!$A$4:$A$1000,0)),"")</f>
        <v/>
      </c>
      <c r="L39" s="6" t="str">
        <f aca="false">IFERROR(INDEX(Catálogo!L$4:L$1000,MATCH($A$1&amp;"|"&amp;36,Índice!$A$4:$A$1000,0)),"")</f>
        <v/>
      </c>
      <c r="M39" s="7" t="str">
        <f aca="false">IFERROR(INDEX(Catálogo!M$4:M$1000,MATCH($A$1&amp;"|"&amp;36,Índice!$A$4:$A$1000,0)),"")</f>
        <v/>
      </c>
    </row>
    <row r="40" customFormat="false" ht="42" hidden="false" customHeight="true" outlineLevel="0" collapsed="false">
      <c r="A40" s="5" t="str">
        <f aca="false">IFERROR(INDEX(Catálogo!A$4:A$1000,MATCH($A$1&amp;"|"&amp;37,Índice!$A$4:$A$1000,0)),"")</f>
        <v/>
      </c>
      <c r="B40" s="6" t="str">
        <f aca="false">IFERROR(INDEX(Catálogo!B$4:B$1000,MATCH($A$1&amp;"|"&amp;37,Índice!$A$4:$A$1000,0)),"")</f>
        <v/>
      </c>
      <c r="C40" s="6" t="str">
        <f aca="false">IFERROR(INDEX(Catálogo!C$4:C$1000,MATCH($A$1&amp;"|"&amp;37,Índice!$A$4:$A$1000,0)),"")</f>
        <v/>
      </c>
      <c r="D40" s="6" t="str">
        <f aca="false">IFERROR(INDEX(Catálogo!D$4:D$1000,MATCH($A$1&amp;"|"&amp;37,Índice!$A$4:$A$1000,0)),"")</f>
        <v/>
      </c>
      <c r="E40" s="6" t="str">
        <f aca="false">IFERROR(INDEX(Catálogo!E$4:E$1000,MATCH($A$1&amp;"|"&amp;37,Índice!$A$4:$A$1000,0)),"")</f>
        <v/>
      </c>
      <c r="F40" s="5" t="str">
        <f aca="false">IFERROR(INDEX(Catálogo!F$4:F$1000,MATCH($A$1&amp;"|"&amp;37,Índice!$A$4:$A$1000,0)),"")</f>
        <v/>
      </c>
      <c r="G40" s="5" t="str">
        <f aca="false">IFERROR(INDEX(Catálogo!G$4:G$1000,MATCH($A$1&amp;"|"&amp;37,Índice!$A$4:$A$1000,0)),"")</f>
        <v/>
      </c>
      <c r="H40" s="5" t="str">
        <f aca="false">IFERROR(INDEX(Catálogo!H$4:H$1000,MATCH($A$1&amp;"|"&amp;37,Índice!$A$4:$A$1000,0)),"")</f>
        <v/>
      </c>
      <c r="I40" s="6" t="str">
        <f aca="false">IFERROR(INDEX(Catálogo!I$4:I$1000,MATCH($A$1&amp;"|"&amp;37,Índice!$A$4:$A$1000,0)),"")</f>
        <v/>
      </c>
      <c r="J40" s="6" t="str">
        <f aca="false">IFERROR(INDEX(Catálogo!J$4:J$1000,MATCH($A$1&amp;"|"&amp;37,Índice!$A$4:$A$1000,0)),"")</f>
        <v/>
      </c>
      <c r="K40" s="6" t="str">
        <f aca="false">IFERROR(INDEX(Catálogo!K$4:K$1000,MATCH($A$1&amp;"|"&amp;37,Índice!$A$4:$A$1000,0)),"")</f>
        <v/>
      </c>
      <c r="L40" s="6" t="str">
        <f aca="false">IFERROR(INDEX(Catálogo!L$4:L$1000,MATCH($A$1&amp;"|"&amp;37,Índice!$A$4:$A$1000,0)),"")</f>
        <v/>
      </c>
      <c r="M40" s="7" t="str">
        <f aca="false">IFERROR(INDEX(Catálogo!M$4:M$1000,MATCH($A$1&amp;"|"&amp;37,Índice!$A$4:$A$1000,0)),"")</f>
        <v/>
      </c>
    </row>
    <row r="41" customFormat="false" ht="42" hidden="false" customHeight="true" outlineLevel="0" collapsed="false">
      <c r="A41" s="5" t="str">
        <f aca="false">IFERROR(INDEX(Catálogo!A$4:A$1000,MATCH($A$1&amp;"|"&amp;38,Índice!$A$4:$A$1000,0)),"")</f>
        <v/>
      </c>
      <c r="B41" s="6" t="str">
        <f aca="false">IFERROR(INDEX(Catálogo!B$4:B$1000,MATCH($A$1&amp;"|"&amp;38,Índice!$A$4:$A$1000,0)),"")</f>
        <v/>
      </c>
      <c r="C41" s="6" t="str">
        <f aca="false">IFERROR(INDEX(Catálogo!C$4:C$1000,MATCH($A$1&amp;"|"&amp;38,Índice!$A$4:$A$1000,0)),"")</f>
        <v/>
      </c>
      <c r="D41" s="6" t="str">
        <f aca="false">IFERROR(INDEX(Catálogo!D$4:D$1000,MATCH($A$1&amp;"|"&amp;38,Índice!$A$4:$A$1000,0)),"")</f>
        <v/>
      </c>
      <c r="E41" s="6" t="str">
        <f aca="false">IFERROR(INDEX(Catálogo!E$4:E$1000,MATCH($A$1&amp;"|"&amp;38,Índice!$A$4:$A$1000,0)),"")</f>
        <v/>
      </c>
      <c r="F41" s="5" t="str">
        <f aca="false">IFERROR(INDEX(Catálogo!F$4:F$1000,MATCH($A$1&amp;"|"&amp;38,Índice!$A$4:$A$1000,0)),"")</f>
        <v/>
      </c>
      <c r="G41" s="5" t="str">
        <f aca="false">IFERROR(INDEX(Catálogo!G$4:G$1000,MATCH($A$1&amp;"|"&amp;38,Índice!$A$4:$A$1000,0)),"")</f>
        <v/>
      </c>
      <c r="H41" s="5" t="str">
        <f aca="false">IFERROR(INDEX(Catálogo!H$4:H$1000,MATCH($A$1&amp;"|"&amp;38,Índice!$A$4:$A$1000,0)),"")</f>
        <v/>
      </c>
      <c r="I41" s="6" t="str">
        <f aca="false">IFERROR(INDEX(Catálogo!I$4:I$1000,MATCH($A$1&amp;"|"&amp;38,Índice!$A$4:$A$1000,0)),"")</f>
        <v/>
      </c>
      <c r="J41" s="6" t="str">
        <f aca="false">IFERROR(INDEX(Catálogo!J$4:J$1000,MATCH($A$1&amp;"|"&amp;38,Índice!$A$4:$A$1000,0)),"")</f>
        <v/>
      </c>
      <c r="K41" s="6" t="str">
        <f aca="false">IFERROR(INDEX(Catálogo!K$4:K$1000,MATCH($A$1&amp;"|"&amp;38,Índice!$A$4:$A$1000,0)),"")</f>
        <v/>
      </c>
      <c r="L41" s="6" t="str">
        <f aca="false">IFERROR(INDEX(Catálogo!L$4:L$1000,MATCH($A$1&amp;"|"&amp;38,Índice!$A$4:$A$1000,0)),"")</f>
        <v/>
      </c>
      <c r="M41" s="7" t="str">
        <f aca="false">IFERROR(INDEX(Catálogo!M$4:M$1000,MATCH($A$1&amp;"|"&amp;38,Índice!$A$4:$A$1000,0)),"")</f>
        <v/>
      </c>
    </row>
    <row r="42" customFormat="false" ht="42" hidden="false" customHeight="true" outlineLevel="0" collapsed="false">
      <c r="A42" s="5" t="str">
        <f aca="false">IFERROR(INDEX(Catálogo!A$4:A$1000,MATCH($A$1&amp;"|"&amp;39,Índice!$A$4:$A$1000,0)),"")</f>
        <v/>
      </c>
      <c r="B42" s="6" t="str">
        <f aca="false">IFERROR(INDEX(Catálogo!B$4:B$1000,MATCH($A$1&amp;"|"&amp;39,Índice!$A$4:$A$1000,0)),"")</f>
        <v/>
      </c>
      <c r="C42" s="6" t="str">
        <f aca="false">IFERROR(INDEX(Catálogo!C$4:C$1000,MATCH($A$1&amp;"|"&amp;39,Índice!$A$4:$A$1000,0)),"")</f>
        <v/>
      </c>
      <c r="D42" s="6" t="str">
        <f aca="false">IFERROR(INDEX(Catálogo!D$4:D$1000,MATCH($A$1&amp;"|"&amp;39,Índice!$A$4:$A$1000,0)),"")</f>
        <v/>
      </c>
      <c r="E42" s="6" t="str">
        <f aca="false">IFERROR(INDEX(Catálogo!E$4:E$1000,MATCH($A$1&amp;"|"&amp;39,Índice!$A$4:$A$1000,0)),"")</f>
        <v/>
      </c>
      <c r="F42" s="5" t="str">
        <f aca="false">IFERROR(INDEX(Catálogo!F$4:F$1000,MATCH($A$1&amp;"|"&amp;39,Índice!$A$4:$A$1000,0)),"")</f>
        <v/>
      </c>
      <c r="G42" s="5" t="str">
        <f aca="false">IFERROR(INDEX(Catálogo!G$4:G$1000,MATCH($A$1&amp;"|"&amp;39,Índice!$A$4:$A$1000,0)),"")</f>
        <v/>
      </c>
      <c r="H42" s="5" t="str">
        <f aca="false">IFERROR(INDEX(Catálogo!H$4:H$1000,MATCH($A$1&amp;"|"&amp;39,Índice!$A$4:$A$1000,0)),"")</f>
        <v/>
      </c>
      <c r="I42" s="6" t="str">
        <f aca="false">IFERROR(INDEX(Catálogo!I$4:I$1000,MATCH($A$1&amp;"|"&amp;39,Índice!$A$4:$A$1000,0)),"")</f>
        <v/>
      </c>
      <c r="J42" s="6" t="str">
        <f aca="false">IFERROR(INDEX(Catálogo!J$4:J$1000,MATCH($A$1&amp;"|"&amp;39,Índice!$A$4:$A$1000,0)),"")</f>
        <v/>
      </c>
      <c r="K42" s="6" t="str">
        <f aca="false">IFERROR(INDEX(Catálogo!K$4:K$1000,MATCH($A$1&amp;"|"&amp;39,Índice!$A$4:$A$1000,0)),"")</f>
        <v/>
      </c>
      <c r="L42" s="6" t="str">
        <f aca="false">IFERROR(INDEX(Catálogo!L$4:L$1000,MATCH($A$1&amp;"|"&amp;39,Índice!$A$4:$A$1000,0)),"")</f>
        <v/>
      </c>
      <c r="M42" s="7" t="str">
        <f aca="false">IFERROR(INDEX(Catálogo!M$4:M$1000,MATCH($A$1&amp;"|"&amp;39,Índice!$A$4:$A$1000,0)),"")</f>
        <v/>
      </c>
    </row>
  </sheetData>
  <autoFilter ref="A3:M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162</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22</v>
      </c>
      <c r="B4" s="6" t="str">
        <f aca="false">IFERROR(INDEX(Catálogo!B$4:B$1000,MATCH($A$1&amp;"|"&amp;1,Índice!$A$4:$A$1000,0)),"")</f>
        <v>BSI — Inventário de Sintomas Psicopatológicos</v>
      </c>
      <c r="C4" s="6" t="str">
        <f aca="false">IFERROR(INDEX(Catálogo!C$4:C$1000,MATCH($A$1&amp;"|"&amp;1,Índice!$A$4:$A$1000,0)),"")</f>
        <v>Risco, Autolesão &amp; Psicopatologia Geral</v>
      </c>
      <c r="D4" s="6" t="str">
        <f aca="false">IFERROR(INDEX(Catálogo!D$4:D$1000,MATCH($A$1&amp;"|"&amp;1,Índice!$A$4:$A$1000,0)),"")</f>
        <v>Próprio/a, Familiar, Técnico/a</v>
      </c>
      <c r="E4" s="6" t="str">
        <f aca="false">IFERROR(INDEX(Catálogo!E$4:E$1000,MATCH($A$1&amp;"|"&amp;1,Índice!$A$4:$A$1000,0)),"")</f>
        <v>≥ 13 anos</v>
      </c>
      <c r="F4" s="5" t="n">
        <f aca="false">IFERROR(INDEX(Catálogo!F$4:F$1000,MATCH($A$1&amp;"|"&amp;1,Índice!$A$4:$A$1000,0)),"")</f>
        <v>1.1</v>
      </c>
      <c r="G4" s="5" t="n">
        <f aca="false">IFERROR(INDEX(Catálogo!G$4:G$1000,MATCH($A$1&amp;"|"&amp;1,Índice!$A$4:$A$1000,0)),"")</f>
        <v>99</v>
      </c>
      <c r="H4" s="5" t="n">
        <f aca="false">IFERROR(INDEX(Catálogo!H$4:H$1000,MATCH($A$1&amp;"|"&amp;1,Índice!$A$4:$A$1000,0)),"")</f>
        <v>12</v>
      </c>
      <c r="I4" s="6" t="str">
        <f aca="false">IFERROR(INDEX(Catálogo!I$4:I$1000,MATCH($A$1&amp;"|"&amp;1,Índice!$A$4:$A$1000,0)),"")</f>
        <v>Rastreio de sintomatologia psicopatológica em 9 dimensões e 3 índices globais (Derogatis 1982; Canavarro 1999)</v>
      </c>
      <c r="J4" s="6" t="str">
        <f aca="false">IFERROR(INDEX(Catálogo!J$4:J$1000,MATCH($A$1&amp;"|"&amp;1,Índice!$A$4:$A$1000,0)),"")</f>
        <v>Somatização; Obsessões-Compulsões; Sensibilidade Interpessoal; Depressão; Ansiedade; Hostilidade; Ansiedade Fóbica; Ideação Paranóide; Psicoticismo; Índice Geral de Sintomas (IGS); Total de Sintomas Positivos (TSP); Índice de Sintomas Positivos (ISP)</v>
      </c>
      <c r="K4" s="6" t="str">
        <f aca="false">IFERROR(INDEX(Catálogo!K$4:K$1000,MATCH($A$1&amp;"|"&amp;1,Índice!$A$4:$A$1000,0)),"")</f>
        <v>bsi</v>
      </c>
      <c r="L4" s="6" t="str">
        <f aca="false">IFERROR(INDEX(Catálogo!L$4:L$1000,MATCH($A$1&amp;"|"&amp;1,Índice!$A$4:$A$1000,0)),"")</f>
        <v>q_bsi</v>
      </c>
      <c r="M4" s="7" t="str">
        <f aca="false">IFERROR(INDEX(Catálogo!M$4:M$1000,MATCH($A$1&amp;"|"&amp;1,Índice!$A$4:$A$1000,0)),"")</f>
        <v>https://correiaricardina-ui.github.io/questionarios/BSI_v1.html</v>
      </c>
    </row>
    <row r="5" customFormat="false" ht="42" hidden="false" customHeight="true" outlineLevel="0" collapsed="false">
      <c r="A5" s="5" t="n">
        <f aca="false">IFERROR(INDEX(Catálogo!A$4:A$1000,MATCH($A$1&amp;"|"&amp;2,Índice!$A$4:$A$1000,0)),"")</f>
        <v>47</v>
      </c>
      <c r="B5" s="6" t="str">
        <f aca="false">IFERROR(INDEX(Catálogo!B$4:B$1000,MATCH($A$1&amp;"|"&amp;2,Índice!$A$4:$A$1000,0)),"")</f>
        <v>C-SSRS — Columbia-Suicide Severity Rating Scale</v>
      </c>
      <c r="C5" s="6" t="str">
        <f aca="false">IFERROR(INDEX(Catálogo!C$4:C$1000,MATCH($A$1&amp;"|"&amp;2,Índice!$A$4:$A$1000,0)),"")</f>
        <v>Risco, Autolesão &amp; Psicopatologia Geral</v>
      </c>
      <c r="D5" s="6" t="str">
        <f aca="false">IFERROR(INDEX(Catálogo!D$4:D$1000,MATCH($A$1&amp;"|"&amp;2,Índice!$A$4:$A$1000,0)),"")</f>
        <v>Clínico</v>
      </c>
      <c r="E5" s="6" t="str">
        <f aca="false">IFERROR(INDEX(Catálogo!E$4:E$1000,MATCH($A$1&amp;"|"&amp;2,Índice!$A$4:$A$1000,0)),"")</f>
        <v>Crianças / Adolescentes / Adultos</v>
      </c>
      <c r="F5" s="5" t="n">
        <f aca="false">IFERROR(INDEX(Catálogo!F$4:F$1000,MATCH($A$1&amp;"|"&amp;2,Índice!$A$4:$A$1000,0)),"")</f>
        <v>0</v>
      </c>
      <c r="G5" s="5" t="n">
        <f aca="false">IFERROR(INDEX(Catálogo!G$4:G$1000,MATCH($A$1&amp;"|"&amp;2,Índice!$A$4:$A$1000,0)),"")</f>
        <v>99</v>
      </c>
      <c r="H5" s="5" t="n">
        <f aca="false">IFERROR(INDEX(Catálogo!H$4:H$1000,MATCH($A$1&amp;"|"&amp;2,Índice!$A$4:$A$1000,0)),"")</f>
        <v>6</v>
      </c>
      <c r="I5" s="6" t="str">
        <f aca="false">IFERROR(INDEX(Catálogo!I$4:I$1000,MATCH($A$1&amp;"|"&amp;2,Índice!$A$4:$A$1000,0)),"")</f>
        <v>Avaliação clínica estruturada de ideação e comportamentos suicidas (Posner et al. 2008) — versões Crianças e Adolescentes/JA</v>
      </c>
      <c r="J5" s="6" t="str">
        <f aca="false">IFERROR(INDEX(Catálogo!J$4:J$1000,MATCH($A$1&amp;"|"&amp;2,Índice!$A$4:$A$1000,0)),"")</f>
        <v>Ideação (Tipo 1–5); Tentativa Real; Tentativa Interrompida; Tentativa Abortada; Actos Preparatórios; Nível de Risco</v>
      </c>
      <c r="K5" s="6" t="str">
        <f aca="false">IFERROR(INDEX(Catálogo!K$4:K$1000,MATCH($A$1&amp;"|"&amp;2,Índice!$A$4:$A$1000,0)),"")</f>
        <v>cssrs</v>
      </c>
      <c r="L5" s="6" t="str">
        <f aca="false">IFERROR(INDEX(Catálogo!L$4:L$1000,MATCH($A$1&amp;"|"&amp;2,Índice!$A$4:$A$1000,0)),"")</f>
        <v>q_cssrs</v>
      </c>
      <c r="M5" s="7" t="str">
        <f aca="false">IFERROR(INDEX(Catálogo!M$4:M$1000,MATCH($A$1&amp;"|"&amp;2,Índice!$A$4:$A$1000,0)),"")</f>
        <v>https://correiaricardina-ui.github.io/questionarios/CSSRS_v1.html</v>
      </c>
    </row>
    <row r="6" customFormat="false" ht="42" hidden="false" customHeight="true" outlineLevel="0" collapsed="false">
      <c r="A6" s="5" t="n">
        <f aca="false">IFERROR(INDEX(Catálogo!A$4:A$1000,MATCH($A$1&amp;"|"&amp;3,Índice!$A$4:$A$1000,0)),"")</f>
        <v>48</v>
      </c>
      <c r="B6" s="6" t="str">
        <f aca="false">IFERROR(INDEX(Catálogo!B$4:B$1000,MATCH($A$1&amp;"|"&amp;3,Índice!$A$4:$A$1000,0)),"")</f>
        <v>C-SSRS-A — Risco Suicidário (Adolescente)</v>
      </c>
      <c r="C6" s="6" t="str">
        <f aca="false">IFERROR(INDEX(Catálogo!C$4:C$1000,MATCH($A$1&amp;"|"&amp;3,Índice!$A$4:$A$1000,0)),"")</f>
        <v>Risco, Autolesão &amp; Psicopatologia Geral</v>
      </c>
      <c r="D6" s="6" t="str">
        <f aca="false">IFERROR(INDEX(Catálogo!D$4:D$1000,MATCH($A$1&amp;"|"&amp;3,Índice!$A$4:$A$1000,0)),"")</f>
        <v>Paciente</v>
      </c>
      <c r="E6" s="6" t="str">
        <f aca="false">IFERROR(INDEX(Catálogo!E$4:E$1000,MATCH($A$1&amp;"|"&amp;3,Índice!$A$4:$A$1000,0)),"")</f>
        <v>12–18 anos</v>
      </c>
      <c r="F6" s="5" t="n">
        <f aca="false">IFERROR(INDEX(Catálogo!F$4:F$1000,MATCH($A$1&amp;"|"&amp;3,Índice!$A$4:$A$1000,0)),"")</f>
        <v>12</v>
      </c>
      <c r="G6" s="5" t="n">
        <f aca="false">IFERROR(INDEX(Catálogo!G$4:G$1000,MATCH($A$1&amp;"|"&amp;3,Índice!$A$4:$A$1000,0)),"")</f>
        <v>17.9</v>
      </c>
      <c r="H6" s="5" t="n">
        <f aca="false">IFERROR(INDEX(Catálogo!H$4:H$1000,MATCH($A$1&amp;"|"&amp;3,Índice!$A$4:$A$1000,0)),"")</f>
        <v>5</v>
      </c>
      <c r="I6" s="6" t="str">
        <f aca="false">IFERROR(INDEX(Catálogo!I$4:I$1000,MATCH($A$1&amp;"|"&amp;3,Índice!$A$4:$A$1000,0)),"")</f>
        <v>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v>
      </c>
      <c r="J6" s="6" t="str">
        <f aca="false">IFERROR(INDEX(Catálogo!J$4:J$1000,MATCH($A$1&amp;"|"&amp;3,Índice!$A$4:$A$1000,0)),"")</f>
        <v>Ideação (Bloco A); Intensidade (Bloco B); Comportamento (Bloco C); Letalidade (Bloco D); Classificação (3 meses + Vida)</v>
      </c>
      <c r="K6" s="6" t="str">
        <f aca="false">IFERROR(INDEX(Catálogo!K$4:K$1000,MATCH($A$1&amp;"|"&amp;3,Índice!$A$4:$A$1000,0)),"")</f>
        <v>c_ssrs_a</v>
      </c>
      <c r="L6" s="6" t="str">
        <f aca="false">IFERROR(INDEX(Catálogo!L$4:L$1000,MATCH($A$1&amp;"|"&amp;3,Índice!$A$4:$A$1000,0)),"")</f>
        <v>q_c_ssrs_a</v>
      </c>
      <c r="M6" s="7" t="str">
        <f aca="false">IFERROR(INDEX(Catálogo!M$4:M$1000,MATCH($A$1&amp;"|"&amp;3,Índice!$A$4:$A$1000,0)),"")</f>
        <v>https://correiaricardina-ui.github.io/questionarios/C-SSRS-A_Adolescente_v1.html</v>
      </c>
    </row>
    <row r="7" customFormat="false" ht="42" hidden="false" customHeight="true" outlineLevel="0" collapsed="false">
      <c r="A7" s="5" t="n">
        <f aca="false">IFERROR(INDEX(Catálogo!A$4:A$1000,MATCH($A$1&amp;"|"&amp;4,Índice!$A$4:$A$1000,0)),"")</f>
        <v>49</v>
      </c>
      <c r="B7" s="6" t="str">
        <f aca="false">IFERROR(INDEX(Catálogo!B$4:B$1000,MATCH($A$1&amp;"|"&amp;4,Índice!$A$4:$A$1000,0)),"")</f>
        <v>C-SSRS-DC — Risco Suicidário (Défice Cognitivo)</v>
      </c>
      <c r="C7" s="6" t="str">
        <f aca="false">IFERROR(INDEX(Catálogo!C$4:C$1000,MATCH($A$1&amp;"|"&amp;4,Índice!$A$4:$A$1000,0)),"")</f>
        <v>Risco, Autolesão &amp; Psicopatologia Geral</v>
      </c>
      <c r="D7" s="6" t="str">
        <f aca="false">IFERROR(INDEX(Catálogo!D$4:D$1000,MATCH($A$1&amp;"|"&amp;4,Índice!$A$4:$A$1000,0)),"")</f>
        <v>Aplicador clínico</v>
      </c>
      <c r="E7" s="6" t="str">
        <f aca="false">IFERROR(INDEX(Catálogo!E$4:E$1000,MATCH($A$1&amp;"|"&amp;4,Índice!$A$4:$A$1000,0)),"")</f>
        <v>Qualquer idade</v>
      </c>
      <c r="F7" s="5" t="n">
        <f aca="false">IFERROR(INDEX(Catálogo!F$4:F$1000,MATCH($A$1&amp;"|"&amp;4,Índice!$A$4:$A$1000,0)),"")</f>
        <v>0</v>
      </c>
      <c r="G7" s="5" t="n">
        <f aca="false">IFERROR(INDEX(Catálogo!G$4:G$1000,MATCH($A$1&amp;"|"&amp;4,Índice!$A$4:$A$1000,0)),"")</f>
        <v>100</v>
      </c>
      <c r="H7" s="5" t="n">
        <f aca="false">IFERROR(INDEX(Catálogo!H$4:H$1000,MATCH($A$1&amp;"|"&amp;4,Índice!$A$4:$A$1000,0)),"")</f>
        <v>5</v>
      </c>
      <c r="I7" s="6" t="str">
        <f aca="false">IFERROR(INDEX(Catálogo!I$4:I$1000,MATCH($A$1&amp;"|"&amp;4,Índice!$A$4:$A$1000,0)),"")</f>
        <v>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v>
      </c>
      <c r="J7" s="6" t="str">
        <f aca="false">IFERROR(INDEX(Catálogo!J$4:J$1000,MATCH($A$1&amp;"|"&amp;4,Índice!$A$4:$A$1000,0)),"")</f>
        <v>Ideação (Bloco A, c/ "Não compreende"); Intensidade (Bloco B, 3 itens); Comportamento (Bloco C); Letalidade (Bloco D); Classificação integrada Auto+Hetero</v>
      </c>
      <c r="K7" s="6" t="str">
        <f aca="false">IFERROR(INDEX(Catálogo!K$4:K$1000,MATCH($A$1&amp;"|"&amp;4,Índice!$A$4:$A$1000,0)),"")</f>
        <v>c_ssrs_dc</v>
      </c>
      <c r="L7" s="6" t="str">
        <f aca="false">IFERROR(INDEX(Catálogo!L$4:L$1000,MATCH($A$1&amp;"|"&amp;4,Índice!$A$4:$A$1000,0)),"")</f>
        <v>q_c_ssrs_dc</v>
      </c>
      <c r="M7" s="7" t="str">
        <f aca="false">IFERROR(INDEX(Catálogo!M$4:M$1000,MATCH($A$1&amp;"|"&amp;4,Índice!$A$4:$A$1000,0)),"")</f>
        <v>https://correiaricardina-ui.github.io/questionarios/C-SSRS-DC_DeficeCognitivo_v1.html</v>
      </c>
    </row>
    <row r="8" customFormat="false" ht="42" hidden="false" customHeight="true" outlineLevel="0" collapsed="false">
      <c r="A8" s="5" t="n">
        <f aca="false">IFERROR(INDEX(Catálogo!A$4:A$1000,MATCH($A$1&amp;"|"&amp;5,Índice!$A$4:$A$1000,0)),"")</f>
        <v>50</v>
      </c>
      <c r="B8" s="6" t="str">
        <f aca="false">IFERROR(INDEX(Catálogo!B$4:B$1000,MATCH($A$1&amp;"|"&amp;5,Índice!$A$4:$A$1000,0)),"")</f>
        <v>C-SSRS-P — Risco Suicidário (Pediátrica)</v>
      </c>
      <c r="C8" s="6" t="str">
        <f aca="false">IFERROR(INDEX(Catálogo!C$4:C$1000,MATCH($A$1&amp;"|"&amp;5,Índice!$A$4:$A$1000,0)),"")</f>
        <v>Risco, Autolesão &amp; Psicopatologia Geral</v>
      </c>
      <c r="D8" s="6" t="str">
        <f aca="false">IFERROR(INDEX(Catálogo!D$4:D$1000,MATCH($A$1&amp;"|"&amp;5,Índice!$A$4:$A$1000,0)),"")</f>
        <v>Aplicador clínico</v>
      </c>
      <c r="E8" s="6" t="str">
        <f aca="false">IFERROR(INDEX(Catálogo!E$4:E$1000,MATCH($A$1&amp;"|"&amp;5,Índice!$A$4:$A$1000,0)),"")</f>
        <v>6–11 anos</v>
      </c>
      <c r="F8" s="5" t="n">
        <f aca="false">IFERROR(INDEX(Catálogo!F$4:F$1000,MATCH($A$1&amp;"|"&amp;5,Índice!$A$4:$A$1000,0)),"")</f>
        <v>6</v>
      </c>
      <c r="G8" s="5" t="n">
        <f aca="false">IFERROR(INDEX(Catálogo!G$4:G$1000,MATCH($A$1&amp;"|"&amp;5,Índice!$A$4:$A$1000,0)),"")</f>
        <v>11.9</v>
      </c>
      <c r="H8" s="5" t="n">
        <f aca="false">IFERROR(INDEX(Catálogo!H$4:H$1000,MATCH($A$1&amp;"|"&amp;5,Índice!$A$4:$A$1000,0)),"")</f>
        <v>5</v>
      </c>
      <c r="I8" s="6" t="str">
        <f aca="false">IFERROR(INDEX(Catálogo!I$4:I$1000,MATCH($A$1&amp;"|"&amp;5,Índice!$A$4:$A$1000,0)),"")</f>
        <v>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v>
      </c>
      <c r="J8" s="6" t="str">
        <f aca="false">IFERROR(INDEX(Catálogo!J$4:J$1000,MATCH($A$1&amp;"|"&amp;5,Índice!$A$4:$A$1000,0)),"")</f>
        <v>Ideação (Bloco A); Intensidade (Bloco B); Comportamento (Bloco C); Letalidade (Bloco D); Classificação integrada Auto+Hetero</v>
      </c>
      <c r="K8" s="6" t="str">
        <f aca="false">IFERROR(INDEX(Catálogo!K$4:K$1000,MATCH($A$1&amp;"|"&amp;5,Índice!$A$4:$A$1000,0)),"")</f>
        <v>c_ssrs_p</v>
      </c>
      <c r="L8" s="6" t="str">
        <f aca="false">IFERROR(INDEX(Catálogo!L$4:L$1000,MATCH($A$1&amp;"|"&amp;5,Índice!$A$4:$A$1000,0)),"")</f>
        <v>q_c_ssrs_p</v>
      </c>
      <c r="M8" s="7" t="str">
        <f aca="false">IFERROR(INDEX(Catálogo!M$4:M$1000,MATCH($A$1&amp;"|"&amp;5,Índice!$A$4:$A$1000,0)),"")</f>
        <v>https://correiaricardina-ui.github.io/questionarios/C-SSRS-P_Pediatrica_v1.html</v>
      </c>
    </row>
    <row r="9" customFormat="false" ht="42" hidden="false" customHeight="true" outlineLevel="0" collapsed="false">
      <c r="A9" s="5" t="n">
        <f aca="false">IFERROR(INDEX(Catálogo!A$4:A$1000,MATCH($A$1&amp;"|"&amp;6,Índice!$A$4:$A$1000,0)),"")</f>
        <v>54</v>
      </c>
      <c r="B9" s="6" t="str">
        <f aca="false">IFERROR(INDEX(Catálogo!B$4:B$1000,MATCH($A$1&amp;"|"&amp;6,Índice!$A$4:$A$1000,0)),"")</f>
        <v>Dinâmica Exploratória de Pensamentos Intrusivos</v>
      </c>
      <c r="C9" s="6" t="str">
        <f aca="false">IFERROR(INDEX(Catálogo!C$4:C$1000,MATCH($A$1&amp;"|"&amp;6,Índice!$A$4:$A$1000,0)),"")</f>
        <v>Risco, Autolesão &amp; Psicopatologia Geral</v>
      </c>
      <c r="D9" s="6" t="str">
        <f aca="false">IFERROR(INDEX(Catálogo!D$4:D$1000,MATCH($A$1&amp;"|"&amp;6,Índice!$A$4:$A$1000,0)),"")</f>
        <v>Aplicador clínico</v>
      </c>
      <c r="E9" s="6" t="str">
        <f aca="false">IFERROR(INDEX(Catálogo!E$4:E$1000,MATCH($A$1&amp;"|"&amp;6,Índice!$A$4:$A$1000,0)),"")</f>
        <v>7–9 anos</v>
      </c>
      <c r="F9" s="5" t="n">
        <f aca="false">IFERROR(INDEX(Catálogo!F$4:F$1000,MATCH($A$1&amp;"|"&amp;6,Índice!$A$4:$A$1000,0)),"")</f>
        <v>7</v>
      </c>
      <c r="G9" s="5" t="n">
        <f aca="false">IFERROR(INDEX(Catálogo!G$4:G$1000,MATCH($A$1&amp;"|"&amp;6,Índice!$A$4:$A$1000,0)),"")</f>
        <v>9</v>
      </c>
      <c r="H9" s="5" t="n">
        <f aca="false">IFERROR(INDEX(Catálogo!H$4:H$1000,MATCH($A$1&amp;"|"&amp;6,Índice!$A$4:$A$1000,0)),"")</f>
        <v>8</v>
      </c>
      <c r="I9" s="6" t="str">
        <f aca="false">IFERROR(INDEX(Catálogo!I$4:I$1000,MATCH($A$1&amp;"|"&amp;6,Índice!$A$4:$A$1000,0)),"")</f>
        <v>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v>
      </c>
      <c r="J9" s="6" t="str">
        <f aca="false">IFERROR(INDEX(Catálogo!J$4:J$1000,MATCH($A$1&amp;"|"&amp;6,Índice!$A$4:$A$1000,0)),"")</f>
        <v>Egodistonia; Frequência; Controlabilidade; Significado; Neutralização; Interferência; Intencionalidade; Comunicação</v>
      </c>
      <c r="K9" s="6" t="str">
        <f aca="false">IFERROR(INDEX(Catálogo!K$4:K$1000,MATCH($A$1&amp;"|"&amp;6,Índice!$A$4:$A$1000,0)),"")</f>
        <v>depi</v>
      </c>
      <c r="L9" s="6" t="str">
        <f aca="false">IFERROR(INDEX(Catálogo!L$4:L$1000,MATCH($A$1&amp;"|"&amp;6,Índice!$A$4:$A$1000,0)),"")</f>
        <v>q_depi</v>
      </c>
      <c r="M9" s="7" t="str">
        <f aca="false">IFERROR(INDEX(Catálogo!M$4:M$1000,MATCH($A$1&amp;"|"&amp;6,Índice!$A$4:$A$1000,0)),"")</f>
        <v>https://correiaricardina-ui.github.io/questionarios/Dinamica_Pensamentos_Intrusivos_v1.html</v>
      </c>
    </row>
    <row r="10" customFormat="false" ht="42" hidden="false" customHeight="true" outlineLevel="0" collapsed="false">
      <c r="A10" s="5" t="n">
        <f aca="false">IFERROR(INDEX(Catálogo!A$4:A$1000,MATCH($A$1&amp;"|"&amp;7,Índice!$A$4:$A$1000,0)),"")</f>
        <v>77</v>
      </c>
      <c r="B10" s="6" t="str">
        <f aca="false">IFERROR(INDEX(Catálogo!B$4:B$1000,MATCH($A$1&amp;"|"&amp;7,Índice!$A$4:$A$1000,0)),"")</f>
        <v>GAI — Grelha de Automonitorização Interocetiva</v>
      </c>
      <c r="C10" s="6" t="str">
        <f aca="false">IFERROR(INDEX(Catálogo!C$4:C$1000,MATCH($A$1&amp;"|"&amp;7,Índice!$A$4:$A$1000,0)),"")</f>
        <v>Risco, Autolesão &amp; Psicopatologia Geral</v>
      </c>
      <c r="D10" s="6" t="str">
        <f aca="false">IFERROR(INDEX(Catálogo!D$4:D$1000,MATCH($A$1&amp;"|"&amp;7,Índice!$A$4:$A$1000,0)),"")</f>
        <v>Paciente (jovem, em sessão)</v>
      </c>
      <c r="E10" s="6" t="str">
        <f aca="false">IFERROR(INDEX(Catálogo!E$4:E$1000,MATCH($A$1&amp;"|"&amp;7,Índice!$A$4:$A$1000,0)),"")</f>
        <v>8–17 anos</v>
      </c>
      <c r="F10" s="5" t="n">
        <f aca="false">IFERROR(INDEX(Catálogo!F$4:F$1000,MATCH($A$1&amp;"|"&amp;7,Índice!$A$4:$A$1000,0)),"")</f>
        <v>8</v>
      </c>
      <c r="G10" s="5" t="n">
        <f aca="false">IFERROR(INDEX(Catálogo!G$4:G$1000,MATCH($A$1&amp;"|"&amp;7,Índice!$A$4:$A$1000,0)),"")</f>
        <v>17</v>
      </c>
      <c r="H10" s="5" t="n">
        <f aca="false">IFERROR(INDEX(Catálogo!H$4:H$1000,MATCH($A$1&amp;"|"&amp;7,Índice!$A$4:$A$1000,0)),"")</f>
        <v>4</v>
      </c>
      <c r="I10" s="6" t="str">
        <f aca="false">IFERROR(INDEX(Catálogo!I$4:I$1000,MATCH($A$1&amp;"|"&amp;7,Índice!$A$4:$A$1000,0)),"")</f>
        <v>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v>
      </c>
      <c r="J10" s="6" t="str">
        <f aca="false">IFERROR(INDEX(Catálogo!J$4:J$1000,MATCH($A$1&amp;"|"&amp;7,Índice!$A$4:$A$1000,0)),"")</f>
        <v>Eixo Somático-Regulatório; Eixo Apetitivo-Corporal; Dimensões em alerta; Marcadores nutricionais</v>
      </c>
      <c r="K10" s="6" t="str">
        <f aca="false">IFERROR(INDEX(Catálogo!K$4:K$1000,MATCH($A$1&amp;"|"&amp;7,Índice!$A$4:$A$1000,0)),"")</f>
        <v>gai</v>
      </c>
      <c r="L10" s="6" t="str">
        <f aca="false">IFERROR(INDEX(Catálogo!L$4:L$1000,MATCH($A$1&amp;"|"&amp;7,Índice!$A$4:$A$1000,0)),"")</f>
        <v>q_gai</v>
      </c>
      <c r="M10" s="7" t="str">
        <f aca="false">IFERROR(INDEX(Catálogo!M$4:M$1000,MATCH($A$1&amp;"|"&amp;7,Índice!$A$4:$A$1000,0)),"")</f>
        <v>https://correiaricardina-ui.github.io/questionarios/GAI_Automonitorizacao_Interocetiva_v1.html</v>
      </c>
    </row>
    <row r="11" customFormat="false" ht="42" hidden="false" customHeight="true" outlineLevel="0" collapsed="false">
      <c r="A11" s="5" t="n">
        <f aca="false">IFERROR(INDEX(Catálogo!A$4:A$1000,MATCH($A$1&amp;"|"&amp;8,Índice!$A$4:$A$1000,0)),"")</f>
        <v>83</v>
      </c>
      <c r="B11" s="6" t="str">
        <f aca="false">IFERROR(INDEX(Catálogo!B$4:B$1000,MATCH($A$1&amp;"|"&amp;8,Índice!$A$4:$A$1000,0)),"")</f>
        <v>ISAS — Inventário de Afirmações sobre Autolesão</v>
      </c>
      <c r="C11" s="6" t="str">
        <f aca="false">IFERROR(INDEX(Catálogo!C$4:C$1000,MATCH($A$1&amp;"|"&amp;8,Índice!$A$4:$A$1000,0)),"")</f>
        <v>Risco, Autolesão &amp; Psicopatologia Geral</v>
      </c>
      <c r="D11" s="6" t="str">
        <f aca="false">IFERROR(INDEX(Catálogo!D$4:D$1000,MATCH($A$1&amp;"|"&amp;8,Índice!$A$4:$A$1000,0)),"")</f>
        <v>Paciente/Adolescente, Adulto</v>
      </c>
      <c r="E11" s="6" t="str">
        <f aca="false">IFERROR(INDEX(Catálogo!E$4:E$1000,MATCH($A$1&amp;"|"&amp;8,Índice!$A$4:$A$1000,0)),"")</f>
        <v>12–25 anos</v>
      </c>
      <c r="F11" s="5" t="n">
        <f aca="false">IFERROR(INDEX(Catálogo!F$4:F$1000,MATCH($A$1&amp;"|"&amp;8,Índice!$A$4:$A$1000,0)),"")</f>
        <v>12</v>
      </c>
      <c r="G11" s="5" t="n">
        <f aca="false">IFERROR(INDEX(Catálogo!G$4:G$1000,MATCH($A$1&amp;"|"&amp;8,Índice!$A$4:$A$1000,0)),"")</f>
        <v>25</v>
      </c>
      <c r="H11" s="5" t="n">
        <f aca="false">IFERROR(INDEX(Catálogo!H$4:H$1000,MATCH($A$1&amp;"|"&amp;8,Índice!$A$4:$A$1000,0)),"")</f>
        <v>8</v>
      </c>
      <c r="I11" s="6" t="str">
        <f aca="false">IFERROR(INDEX(Catálogo!I$4:I$1000,MATCH($A$1&amp;"|"&amp;8,Índice!$A$4:$A$1000,0)),"")</f>
        <v>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v>
      </c>
      <c r="J11" s="6" t="str">
        <f aca="false">IFERROR(INDEX(Catálogo!J$4:J$1000,MATCH($A$1&amp;"|"&amp;8,Índice!$A$4:$A$1000,0)),"")</f>
        <v>Caracterização (Sec. I); 13 funções (Sec. II); Intrapessoal (0-36); Interpessoal (0-42); TOTAL (0-78); Perfil funcional; Top 3 funções; Alertas críticos (AS/AP/IN)</v>
      </c>
      <c r="K11" s="6" t="str">
        <f aca="false">IFERROR(INDEX(Catálogo!K$4:K$1000,MATCH($A$1&amp;"|"&amp;8,Índice!$A$4:$A$1000,0)),"")</f>
        <v>isas</v>
      </c>
      <c r="L11" s="6" t="str">
        <f aca="false">IFERROR(INDEX(Catálogo!L$4:L$1000,MATCH($A$1&amp;"|"&amp;8,Índice!$A$4:$A$1000,0)),"")</f>
        <v>q_isas</v>
      </c>
      <c r="M11" s="7" t="str">
        <f aca="false">IFERROR(INDEX(Catálogo!M$4:M$1000,MATCH($A$1&amp;"|"&amp;8,Índice!$A$4:$A$1000,0)),"")</f>
        <v>https://correiaricardina-ui.github.io/questionarios/ISAS_v1.html</v>
      </c>
    </row>
    <row r="12" customFormat="false" ht="42" hidden="false" customHeight="true" outlineLevel="0" collapsed="false">
      <c r="A12" s="5" t="n">
        <f aca="false">IFERROR(INDEX(Catálogo!A$4:A$1000,MATCH($A$1&amp;"|"&amp;9,Índice!$A$4:$A$1000,0)),"")</f>
        <v>100</v>
      </c>
      <c r="B12" s="6" t="str">
        <f aca="false">IFERROR(INDEX(Catálogo!B$4:B$1000,MATCH($A$1&amp;"|"&amp;9,Índice!$A$4:$A$1000,0)),"")</f>
        <v>MDQ — Mood Disorder Questionnaire</v>
      </c>
      <c r="C12" s="6" t="str">
        <f aca="false">IFERROR(INDEX(Catálogo!C$4:C$1000,MATCH($A$1&amp;"|"&amp;9,Índice!$A$4:$A$1000,0)),"")</f>
        <v>Risco, Autolesão &amp; Psicopatologia Geral</v>
      </c>
      <c r="D12" s="6" t="str">
        <f aca="false">IFERROR(INDEX(Catálogo!D$4:D$1000,MATCH($A$1&amp;"|"&amp;9,Índice!$A$4:$A$1000,0)),"")</f>
        <v>Paciente</v>
      </c>
      <c r="E12" s="6" t="str">
        <f aca="false">IFERROR(INDEX(Catálogo!E$4:E$1000,MATCH($A$1&amp;"|"&amp;9,Índice!$A$4:$A$1000,0)),"")</f>
        <v>Adultos (≥18 anos)</v>
      </c>
      <c r="F12" s="5" t="n">
        <f aca="false">IFERROR(INDEX(Catálogo!F$4:F$1000,MATCH($A$1&amp;"|"&amp;9,Índice!$A$4:$A$1000,0)),"")</f>
        <v>18</v>
      </c>
      <c r="G12" s="5" t="n">
        <f aca="false">IFERROR(INDEX(Catálogo!G$4:G$1000,MATCH($A$1&amp;"|"&amp;9,Índice!$A$4:$A$1000,0)),"")</f>
        <v>99</v>
      </c>
      <c r="H12" s="5" t="n">
        <f aca="false">IFERROR(INDEX(Catálogo!H$4:H$1000,MATCH($A$1&amp;"|"&amp;9,Índice!$A$4:$A$1000,0)),"")</f>
        <v>11</v>
      </c>
      <c r="I12" s="6" t="str">
        <f aca="false">IFERROR(INDEX(Catálogo!I$4:I$1000,MATCH($A$1&amp;"|"&amp;9,Índice!$A$4:$A$1000,0)),"")</f>
        <v>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v>
      </c>
      <c r="J12" s="6" t="str">
        <f aca="false">IFERROR(INDEX(Catálogo!J$4:J$1000,MATCH($A$1&amp;"|"&amp;9,Índice!$A$4:$A$1000,0)),"")</f>
        <v>Soma P1 (sintomas); Co-ocorrência (P2); Impacto funcional (P3); Activação somática; Cognição acelerada; Expansividade hedónica; Pressão comunicacional; Disforia/Irritabilidade; Desregulação comportamental; Classificação; Alertas Diferenciais</v>
      </c>
      <c r="K12" s="6" t="str">
        <f aca="false">IFERROR(INDEX(Catálogo!K$4:K$1000,MATCH($A$1&amp;"|"&amp;9,Índice!$A$4:$A$1000,0)),"")</f>
        <v>mdq</v>
      </c>
      <c r="L12" s="6" t="str">
        <f aca="false">IFERROR(INDEX(Catálogo!L$4:L$1000,MATCH($A$1&amp;"|"&amp;9,Índice!$A$4:$A$1000,0)),"")</f>
        <v>q_mdq</v>
      </c>
      <c r="M12" s="7" t="str">
        <f aca="false">IFERROR(INDEX(Catálogo!M$4:M$1000,MATCH($A$1&amp;"|"&amp;9,Índice!$A$4:$A$1000,0)),"")</f>
        <v>https://correiaricardina-ui.github.io/questionarios/MDQ_v1.html</v>
      </c>
    </row>
    <row r="13" customFormat="false" ht="42" hidden="false" customHeight="true" outlineLevel="0" collapsed="false">
      <c r="A13" s="5" t="n">
        <f aca="false">IFERROR(INDEX(Catálogo!A$4:A$1000,MATCH($A$1&amp;"|"&amp;10,Índice!$A$4:$A$1000,0)),"")</f>
        <v>159</v>
      </c>
      <c r="B13" s="6" t="str">
        <f aca="false">IFERROR(INDEX(Catálogo!B$4:B$1000,MATCH($A$1&amp;"|"&amp;10,Índice!$A$4:$A$1000,0)),"")</f>
        <v>Entrevista adaptada CAARMS — Experiências Psicóticas Atenuadas, Dissociação e Funcionamento</v>
      </c>
      <c r="C13" s="6" t="str">
        <f aca="false">IFERROR(INDEX(Catálogo!C$4:C$1000,MATCH($A$1&amp;"|"&amp;10,Índice!$A$4:$A$1000,0)),"")</f>
        <v>Risco, Autolesão &amp; Psicopatologia Geral</v>
      </c>
      <c r="D13" s="6" t="str">
        <f aca="false">IFERROR(INDEX(Catálogo!D$4:D$1000,MATCH($A$1&amp;"|"&amp;10,Índice!$A$4:$A$1000,0)),"")</f>
        <v>Psicóloga (aplicação clínica)</v>
      </c>
      <c r="E13" s="6" t="str">
        <f aca="false">IFERROR(INDEX(Catálogo!E$4:E$1000,MATCH($A$1&amp;"|"&amp;10,Índice!$A$4:$A$1000,0)),"")</f>
        <v>Adolescentes / jovens</v>
      </c>
      <c r="F13" s="5" t="n">
        <f aca="false">IFERROR(INDEX(Catálogo!F$4:F$1000,MATCH($A$1&amp;"|"&amp;10,Índice!$A$4:$A$1000,0)),"")</f>
        <v>11</v>
      </c>
      <c r="G13" s="5" t="n">
        <f aca="false">IFERROR(INDEX(Catálogo!G$4:G$1000,MATCH($A$1&amp;"|"&amp;10,Índice!$A$4:$A$1000,0)),"")</f>
        <v>99</v>
      </c>
      <c r="H13" s="5" t="n">
        <f aca="false">IFERROR(INDEX(Catálogo!H$4:H$1000,MATCH($A$1&amp;"|"&amp;10,Índice!$A$4:$A$1000,0)),"")</f>
        <v>11</v>
      </c>
      <c r="I13" s="6" t="str">
        <f aca="false">IFERROR(INDEX(Catálogo!I$4:I$1000,MATCH($A$1&amp;"|"&amp;10,Índice!$A$4:$A$1000,0)),"")</f>
        <v>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v>
      </c>
      <c r="J13" s="6" t="str">
        <f aca="false">IFERROR(INDEX(Catálogo!J$4:J$1000,MATCH($A$1&amp;"|"&amp;10,Índice!$A$4:$A$1000,0)),"")</f>
        <v>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v>
      </c>
      <c r="K13" s="6" t="str">
        <f aca="false">IFERROR(INDEX(Catálogo!K$4:K$1000,MATCH($A$1&amp;"|"&amp;10,Índice!$A$4:$A$1000,0)),"")</f>
        <v>caarms_adap</v>
      </c>
      <c r="L13" s="6" t="str">
        <f aca="false">IFERROR(INDEX(Catálogo!L$4:L$1000,MATCH($A$1&amp;"|"&amp;10,Índice!$A$4:$A$1000,0)),"")</f>
        <v>q_caarms_adap</v>
      </c>
      <c r="M13" s="7" t="str">
        <f aca="false">IFERROR(INDEX(Catálogo!M$4:M$1000,MATCH($A$1&amp;"|"&amp;10,Índice!$A$4:$A$1000,0)),"")</f>
        <v>https://correiaricardina-ui.github.io/questionarios/Entrevista_CAARMS_adap.html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1032</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152</v>
      </c>
      <c r="B4" s="6" t="str">
        <f aca="false">IFERROR(INDEX(Catálogo!B$4:B$1000,MATCH($A$1&amp;"|"&amp;1,Índice!$A$4:$A$1000,0)),"")</f>
        <v>UCLA-PTSD Adaptado — Rastreio de PSPT Pediátrica</v>
      </c>
      <c r="C4" s="6" t="str">
        <f aca="false">IFERROR(INDEX(Catálogo!C$4:C$1000,MATCH($A$1&amp;"|"&amp;1,Índice!$A$4:$A$1000,0)),"")</f>
        <v>Trauma &amp; Stress</v>
      </c>
      <c r="D4" s="6" t="str">
        <f aca="false">IFERROR(INDEX(Catálogo!D$4:D$1000,MATCH($A$1&amp;"|"&amp;1,Índice!$A$4:$A$1000,0)),"")</f>
        <v>Aplicador clínico</v>
      </c>
      <c r="E4" s="6" t="str">
        <f aca="false">IFERROR(INDEX(Catálogo!E$4:E$1000,MATCH($A$1&amp;"|"&amp;1,Índice!$A$4:$A$1000,0)),"")</f>
        <v>7–11 anos (estendível 3–18)</v>
      </c>
      <c r="F4" s="5" t="n">
        <f aca="false">IFERROR(INDEX(Catálogo!F$4:F$1000,MATCH($A$1&amp;"|"&amp;1,Índice!$A$4:$A$1000,0)),"")</f>
        <v>3</v>
      </c>
      <c r="G4" s="5" t="n">
        <f aca="false">IFERROR(INDEX(Catálogo!G$4:G$1000,MATCH($A$1&amp;"|"&amp;1,Índice!$A$4:$A$1000,0)),"")</f>
        <v>17.9</v>
      </c>
      <c r="H4" s="5" t="n">
        <f aca="false">IFERROR(INDEX(Catálogo!H$4:H$1000,MATCH($A$1&amp;"|"&amp;1,Índice!$A$4:$A$1000,0)),"")</f>
        <v>13</v>
      </c>
      <c r="I4" s="6" t="str">
        <f aca="false">IFERROR(INDEX(Catálogo!I$4:I$1000,MATCH($A$1&amp;"|"&amp;1,Índice!$A$4:$A$1000,0)),"")</f>
        <v>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v>
      </c>
      <c r="J4" s="6" t="str">
        <f aca="false">IFERROR(INDEX(Catálogo!J$4:J$1000,MATCH($A$1&amp;"|"&amp;1,Índice!$A$4:$A$1000,0)),"")</f>
        <v>Exposição (Critério A); Evento Índice; Intrusão (B); Evitamento (C); Cognição/humor (D); Ativação (E); Dissociação (especificador); Duração e Início (F, H); Interferência funcional (G); Total sintomático; Banda; Padrão T1–T5; Regra DSM-5-TR</v>
      </c>
      <c r="K4" s="6" t="str">
        <f aca="false">IFERROR(INDEX(Catálogo!K$4:K$1000,MATCH($A$1&amp;"|"&amp;1,Índice!$A$4:$A$1000,0)),"")</f>
        <v>ucla_ptsd_adaptado</v>
      </c>
      <c r="L4" s="6" t="str">
        <f aca="false">IFERROR(INDEX(Catálogo!L$4:L$1000,MATCH($A$1&amp;"|"&amp;1,Índice!$A$4:$A$1000,0)),"")</f>
        <v>q_ucla_ptsd_adaptado</v>
      </c>
      <c r="M4" s="7" t="str">
        <f aca="false">IFERROR(INDEX(Catálogo!M$4:M$1000,MATCH($A$1&amp;"|"&amp;1,Índice!$A$4:$A$1000,0)),"")</f>
        <v>https://correiaricardina-ui.github.io/questionarios/UCLA_PTSD_Adaptado.html</v>
      </c>
    </row>
    <row r="5" customFormat="false" ht="42" hidden="false" customHeight="true" outlineLevel="0" collapsed="false">
      <c r="A5" s="5" t="n">
        <f aca="false">IFERROR(INDEX(Catálogo!A$4:A$1000,MATCH($A$1&amp;"|"&amp;2,Índice!$A$4:$A$1000,0)),"")</f>
        <v>156</v>
      </c>
      <c r="B5" s="6" t="str">
        <f aca="false">IFERROR(INDEX(Catálogo!B$4:B$1000,MATCH($A$1&amp;"|"&amp;2,Índice!$A$4:$A$1000,0)),"")</f>
        <v>A-DES — Escala de Experiências Dissociativas em Adolescentes</v>
      </c>
      <c r="C5" s="6" t="str">
        <f aca="false">IFERROR(INDEX(Catálogo!C$4:C$1000,MATCH($A$1&amp;"|"&amp;2,Índice!$A$4:$A$1000,0)),"")</f>
        <v>Trauma &amp; Stress</v>
      </c>
      <c r="D5" s="6" t="str">
        <f aca="false">IFERROR(INDEX(Catálogo!D$4:D$1000,MATCH($A$1&amp;"|"&amp;2,Índice!$A$4:$A$1000,0)),"")</f>
        <v>Paciente</v>
      </c>
      <c r="E5" s="6" t="str">
        <f aca="false">IFERROR(INDEX(Catálogo!E$4:E$1000,MATCH($A$1&amp;"|"&amp;2,Índice!$A$4:$A$1000,0)),"")</f>
        <v>11–18 anos</v>
      </c>
      <c r="F5" s="5" t="n">
        <f aca="false">IFERROR(INDEX(Catálogo!F$4:F$1000,MATCH($A$1&amp;"|"&amp;2,Índice!$A$4:$A$1000,0)),"")</f>
        <v>11</v>
      </c>
      <c r="G5" s="5" t="n">
        <f aca="false">IFERROR(INDEX(Catálogo!G$4:G$1000,MATCH($A$1&amp;"|"&amp;2,Índice!$A$4:$A$1000,0)),"")</f>
        <v>18</v>
      </c>
      <c r="H5" s="5" t="n">
        <f aca="false">IFERROR(INDEX(Catálogo!H$4:H$1000,MATCH($A$1&amp;"|"&amp;2,Índice!$A$4:$A$1000,0)),"")</f>
        <v>6</v>
      </c>
      <c r="I5" s="6" t="str">
        <f aca="false">IFERROR(INDEX(Catálogo!I$4:I$1000,MATCH($A$1&amp;"|"&amp;2,Índice!$A$4:$A$1000,0)),"")</f>
        <v>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v>
      </c>
      <c r="J5" s="6" t="str">
        <f aca="false">IFERROR(INDEX(Catálogo!J$4:J$1000,MATCH($A$1&amp;"|"&amp;2,Índice!$A$4:$A$1000,0)),"")</f>
        <v>Amnésia; Despersonalização/Desrealização; Absorção; Alteração de Identidade; Transversal; Média Global A-DES</v>
      </c>
      <c r="K5" s="6" t="str">
        <f aca="false">IFERROR(INDEX(Catálogo!K$4:K$1000,MATCH($A$1&amp;"|"&amp;2,Índice!$A$4:$A$1000,0)),"")</f>
        <v>ades</v>
      </c>
      <c r="L5" s="6" t="str">
        <f aca="false">IFERROR(INDEX(Catálogo!L$4:L$1000,MATCH($A$1&amp;"|"&amp;2,Índice!$A$4:$A$1000,0)),"")</f>
        <v>q_ades</v>
      </c>
      <c r="M5" s="7" t="str">
        <f aca="false">IFERROR(INDEX(Catálogo!M$4:M$1000,MATCH($A$1&amp;"|"&amp;2,Índice!$A$4:$A$1000,0)),"")</f>
        <v>https://correiaricardina-ui.github.io/questionarios/A_DES_v1.html</v>
      </c>
    </row>
    <row r="6" customFormat="false" ht="42" hidden="false" customHeight="true" outlineLevel="0" collapsed="false">
      <c r="A6" s="5" t="n">
        <f aca="false">IFERROR(INDEX(Catálogo!A$4:A$1000,MATCH($A$1&amp;"|"&amp;3,Índice!$A$4:$A$1000,0)),"")</f>
        <v>157</v>
      </c>
      <c r="B6" s="6" t="str">
        <f aca="false">IFERROR(INDEX(Catálogo!B$4:B$1000,MATCH($A$1&amp;"|"&amp;3,Índice!$A$4:$A$1000,0)),"")</f>
        <v>ACE-Q — Experiências Adversas na Infância · Autorrelato (Adolescente)</v>
      </c>
      <c r="C6" s="6" t="str">
        <f aca="false">IFERROR(INDEX(Catálogo!C$4:C$1000,MATCH($A$1&amp;"|"&amp;3,Índice!$A$4:$A$1000,0)),"")</f>
        <v>Trauma &amp; Stress</v>
      </c>
      <c r="D6" s="6" t="str">
        <f aca="false">IFERROR(INDEX(Catálogo!D$4:D$1000,MATCH($A$1&amp;"|"&amp;3,Índice!$A$4:$A$1000,0)),"")</f>
        <v>Paciente</v>
      </c>
      <c r="E6" s="6" t="str">
        <f aca="false">IFERROR(INDEX(Catálogo!E$4:E$1000,MATCH($A$1&amp;"|"&amp;3,Índice!$A$4:$A$1000,0)),"")</f>
        <v>12–18 anos</v>
      </c>
      <c r="F6" s="5" t="n">
        <f aca="false">IFERROR(INDEX(Catálogo!F$4:F$1000,MATCH($A$1&amp;"|"&amp;3,Índice!$A$4:$A$1000,0)),"")</f>
        <v>12</v>
      </c>
      <c r="G6" s="5" t="n">
        <f aca="false">IFERROR(INDEX(Catálogo!G$4:G$1000,MATCH($A$1&amp;"|"&amp;3,Índice!$A$4:$A$1000,0)),"")</f>
        <v>18</v>
      </c>
      <c r="H6" s="5" t="n">
        <f aca="false">IFERROR(INDEX(Catálogo!H$4:H$1000,MATCH($A$1&amp;"|"&amp;3,Índice!$A$4:$A$1000,0)),"")</f>
        <v>6</v>
      </c>
      <c r="I6" s="6" t="str">
        <f aca="false">IFERROR(INDEX(Catálogo!I$4:I$1000,MATCH($A$1&amp;"|"&amp;3,Índice!$A$4:$A$1000,0)),"")</f>
        <v>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v>
      </c>
      <c r="J6" s="6" t="str">
        <f aca="false">IFERROR(INDEX(Catálogo!J$4:J$1000,MATCH($A$1&amp;"|"&amp;3,Índice!$A$4:$A$1000,0)),"")</f>
        <v>Relações familiares e ambiente emocional; Instabilidade familiar; Experiências de perda; Experiências de insegurança ou ameaça; Experiências sociais difíceis; Experiência emocional interna</v>
      </c>
      <c r="K6" s="6" t="str">
        <f aca="false">IFERROR(INDEX(Catálogo!K$4:K$1000,MATCH($A$1&amp;"|"&amp;3,Índice!$A$4:$A$1000,0)),"")</f>
        <v>aceq_adol</v>
      </c>
      <c r="L6" s="6" t="str">
        <f aca="false">IFERROR(INDEX(Catálogo!L$4:L$1000,MATCH($A$1&amp;"|"&amp;3,Índice!$A$4:$A$1000,0)),"")</f>
        <v>q_aceq_adol</v>
      </c>
      <c r="M6" s="7" t="str">
        <f aca="false">IFERROR(INDEX(Catálogo!M$4:M$1000,MATCH($A$1&amp;"|"&amp;3,Índice!$A$4:$A$1000,0)),"")</f>
        <v>https://correiaricardina-ui.github.io/questionarios/ACE-Q_Adolescente.html</v>
      </c>
    </row>
    <row r="7" customFormat="false" ht="42" hidden="false" customHeight="true" outlineLevel="0" collapsed="false">
      <c r="A7" s="5" t="n">
        <f aca="false">IFERROR(INDEX(Catálogo!A$4:A$1000,MATCH($A$1&amp;"|"&amp;4,Índice!$A$4:$A$1000,0)),"")</f>
        <v>158</v>
      </c>
      <c r="B7" s="6" t="str">
        <f aca="false">IFERROR(INDEX(Catálogo!B$4:B$1000,MATCH($A$1&amp;"|"&amp;4,Índice!$A$4:$A$1000,0)),"")</f>
        <v>ACE-Q — Experiências Adversas na Infância · Cuidador</v>
      </c>
      <c r="C7" s="6" t="str">
        <f aca="false">IFERROR(INDEX(Catálogo!C$4:C$1000,MATCH($A$1&amp;"|"&amp;4,Índice!$A$4:$A$1000,0)),"")</f>
        <v>Trauma &amp; Stress</v>
      </c>
      <c r="D7" s="6" t="str">
        <f aca="false">IFERROR(INDEX(Catálogo!D$4:D$1000,MATCH($A$1&amp;"|"&amp;4,Índice!$A$4:$A$1000,0)),"")</f>
        <v>Mãe, Pai, Enc. Educação</v>
      </c>
      <c r="E7" s="6" t="str">
        <f aca="false">IFERROR(INDEX(Catálogo!E$4:E$1000,MATCH($A$1&amp;"|"&amp;4,Índice!$A$4:$A$1000,0)),"")</f>
        <v>0–18 anos</v>
      </c>
      <c r="F7" s="5" t="n">
        <f aca="false">IFERROR(INDEX(Catálogo!F$4:F$1000,MATCH($A$1&amp;"|"&amp;4,Índice!$A$4:$A$1000,0)),"")</f>
        <v>0</v>
      </c>
      <c r="G7" s="5" t="n">
        <f aca="false">IFERROR(INDEX(Catálogo!G$4:G$1000,MATCH($A$1&amp;"|"&amp;4,Índice!$A$4:$A$1000,0)),"")</f>
        <v>18</v>
      </c>
      <c r="H7" s="5" t="n">
        <f aca="false">IFERROR(INDEX(Catálogo!H$4:H$1000,MATCH($A$1&amp;"|"&amp;4,Índice!$A$4:$A$1000,0)),"")</f>
        <v>6</v>
      </c>
      <c r="I7" s="6" t="str">
        <f aca="false">IFERROR(INDEX(Catálogo!I$4:I$1000,MATCH($A$1&amp;"|"&amp;4,Índice!$A$4:$A$1000,0)),"")</f>
        <v>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v>
      </c>
      <c r="J7" s="6" t="str">
        <f aca="false">IFERROR(INDEX(Catálogo!J$4:J$1000,MATCH($A$1&amp;"|"&amp;4,Índice!$A$4:$A$1000,0)),"")</f>
        <v>Ambiente emocional familiar; Instabilidade familiar; Experiências de perda; Segurança e proteção; Experiências sociais difíceis; Eventos stressantes significativos</v>
      </c>
      <c r="K7" s="6" t="str">
        <f aca="false">IFERROR(INDEX(Catálogo!K$4:K$1000,MATCH($A$1&amp;"|"&amp;4,Índice!$A$4:$A$1000,0)),"")</f>
        <v>aceq_cuid</v>
      </c>
      <c r="L7" s="6" t="str">
        <f aca="false">IFERROR(INDEX(Catálogo!L$4:L$1000,MATCH($A$1&amp;"|"&amp;4,Índice!$A$4:$A$1000,0)),"")</f>
        <v>q_aceq_cuid</v>
      </c>
      <c r="M7" s="7" t="str">
        <f aca="false">IFERROR(INDEX(Catálogo!M$4:M$1000,MATCH($A$1&amp;"|"&amp;4,Índice!$A$4:$A$1000,0)),"")</f>
        <v>https://correiaricardina-ui.github.io/questionarios/ACE-Q_Cuidador.html</v>
      </c>
    </row>
    <row r="8" customFormat="false" ht="42" hidden="false" customHeight="true" outlineLevel="0" collapsed="false">
      <c r="A8" s="5" t="n">
        <f aca="false">IFERROR(INDEX(Catálogo!A$4:A$1000,MATCH($A$1&amp;"|"&amp;5,Índice!$A$4:$A$1000,0)),"")</f>
        <v>160</v>
      </c>
      <c r="B8" s="6" t="str">
        <f aca="false">IFERROR(INDEX(Catálogo!B$4:B$1000,MATCH($A$1&amp;"|"&amp;5,Índice!$A$4:$A$1000,0)),"")</f>
        <v>Prova «O Cuidar e a Integridade do Corpo»</v>
      </c>
      <c r="C8" s="6" t="str">
        <f aca="false">IFERROR(INDEX(Catálogo!C$4:C$1000,MATCH($A$1&amp;"|"&amp;5,Índice!$A$4:$A$1000,0)),"")</f>
        <v>Trauma &amp; Stress</v>
      </c>
      <c r="D8" s="6" t="str">
        <f aca="false">IFERROR(INDEX(Catálogo!D$4:D$1000,MATCH($A$1&amp;"|"&amp;5,Índice!$A$4:$A$1000,0)),"")</f>
        <v>Psicóloga (aplicação clínica)</v>
      </c>
      <c r="E8" s="6" t="str">
        <f aca="false">IFERROR(INDEX(Catálogo!E$4:E$1000,MATCH($A$1&amp;"|"&amp;5,Índice!$A$4:$A$1000,0)),"")</f>
        <v>Idade escolar (≈ 6–11 anos)</v>
      </c>
      <c r="F8" s="5" t="n">
        <f aca="false">IFERROR(INDEX(Catálogo!F$4:F$1000,MATCH($A$1&amp;"|"&amp;5,Índice!$A$4:$A$1000,0)),"")</f>
        <v>6</v>
      </c>
      <c r="G8" s="5" t="n">
        <f aca="false">IFERROR(INDEX(Catálogo!G$4:G$1000,MATCH($A$1&amp;"|"&amp;5,Índice!$A$4:$A$1000,0)),"")</f>
        <v>11</v>
      </c>
      <c r="H8" s="5" t="n">
        <f aca="false">IFERROR(INDEX(Catálogo!H$4:H$1000,MATCH($A$1&amp;"|"&amp;5,Índice!$A$4:$A$1000,0)),"")</f>
        <v>4</v>
      </c>
      <c r="I8" s="6" t="str">
        <f aca="false">IFERROR(INDEX(Catálogo!I$4:I$1000,MATCH($A$1&amp;"|"&amp;5,Índice!$A$4:$A$1000,0)),"")</f>
        <v>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v>
      </c>
      <c r="J8" s="6" t="str">
        <f aca="false">IFERROR(INDEX(Catálogo!J$4:J$1000,MATCH($A$1&amp;"|"&amp;5,Índice!$A$4:$A$1000,0)),"")</f>
        <v>Integridade corporal; Cuidado e dependência; Coping / resolução (padrão predominante + secundário); Figuras cuidadoras (+ reparação relacional no desfecho)</v>
      </c>
      <c r="K8" s="6" t="str">
        <f aca="false">IFERROR(INDEX(Catálogo!K$4:K$1000,MATCH($A$1&amp;"|"&amp;5,Índice!$A$4:$A$1000,0)),"")</f>
        <v>cuidar_corpo</v>
      </c>
      <c r="L8" s="6" t="str">
        <f aca="false">IFERROR(INDEX(Catálogo!L$4:L$1000,MATCH($A$1&amp;"|"&amp;5,Índice!$A$4:$A$1000,0)),"")</f>
        <v>q_cuidar_corpo</v>
      </c>
      <c r="M8" s="7" t="str">
        <f aca="false">IFERROR(INDEX(Catálogo!M$4:M$1000,MATCH($A$1&amp;"|"&amp;5,Índice!$A$4:$A$1000,0)),"")</f>
        <v>https://correiaricardina-ui.github.io/questionarios/Prova_Cuidar_Integridade_Corpo_v1.html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72</v>
      </c>
      <c r="I1" s="17" t="str">
        <f aca="false">COUNTIF(Catálogo!$C$4:$C$1000,$A$1)&amp;IF(COUNTIF(Catálogo!$C$4:$C$1000,$A$1)=1," instrumento nesta área"," instrumentos nesta área")</f>
        <v>9 instrumentos nesta área</v>
      </c>
    </row>
    <row r="2" customFormat="false" ht="15" hidden="false" customHeight="true" outlineLevel="0" collapsed="false">
      <c r="A2" s="18" t="s">
        <v>1331</v>
      </c>
      <c r="I2" s="19" t="str">
        <f aca="false">IF(COUNTIF(Catálogo!$C$4:$C$1000,$A$1)&gt;17,"⚠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9</v>
      </c>
      <c r="B4" s="6" t="str">
        <f aca="false">IFERROR(INDEX(Catálogo!B$4:B$1000,MATCH($A$1&amp;"|"&amp;1,Índice!$A$4:$A$1000,0)),"")</f>
        <v>AQ Buss-Perry — Agressividade</v>
      </c>
      <c r="C4" s="6" t="str">
        <f aca="false">IFERROR(INDEX(Catálogo!C$4:C$1000,MATCH($A$1&amp;"|"&amp;1,Índice!$A$4:$A$1000,0)),"")</f>
        <v>Externalização &amp; Comportamento</v>
      </c>
      <c r="D4" s="6" t="str">
        <f aca="false">IFERROR(INDEX(Catálogo!D$4:D$1000,MATCH($A$1&amp;"|"&amp;1,Índice!$A$4:$A$1000,0)),"")</f>
        <v>Paciente</v>
      </c>
      <c r="E4" s="6" t="str">
        <f aca="false">IFERROR(INDEX(Catálogo!E$4:E$1000,MATCH($A$1&amp;"|"&amp;1,Índice!$A$4:$A$1000,0)),"")</f>
        <v>Adultos (≥16 anos)</v>
      </c>
      <c r="F4" s="5" t="n">
        <f aca="false">IFERROR(INDEX(Catálogo!F$4:F$1000,MATCH($A$1&amp;"|"&amp;1,Índice!$A$4:$A$1000,0)),"")</f>
        <v>16</v>
      </c>
      <c r="G4" s="5" t="n">
        <f aca="false">IFERROR(INDEX(Catálogo!G$4:G$1000,MATCH($A$1&amp;"|"&amp;1,Índice!$A$4:$A$1000,0)),"")</f>
        <v>99</v>
      </c>
      <c r="H4" s="5" t="n">
        <f aca="false">IFERROR(INDEX(Catálogo!H$4:H$1000,MATCH($A$1&amp;"|"&amp;1,Índice!$A$4:$A$1000,0)),"")</f>
        <v>5</v>
      </c>
      <c r="I4" s="6" t="str">
        <f aca="false">IFERROR(INDEX(Catálogo!I$4:I$1000,MATCH($A$1&amp;"|"&amp;1,Índice!$A$4:$A$1000,0)),"")</f>
        <v>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v>
      </c>
      <c r="J4" s="6" t="str">
        <f aca="false">IFERROR(INDEX(Catálogo!J$4:J$1000,MATCH($A$1&amp;"|"&amp;1,Índice!$A$4:$A$1000,0)),"")</f>
        <v>Agressividade Física (AF); Agressividade Verbal (AV); Raiva/Ira; Hostilidade (HO); Total AQ</v>
      </c>
      <c r="K4" s="6" t="str">
        <f aca="false">IFERROR(INDEX(Catálogo!K$4:K$1000,MATCH($A$1&amp;"|"&amp;1,Índice!$A$4:$A$1000,0)),"")</f>
        <v>aq_bussperry</v>
      </c>
      <c r="L4" s="6" t="str">
        <f aca="false">IFERROR(INDEX(Catálogo!L$4:L$1000,MATCH($A$1&amp;"|"&amp;1,Índice!$A$4:$A$1000,0)),"")</f>
        <v>q_aq_bussperry</v>
      </c>
      <c r="M4" s="7" t="str">
        <f aca="false">IFERROR(INDEX(Catálogo!M$4:M$1000,MATCH($A$1&amp;"|"&amp;1,Índice!$A$4:$A$1000,0)),"")</f>
        <v>https://correiaricardina-ui.github.io/questionarios/AQ_BussPerry_v1.html</v>
      </c>
    </row>
    <row r="5" customFormat="false" ht="42" hidden="false" customHeight="true" outlineLevel="0" collapsed="false">
      <c r="A5" s="5" t="n">
        <f aca="false">IFERROR(INDEX(Catálogo!A$4:A$1000,MATCH($A$1&amp;"|"&amp;2,Índice!$A$4:$A$1000,0)),"")</f>
        <v>11</v>
      </c>
      <c r="B5" s="6" t="str">
        <f aca="false">IFERROR(INDEX(Catálogo!B$4:B$1000,MATCH($A$1&amp;"|"&amp;2,Índice!$A$4:$A$1000,0)),"")</f>
        <v>ASEBA — CBCL 1½-5</v>
      </c>
      <c r="C5" s="6" t="str">
        <f aca="false">IFERROR(INDEX(Catálogo!C$4:C$1000,MATCH($A$1&amp;"|"&amp;2,Índice!$A$4:$A$1000,0)),"")</f>
        <v>Externalização &amp; Comportamento</v>
      </c>
      <c r="D5" s="6" t="str">
        <f aca="false">IFERROR(INDEX(Catálogo!D$4:D$1000,MATCH($A$1&amp;"|"&amp;2,Índice!$A$4:$A$1000,0)),"")</f>
        <v>Pais, Mãe, Pai, Enc. Educação</v>
      </c>
      <c r="E5" s="6" t="str">
        <f aca="false">IFERROR(INDEX(Catálogo!E$4:E$1000,MATCH($A$1&amp;"|"&amp;2,Índice!$A$4:$A$1000,0)),"")</f>
        <v>1½–5 anos</v>
      </c>
      <c r="F5" s="5" t="n">
        <f aca="false">IFERROR(INDEX(Catálogo!F$4:F$1000,MATCH($A$1&amp;"|"&amp;2,Índice!$A$4:$A$1000,0)),"")</f>
        <v>1.5</v>
      </c>
      <c r="G5" s="5" t="n">
        <f aca="false">IFERROR(INDEX(Catálogo!G$4:G$1000,MATCH($A$1&amp;"|"&amp;2,Índice!$A$4:$A$1000,0)),"")</f>
        <v>5.9</v>
      </c>
      <c r="H5" s="5" t="n">
        <f aca="false">IFERROR(INDEX(Catálogo!H$4:H$1000,MATCH($A$1&amp;"|"&amp;2,Índice!$A$4:$A$1000,0)),"")</f>
        <v>10</v>
      </c>
      <c r="I5" s="6" t="str">
        <f aca="false">IFERROR(INDEX(Catálogo!I$4:I$1000,MATCH($A$1&amp;"|"&amp;2,Índice!$A$4:$A$1000,0)),"")</f>
        <v>Avaliar problemas emocionais e comportamentais em idade pré-escolar</v>
      </c>
      <c r="J5" s="6" t="str">
        <f aca="false">IFERROR(INDEX(Catálogo!J$4:J$1000,MATCH($A$1&amp;"|"&amp;2,Índice!$A$4:$A$1000,0)),"")</f>
        <v>Internalizante; Externalizante; Total; Reatividade Emocional; Ansiedade; Queixas Somáticas; Retraimento; Problemas de Sono; Problemas de Atenção; Comportamento Agressivo</v>
      </c>
      <c r="K5" s="6" t="str">
        <f aca="false">IFERROR(INDEX(Catálogo!K$4:K$1000,MATCH($A$1&amp;"|"&amp;2,Índice!$A$4:$A$1000,0)),"")</f>
        <v>cbcl15</v>
      </c>
      <c r="L5" s="6" t="str">
        <f aca="false">IFERROR(INDEX(Catálogo!L$4:L$1000,MATCH($A$1&amp;"|"&amp;2,Índice!$A$4:$A$1000,0)),"")</f>
        <v>q_cbcl_15</v>
      </c>
      <c r="M5" s="7" t="str">
        <f aca="false">IFERROR(INDEX(Catálogo!M$4:M$1000,MATCH($A$1&amp;"|"&amp;2,Índice!$A$4:$A$1000,0)),"")</f>
        <v>https://correiaricardina-ui.github.io/questionarios/CBCL_15_v5.html</v>
      </c>
    </row>
    <row r="6" customFormat="false" ht="42" hidden="false" customHeight="true" outlineLevel="0" collapsed="false">
      <c r="A6" s="5" t="n">
        <f aca="false">IFERROR(INDEX(Catálogo!A$4:A$1000,MATCH($A$1&amp;"|"&amp;3,Índice!$A$4:$A$1000,0)),"")</f>
        <v>12</v>
      </c>
      <c r="B6" s="6" t="str">
        <f aca="false">IFERROR(INDEX(Catálogo!B$4:B$1000,MATCH($A$1&amp;"|"&amp;3,Índice!$A$4:$A$1000,0)),"")</f>
        <v>ASEBA — CBCL 6-18</v>
      </c>
      <c r="C6" s="6" t="str">
        <f aca="false">IFERROR(INDEX(Catálogo!C$4:C$1000,MATCH($A$1&amp;"|"&amp;3,Índice!$A$4:$A$1000,0)),"")</f>
        <v>Externalização &amp; Comportamento</v>
      </c>
      <c r="D6" s="6" t="str">
        <f aca="false">IFERROR(INDEX(Catálogo!D$4:D$1000,MATCH($A$1&amp;"|"&amp;3,Índice!$A$4:$A$1000,0)),"")</f>
        <v>Pais, Mãe, Pai, Enc. Educação</v>
      </c>
      <c r="E6" s="6" t="str">
        <f aca="false">IFERROR(INDEX(Catálogo!E$4:E$1000,MATCH($A$1&amp;"|"&amp;3,Índice!$A$4:$A$1000,0)),"")</f>
        <v>6–18 anos</v>
      </c>
      <c r="F6" s="5" t="n">
        <f aca="false">IFERROR(INDEX(Catálogo!F$4:F$1000,MATCH($A$1&amp;"|"&amp;3,Índice!$A$4:$A$1000,0)),"")</f>
        <v>6</v>
      </c>
      <c r="G6" s="5" t="n">
        <f aca="false">IFERROR(INDEX(Catálogo!G$4:G$1000,MATCH($A$1&amp;"|"&amp;3,Índice!$A$4:$A$1000,0)),"")</f>
        <v>17.9</v>
      </c>
      <c r="H6" s="5" t="n">
        <f aca="false">IFERROR(INDEX(Catálogo!H$4:H$1000,MATCH($A$1&amp;"|"&amp;3,Índice!$A$4:$A$1000,0)),"")</f>
        <v>10</v>
      </c>
      <c r="I6" s="6" t="str">
        <f aca="false">IFERROR(INDEX(Catálogo!I$4:I$1000,MATCH($A$1&amp;"|"&amp;3,Índice!$A$4:$A$1000,0)),"")</f>
        <v>Avaliar problemas emocionais e comportamentais</v>
      </c>
      <c r="J6" s="6" t="str">
        <f aca="false">IFERROR(INDEX(Catálogo!J$4:J$1000,MATCH($A$1&amp;"|"&amp;3,Índice!$A$4:$A$1000,0)),"")</f>
        <v>Internalizante; Externalizante; Total; Ansiedade/Depressão; Queixas Somáticas; Isolamento; Problemas Sociais; Problemas de Atenção; Comportamento Agressivo; Comportamento de Quebra de Regras</v>
      </c>
      <c r="K6" s="6" t="str">
        <f aca="false">IFERROR(INDEX(Catálogo!K$4:K$1000,MATCH($A$1&amp;"|"&amp;3,Índice!$A$4:$A$1000,0)),"")</f>
        <v>cbcl</v>
      </c>
      <c r="L6" s="6" t="str">
        <f aca="false">IFERROR(INDEX(Catálogo!L$4:L$1000,MATCH($A$1&amp;"|"&amp;3,Índice!$A$4:$A$1000,0)),"")</f>
        <v>q_aseba_cbcl</v>
      </c>
      <c r="M6" s="7" t="str">
        <f aca="false">IFERROR(INDEX(Catálogo!M$4:M$1000,MATCH($A$1&amp;"|"&amp;3,Índice!$A$4:$A$1000,0)),"")</f>
        <v>https://correiaricardina-ui.github.io/questionarios/CBCL_618_v1.html</v>
      </c>
    </row>
    <row r="7" customFormat="false" ht="42" hidden="false" customHeight="true" outlineLevel="0" collapsed="false">
      <c r="A7" s="5" t="n">
        <f aca="false">IFERROR(INDEX(Catálogo!A$4:A$1000,MATCH($A$1&amp;"|"&amp;4,Índice!$A$4:$A$1000,0)),"")</f>
        <v>13</v>
      </c>
      <c r="B7" s="6" t="str">
        <f aca="false">IFERROR(INDEX(Catálogo!B$4:B$1000,MATCH($A$1&amp;"|"&amp;4,Índice!$A$4:$A$1000,0)),"")</f>
        <v>ASEBA — TRF 6-18</v>
      </c>
      <c r="C7" s="6" t="str">
        <f aca="false">IFERROR(INDEX(Catálogo!C$4:C$1000,MATCH($A$1&amp;"|"&amp;4,Índice!$A$4:$A$1000,0)),"")</f>
        <v>Externalização &amp; Comportamento</v>
      </c>
      <c r="D7" s="6" t="str">
        <f aca="false">IFERROR(INDEX(Catálogo!D$4:D$1000,MATCH($A$1&amp;"|"&amp;4,Índice!$A$4:$A$1000,0)),"")</f>
        <v>Professor(a)</v>
      </c>
      <c r="E7" s="6" t="str">
        <f aca="false">IFERROR(INDEX(Catálogo!E$4:E$1000,MATCH($A$1&amp;"|"&amp;4,Índice!$A$4:$A$1000,0)),"")</f>
        <v>6–18 anos</v>
      </c>
      <c r="F7" s="5" t="n">
        <f aca="false">IFERROR(INDEX(Catálogo!F$4:F$1000,MATCH($A$1&amp;"|"&amp;4,Índice!$A$4:$A$1000,0)),"")</f>
        <v>6</v>
      </c>
      <c r="G7" s="5" t="n">
        <f aca="false">IFERROR(INDEX(Catálogo!G$4:G$1000,MATCH($A$1&amp;"|"&amp;4,Índice!$A$4:$A$1000,0)),"")</f>
        <v>17.9</v>
      </c>
      <c r="H7" s="5" t="n">
        <f aca="false">IFERROR(INDEX(Catálogo!H$4:H$1000,MATCH($A$1&amp;"|"&amp;4,Índice!$A$4:$A$1000,0)),"")</f>
        <v>5</v>
      </c>
      <c r="I7" s="6" t="str">
        <f aca="false">IFERROR(INDEX(Catálogo!I$4:I$1000,MATCH($A$1&amp;"|"&amp;4,Índice!$A$4:$A$1000,0)),"")</f>
        <v>Avaliar comportamento em contexto escolar (versão professor)</v>
      </c>
      <c r="J7" s="6" t="str">
        <f aca="false">IFERROR(INDEX(Catálogo!J$4:J$1000,MATCH($A$1&amp;"|"&amp;4,Índice!$A$4:$A$1000,0)),"")</f>
        <v>Internalizante; Externalizante; Total; Problemas de Atenção; Comportamento Agressivo</v>
      </c>
      <c r="K7" s="6" t="str">
        <f aca="false">IFERROR(INDEX(Catálogo!K$4:K$1000,MATCH($A$1&amp;"|"&amp;4,Índice!$A$4:$A$1000,0)),"")</f>
        <v>trf</v>
      </c>
      <c r="L7" s="6" t="str">
        <f aca="false">IFERROR(INDEX(Catálogo!L$4:L$1000,MATCH($A$1&amp;"|"&amp;4,Índice!$A$4:$A$1000,0)),"")</f>
        <v>q_aseba_trf</v>
      </c>
      <c r="M7" s="7" t="str">
        <f aca="false">IFERROR(INDEX(Catálogo!M$4:M$1000,MATCH($A$1&amp;"|"&amp;4,Índice!$A$4:$A$1000,0)),"")</f>
        <v>https://correiaricardina-ui.github.io/questionarios/TRF_618_v1.html</v>
      </c>
    </row>
    <row r="8" customFormat="false" ht="42" hidden="false" customHeight="true" outlineLevel="0" collapsed="false">
      <c r="A8" s="5" t="n">
        <f aca="false">IFERROR(INDEX(Catálogo!A$4:A$1000,MATCH($A$1&amp;"|"&amp;5,Índice!$A$4:$A$1000,0)),"")</f>
        <v>14</v>
      </c>
      <c r="B8" s="6" t="str">
        <f aca="false">IFERROR(INDEX(Catálogo!B$4:B$1000,MATCH($A$1&amp;"|"&amp;5,Índice!$A$4:$A$1000,0)),"")</f>
        <v>ASEBA — YSR 11-18</v>
      </c>
      <c r="C8" s="6" t="str">
        <f aca="false">IFERROR(INDEX(Catálogo!C$4:C$1000,MATCH($A$1&amp;"|"&amp;5,Índice!$A$4:$A$1000,0)),"")</f>
        <v>Externalização &amp; Comportamento</v>
      </c>
      <c r="D8" s="6" t="str">
        <f aca="false">IFERROR(INDEX(Catálogo!D$4:D$1000,MATCH($A$1&amp;"|"&amp;5,Índice!$A$4:$A$1000,0)),"")</f>
        <v>Paciente</v>
      </c>
      <c r="E8" s="6" t="str">
        <f aca="false">IFERROR(INDEX(Catálogo!E$4:E$1000,MATCH($A$1&amp;"|"&amp;5,Índice!$A$4:$A$1000,0)),"")</f>
        <v>11–18 anos</v>
      </c>
      <c r="F8" s="5" t="n">
        <f aca="false">IFERROR(INDEX(Catálogo!F$4:F$1000,MATCH($A$1&amp;"|"&amp;5,Índice!$A$4:$A$1000,0)),"")</f>
        <v>11</v>
      </c>
      <c r="G8" s="5" t="n">
        <f aca="false">IFERROR(INDEX(Catálogo!G$4:G$1000,MATCH($A$1&amp;"|"&amp;5,Índice!$A$4:$A$1000,0)),"")</f>
        <v>17.9</v>
      </c>
      <c r="H8" s="5" t="n">
        <f aca="false">IFERROR(INDEX(Catálogo!H$4:H$1000,MATCH($A$1&amp;"|"&amp;5,Índice!$A$4:$A$1000,0)),"")</f>
        <v>9</v>
      </c>
      <c r="I8" s="6" t="str">
        <f aca="false">IFERROR(INDEX(Catálogo!I$4:I$1000,MATCH($A$1&amp;"|"&amp;5,Índice!$A$4:$A$1000,0)),"")</f>
        <v>Auto-avaliação de problemas emocionais e comportamentais</v>
      </c>
      <c r="J8" s="6" t="str">
        <f aca="false">IFERROR(INDEX(Catálogo!J$4:J$1000,MATCH($A$1&amp;"|"&amp;5,Índice!$A$4:$A$1000,0)),"")</f>
        <v>Internalizante; Externalizante; Total; Ansiedade/Depressão; Isolamento; Queixas Somáticas; Problemas Sociais; Problemas de Atenção; Comportamento Agressivo</v>
      </c>
      <c r="K8" s="6" t="str">
        <f aca="false">IFERROR(INDEX(Catálogo!K$4:K$1000,MATCH($A$1&amp;"|"&amp;5,Índice!$A$4:$A$1000,0)),"")</f>
        <v>ysr</v>
      </c>
      <c r="L8" s="6" t="str">
        <f aca="false">IFERROR(INDEX(Catálogo!L$4:L$1000,MATCH($A$1&amp;"|"&amp;5,Índice!$A$4:$A$1000,0)),"")</f>
        <v>q_aseba_ysr</v>
      </c>
      <c r="M8" s="7" t="str">
        <f aca="false">IFERROR(INDEX(Catálogo!M$4:M$1000,MATCH($A$1&amp;"|"&amp;5,Índice!$A$4:$A$1000,0)),"")</f>
        <v>https://correiaricardina-ui.github.io/questionarios/YSR_1118_v2.html</v>
      </c>
    </row>
    <row r="9" customFormat="false" ht="42" hidden="false" customHeight="true" outlineLevel="0" collapsed="false">
      <c r="A9" s="5" t="n">
        <f aca="false">IFERROR(INDEX(Catálogo!A$4:A$1000,MATCH($A$1&amp;"|"&amp;6,Índice!$A$4:$A$1000,0)),"")</f>
        <v>51</v>
      </c>
      <c r="B9" s="6" t="str">
        <f aca="false">IFERROR(INDEX(Catálogo!B$4:B$1000,MATCH($A$1&amp;"|"&amp;6,Índice!$A$4:$A$1000,0)),"")</f>
        <v>CTRF-15</v>
      </c>
      <c r="C9" s="6" t="str">
        <f aca="false">IFERROR(INDEX(Catálogo!C$4:C$1000,MATCH($A$1&amp;"|"&amp;6,Índice!$A$4:$A$1000,0)),"")</f>
        <v>Externalização &amp; Comportamento</v>
      </c>
      <c r="D9" s="6" t="str">
        <f aca="false">IFERROR(INDEX(Catálogo!D$4:D$1000,MATCH($A$1&amp;"|"&amp;6,Índice!$A$4:$A$1000,0)),"")</f>
        <v>Professor(a), Educador(a)</v>
      </c>
      <c r="E9" s="6" t="str">
        <f aca="false">IFERROR(INDEX(Catálogo!E$4:E$1000,MATCH($A$1&amp;"|"&amp;6,Índice!$A$4:$A$1000,0)),"")</f>
        <v>1½–5 anos</v>
      </c>
      <c r="F9" s="5" t="n">
        <f aca="false">IFERROR(INDEX(Catálogo!F$4:F$1000,MATCH($A$1&amp;"|"&amp;6,Índice!$A$4:$A$1000,0)),"")</f>
        <v>1.5</v>
      </c>
      <c r="G9" s="5" t="n">
        <f aca="false">IFERROR(INDEX(Catálogo!G$4:G$1000,MATCH($A$1&amp;"|"&amp;6,Índice!$A$4:$A$1000,0)),"")</f>
        <v>5.9</v>
      </c>
      <c r="H9" s="5" t="n">
        <f aca="false">IFERROR(INDEX(Catálogo!H$4:H$1000,MATCH($A$1&amp;"|"&amp;6,Índice!$A$4:$A$1000,0)),"")</f>
        <v>1</v>
      </c>
      <c r="I9" s="6" t="str">
        <f aca="false">IFERROR(INDEX(Catálogo!I$4:I$1000,MATCH($A$1&amp;"|"&amp;6,Índice!$A$4:$A$1000,0)),"")</f>
        <v>Avalia comportamento em contexto pré-escolar — versão educador</v>
      </c>
      <c r="J9" s="6" t="str">
        <f aca="false">IFERROR(INDEX(Catálogo!J$4:J$1000,MATCH($A$1&amp;"|"&amp;6,Índice!$A$4:$A$1000,0)),"")</f>
        <v>Score Total</v>
      </c>
      <c r="K9" s="6" t="str">
        <f aca="false">IFERROR(INDEX(Catálogo!K$4:K$1000,MATCH($A$1&amp;"|"&amp;6,Índice!$A$4:$A$1000,0)),"")</f>
        <v>ctrf15</v>
      </c>
      <c r="L9" s="6" t="str">
        <f aca="false">IFERROR(INDEX(Catálogo!L$4:L$1000,MATCH($A$1&amp;"|"&amp;6,Índice!$A$4:$A$1000,0)),"")</f>
        <v>q_ctrf_15</v>
      </c>
      <c r="M9" s="7" t="str">
        <f aca="false">IFERROR(INDEX(Catálogo!M$4:M$1000,MATCH($A$1&amp;"|"&amp;6,Índice!$A$4:$A$1000,0)),"")</f>
        <v>https://correiaricardina-ui.github.io/questionarios/CTRF_15_v2.html</v>
      </c>
    </row>
    <row r="10" customFormat="false" ht="42" hidden="false" customHeight="true" outlineLevel="0" collapsed="false">
      <c r="A10" s="5" t="n">
        <f aca="false">IFERROR(INDEX(Catálogo!A$4:A$1000,MATCH($A$1&amp;"|"&amp;7,Índice!$A$4:$A$1000,0)),"")</f>
        <v>124</v>
      </c>
      <c r="B10" s="6" t="str">
        <f aca="false">IFERROR(INDEX(Catálogo!B$4:B$1000,MATCH($A$1&amp;"|"&amp;7,Índice!$A$4:$A$1000,0)),"")</f>
        <v>QEE — Questionário Ecológico Escolar</v>
      </c>
      <c r="C10" s="6" t="str">
        <f aca="false">IFERROR(INDEX(Catálogo!C$4:C$1000,MATCH($A$1&amp;"|"&amp;7,Índice!$A$4:$A$1000,0)),"")</f>
        <v>Externalização &amp; Comportamento</v>
      </c>
      <c r="D10" s="6" t="str">
        <f aca="false">IFERROR(INDEX(Catálogo!D$4:D$1000,MATCH($A$1&amp;"|"&amp;7,Índice!$A$4:$A$1000,0)),"")</f>
        <v>Professor(a), Diretor(a) de Turma</v>
      </c>
      <c r="E10" s="6" t="str">
        <f aca="false">IFERROR(INDEX(Catálogo!E$4:E$1000,MATCH($A$1&amp;"|"&amp;7,Índice!$A$4:$A$1000,0)),"")</f>
        <v>6–18 anos</v>
      </c>
      <c r="F10" s="5" t="n">
        <f aca="false">IFERROR(INDEX(Catálogo!F$4:F$1000,MATCH($A$1&amp;"|"&amp;7,Índice!$A$4:$A$1000,0)),"")</f>
        <v>6</v>
      </c>
      <c r="G10" s="5" t="n">
        <f aca="false">IFERROR(INDEX(Catálogo!G$4:G$1000,MATCH($A$1&amp;"|"&amp;7,Índice!$A$4:$A$1000,0)),"")</f>
        <v>17.9</v>
      </c>
      <c r="H10" s="5" t="n">
        <f aca="false">IFERROR(INDEX(Catálogo!H$4:H$1000,MATCH($A$1&amp;"|"&amp;7,Índice!$A$4:$A$1000,0)),"")</f>
        <v>9</v>
      </c>
      <c r="I10" s="6" t="str">
        <f aca="false">IFERROR(INDEX(Catálogo!I$4:I$1000,MATCH($A$1&amp;"|"&amp;7,Índice!$A$4:$A$1000,0)),"")</f>
        <v>Caracterização clínica multi-informador do funcionamento emocional, social e adaptativo em contexto escolar (versão clínica revista, enquadramento bioecológico de Bronfenbrenner + lógica ASEBA). 40 itens fechados + 4 qualitativos.</v>
      </c>
      <c r="J10" s="6" t="str">
        <f aca="false">IFERROR(INDEX(Catálogo!J$4:J$1000,MATCH($A$1&amp;"|"&amp;7,Índice!$A$4:$A$1000,0)),"")</f>
        <v>Integração e Pertença Social (IPS); Sensibilidade Relacional (SR); Sintomas Internalizantes (SI); Reatividade Comportamental (RC); Pressão de Desempenho e Perfecionismo (PDP); Funcionamento Académico Adaptativo (FAA); Autorregulação e Coping Adaptativo (ACA); Fatores Protetores Contextuais (FPC); Índice Global de Preocupação Clínica (IGPC)</v>
      </c>
      <c r="K10" s="6" t="str">
        <f aca="false">IFERROR(INDEX(Catálogo!K$4:K$1000,MATCH($A$1&amp;"|"&amp;7,Índice!$A$4:$A$1000,0)),"")</f>
        <v>qeeescola</v>
      </c>
      <c r="L10" s="6" t="str">
        <f aca="false">IFERROR(INDEX(Catálogo!L$4:L$1000,MATCH($A$1&amp;"|"&amp;7,Índice!$A$4:$A$1000,0)),"")</f>
        <v>q_qee_escola</v>
      </c>
      <c r="M10" s="7" t="str">
        <f aca="false">IFERROR(INDEX(Catálogo!M$4:M$1000,MATCH($A$1&amp;"|"&amp;7,Índice!$A$4:$A$1000,0)),"")</f>
        <v>https://correiaricardina-ui.github.io/questionarios/QEE_Escola_v1.html</v>
      </c>
    </row>
    <row r="11" customFormat="false" ht="42" hidden="false" customHeight="true" outlineLevel="0" collapsed="false">
      <c r="A11" s="5" t="n">
        <f aca="false">IFERROR(INDEX(Catálogo!A$4:A$1000,MATCH($A$1&amp;"|"&amp;8,Índice!$A$4:$A$1000,0)),"")</f>
        <v>125</v>
      </c>
      <c r="B11" s="6" t="str">
        <f aca="false">IFERROR(INDEX(Catálogo!B$4:B$1000,MATCH($A$1&amp;"|"&amp;8,Índice!$A$4:$A$1000,0)),"")</f>
        <v>QEP — Questionário Ecológico Parental</v>
      </c>
      <c r="C11" s="6" t="str">
        <f aca="false">IFERROR(INDEX(Catálogo!C$4:C$1000,MATCH($A$1&amp;"|"&amp;8,Índice!$A$4:$A$1000,0)),"")</f>
        <v>Externalização &amp; Comportamento</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9</v>
      </c>
      <c r="I11" s="6" t="str">
        <f aca="false">IFERROR(INDEX(Catálogo!I$4:I$1000,MATCH($A$1&amp;"|"&amp;8,Índice!$A$4:$A$1000,0)),"")</f>
        <v>Caracterização clínica multi-informador do funcionamento emocional, social e adaptativo (versão clínica revista, paralela ao QEE — enquadramento bioecológico + lógica ASEBA). 40 itens fechados + 4 qualitativos.</v>
      </c>
      <c r="J11" s="6" t="str">
        <f aca="false">IFERROR(INDEX(Catálogo!J$4:J$1000,MATCH($A$1&amp;"|"&amp;8,Índice!$A$4:$A$1000,0)),"")</f>
        <v>Integração Social e Pertença (IPS); Sensibilidade Relacional (SR); Sintomas Internalizantes (SI); Reatividade Comportamental (RC); Pressão de Desempenho e Perfecionismo (PDP); Funcionamento Adaptativo Geral (FAG); Autorregulação e Coping Adaptativo (ACA); Fatores Protetores Familiares (FPF); Índice Global de Preocupação Clínica (IGPC)</v>
      </c>
      <c r="K11" s="6" t="str">
        <f aca="false">IFERROR(INDEX(Catálogo!K$4:K$1000,MATCH($A$1&amp;"|"&amp;8,Índice!$A$4:$A$1000,0)),"")</f>
        <v>qeppais</v>
      </c>
      <c r="L11" s="6" t="str">
        <f aca="false">IFERROR(INDEX(Catálogo!L$4:L$1000,MATCH($A$1&amp;"|"&amp;8,Índice!$A$4:$A$1000,0)),"")</f>
        <v>q_qep_pais</v>
      </c>
      <c r="M11" s="7" t="str">
        <f aca="false">IFERROR(INDEX(Catálogo!M$4:M$1000,MATCH($A$1&amp;"|"&amp;8,Índice!$A$4:$A$1000,0)),"")</f>
        <v>https://correiaricardina-ui.github.io/questionarios/QEP_Pais_v1.html</v>
      </c>
    </row>
    <row r="12" customFormat="false" ht="42" hidden="false" customHeight="true" outlineLevel="0" collapsed="false">
      <c r="A12" s="5" t="n">
        <f aca="false">IFERROR(INDEX(Catálogo!A$4:A$1000,MATCH($A$1&amp;"|"&amp;9,Índice!$A$4:$A$1000,0)),"")</f>
        <v>149</v>
      </c>
      <c r="B12" s="6" t="str">
        <f aca="false">IFERROR(INDEX(Catálogo!B$4:B$1000,MATCH($A$1&amp;"|"&amp;9,Índice!$A$4:$A$1000,0)),"")</f>
        <v>STAXI-NA — Inventário de Expressão de Raiva Estado-Traço (Crianças e Adolescentes)</v>
      </c>
      <c r="C12" s="6" t="str">
        <f aca="false">IFERROR(INDEX(Catálogo!C$4:C$1000,MATCH($A$1&amp;"|"&amp;9,Índice!$A$4:$A$1000,0)),"")</f>
        <v>Externalização &amp; Comportamento</v>
      </c>
      <c r="D12" s="6" t="str">
        <f aca="false">IFERROR(INDEX(Catálogo!D$4:D$1000,MATCH($A$1&amp;"|"&amp;9,Índice!$A$4:$A$1000,0)),"")</f>
        <v>Paciente</v>
      </c>
      <c r="E12" s="6" t="str">
        <f aca="false">IFERROR(INDEX(Catálogo!E$4:E$1000,MATCH($A$1&amp;"|"&amp;9,Índice!$A$4:$A$1000,0)),"")</f>
        <v>9–18 anos</v>
      </c>
      <c r="F12" s="5" t="n">
        <f aca="false">IFERROR(INDEX(Catálogo!F$4:F$1000,MATCH($A$1&amp;"|"&amp;9,Índice!$A$4:$A$1000,0)),"")</f>
        <v>9</v>
      </c>
      <c r="G12" s="5" t="n">
        <f aca="false">IFERROR(INDEX(Catálogo!G$4:G$1000,MATCH($A$1&amp;"|"&amp;9,Índice!$A$4:$A$1000,0)),"")</f>
        <v>19</v>
      </c>
      <c r="H12" s="5" t="n">
        <f aca="false">IFERROR(INDEX(Catálogo!H$4:H$1000,MATCH($A$1&amp;"|"&amp;9,Índice!$A$4:$A$1000,0)),"")</f>
        <v>12</v>
      </c>
      <c r="I12" s="6" t="str">
        <f aca="false">IFERROR(INDEX(Catálogo!I$4:I$1000,MATCH($A$1&amp;"|"&amp;9,Índice!$A$4:$A$1000,0)),"")</f>
        <v>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v>
      </c>
      <c r="J12" s="6" t="str">
        <f aca="false">IFERROR(INDEX(Catálogo!J$4:J$1000,MATCH($A$1&amp;"|"&amp;9,Índice!$A$4:$A$1000,0)),"")</f>
        <v>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v>
      </c>
      <c r="K12" s="6" t="str">
        <f aca="false">IFERROR(INDEX(Catálogo!K$4:K$1000,MATCH($A$1&amp;"|"&amp;9,Índice!$A$4:$A$1000,0)),"")</f>
        <v>staxina</v>
      </c>
      <c r="L12" s="6" t="str">
        <f aca="false">IFERROR(INDEX(Catálogo!L$4:L$1000,MATCH($A$1&amp;"|"&amp;9,Índice!$A$4:$A$1000,0)),"")</f>
        <v>q_staxi_na</v>
      </c>
      <c r="M12" s="7" t="str">
        <f aca="false">IFERROR(INDEX(Catálogo!M$4:M$1000,MATCH($A$1&amp;"|"&amp;9,Índice!$A$4:$A$1000,0)),"")</f>
        <v>https://correiaricardina-ui.github.io/questionarios/STAXI_NA_v1.html</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sheetData>
  <autoFilter ref="A3:M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208</v>
      </c>
      <c r="I1" s="17" t="str">
        <f aca="false">COUNTIF(Catálogo!$C$4:$C$1000,$A$1)&amp;IF(COUNTIF(Catálogo!$C$4:$C$1000,$A$1)=1," instrumento nesta área"," instrumentos nesta área")</f>
        <v>14 instrumentos nesta área</v>
      </c>
    </row>
    <row r="2" customFormat="false" ht="15" hidden="false" customHeight="true" outlineLevel="0" collapsed="false">
      <c r="A2" s="18" t="s">
        <v>1331</v>
      </c>
      <c r="I2" s="19" t="str">
        <f aca="false">IF(COUNTIF(Catálogo!$C$4:$C$1000,$A$1)&gt;22,"⚠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28</v>
      </c>
      <c r="B4" s="6" t="str">
        <f aca="false">IFERROR(INDEX(Catálogo!B$4:B$1000,MATCH($A$1&amp;"|"&amp;1,Índice!$A$4:$A$1000,0)),"")</f>
        <v>CCBQ — Comportamentos de Coping em Crianças</v>
      </c>
      <c r="C4" s="6" t="str">
        <f aca="false">IFERROR(INDEX(Catálogo!C$4:C$1000,MATCH($A$1&amp;"|"&amp;1,Índice!$A$4:$A$1000,0)),"")</f>
        <v>Regulação Emocional &amp; Coping</v>
      </c>
      <c r="D4" s="6" t="str">
        <f aca="false">IFERROR(INDEX(Catálogo!D$4:D$1000,MATCH($A$1&amp;"|"&amp;1,Índice!$A$4:$A$1000,0)),"")</f>
        <v>Paciente, Criança avaliada, Jovem avaliado</v>
      </c>
      <c r="E4" s="6" t="str">
        <f aca="false">IFERROR(INDEX(Catálogo!E$4:E$1000,MATCH($A$1&amp;"|"&amp;1,Índice!$A$4:$A$1000,0)),"")</f>
        <v>≥ 6 anos</v>
      </c>
      <c r="F4" s="5" t="n">
        <f aca="false">IFERROR(INDEX(Catálogo!F$4:F$1000,MATCH($A$1&amp;"|"&amp;1,Índice!$A$4:$A$1000,0)),"")</f>
        <v>6</v>
      </c>
      <c r="G4" s="5" t="n">
        <f aca="false">IFERROR(INDEX(Catálogo!G$4:G$1000,MATCH($A$1&amp;"|"&amp;1,Índice!$A$4:$A$1000,0)),"")</f>
        <v>99</v>
      </c>
      <c r="H4" s="5" t="n">
        <f aca="false">IFERROR(INDEX(Catálogo!H$4:H$1000,MATCH($A$1&amp;"|"&amp;1,Índice!$A$4:$A$1000,0)),"")</f>
        <v>4</v>
      </c>
      <c r="I4" s="6" t="str">
        <f aca="false">IFERROR(INDEX(Catálogo!I$4:I$1000,MATCH($A$1&amp;"|"&amp;1,Índice!$A$4:$A$1000,0)),"")</f>
        <v>Avalia a frequência de utilização de três padrões de coping perante acontecimentos stressantes — Diversão (F-I), Amelioratório (F-II) e Destrutivo (F-III) (Hernandez, 2008 — adaptação PT exploratória)</v>
      </c>
      <c r="J4" s="6" t="str">
        <f aca="false">IFERROR(INDEX(Catálogo!J$4:J$1000,MATCH($A$1&amp;"|"&amp;1,Índice!$A$4:$A$1000,0)),"")</f>
        <v>F-I Diversão; F-II Amelioratório; F-III Destrutivo; Compósito</v>
      </c>
      <c r="K4" s="6" t="str">
        <f aca="false">IFERROR(INDEX(Catálogo!K$4:K$1000,MATCH($A$1&amp;"|"&amp;1,Índice!$A$4:$A$1000,0)),"")</f>
        <v>ccbq</v>
      </c>
      <c r="L4" s="6" t="str">
        <f aca="false">IFERROR(INDEX(Catálogo!L$4:L$1000,MATCH($A$1&amp;"|"&amp;1,Índice!$A$4:$A$1000,0)),"")</f>
        <v>q_ccbq</v>
      </c>
      <c r="M4" s="7" t="str">
        <f aca="false">IFERROR(INDEX(Catálogo!M$4:M$1000,MATCH($A$1&amp;"|"&amp;1,Índice!$A$4:$A$1000,0)),"")</f>
        <v>https://correiaricardina-ui.github.io/questionarios/CCBQ_v1.html</v>
      </c>
    </row>
    <row r="5" customFormat="false" ht="42" hidden="false" customHeight="true" outlineLevel="0" collapsed="false">
      <c r="A5" s="5" t="n">
        <f aca="false">IFERROR(INDEX(Catálogo!A$4:A$1000,MATCH($A$1&amp;"|"&amp;2,Índice!$A$4:$A$1000,0)),"")</f>
        <v>30</v>
      </c>
      <c r="B5" s="6" t="str">
        <f aca="false">IFERROR(INDEX(Catálogo!B$4:B$1000,MATCH($A$1&amp;"|"&amp;2,Índice!$A$4:$A$1000,0)),"")</f>
        <v>CERQ-18 — Versão Curta</v>
      </c>
      <c r="C5" s="6" t="str">
        <f aca="false">IFERROR(INDEX(Catálogo!C$4:C$1000,MATCH($A$1&amp;"|"&amp;2,Índice!$A$4:$A$1000,0)),"")</f>
        <v>Regulação Emocional &amp; Coping</v>
      </c>
      <c r="D5" s="6" t="str">
        <f aca="false">IFERROR(INDEX(Catálogo!D$4:D$1000,MATCH($A$1&amp;"|"&amp;2,Índice!$A$4:$A$1000,0)),"")</f>
        <v>Paciente</v>
      </c>
      <c r="E5" s="6" t="str">
        <f aca="false">IFERROR(INDEX(Catálogo!E$4:E$1000,MATCH($A$1&amp;"|"&amp;2,Índice!$A$4:$A$1000,0)),"")</f>
        <v>≥ 13 anos</v>
      </c>
      <c r="F5" s="5" t="n">
        <f aca="false">IFERROR(INDEX(Catálogo!F$4:F$1000,MATCH($A$1&amp;"|"&amp;2,Índice!$A$4:$A$1000,0)),"")</f>
        <v>13</v>
      </c>
      <c r="G5" s="5" t="n">
        <f aca="false">IFERROR(INDEX(Catálogo!G$4:G$1000,MATCH($A$1&amp;"|"&amp;2,Índice!$A$4:$A$1000,0)),"")</f>
        <v>99</v>
      </c>
      <c r="H5" s="5" t="n">
        <f aca="false">IFERROR(INDEX(Catálogo!H$4:H$1000,MATCH($A$1&amp;"|"&amp;2,Índice!$A$4:$A$1000,0)),"")</f>
        <v>10</v>
      </c>
      <c r="I5" s="6" t="str">
        <f aca="false">IFERROR(INDEX(Catálogo!I$4:I$1000,MATCH($A$1&amp;"|"&amp;2,Índice!$A$4:$A$1000,0)),"")</f>
        <v>Auto-relato adolescente/adulto de estratégias cognitivas de regulação emocional — versão curta (18 itens) com normativos portugueses (Soares &amp; Amaral, 2024). 8 estratégias (4 adaptativas + 4 maladaptativas, com Reavaliação+Planeamento fundidas). Tempo de aplicação ~5-8 min.</v>
      </c>
      <c r="J5" s="6" t="str">
        <f aca="false">IFERROR(INDEX(Catálogo!J$4:J$1000,MATCH($A$1&amp;"|"&amp;2,Índice!$A$4:$A$1000,0)),"")</f>
        <v>Auto-culpabilização; Aceitação; Ruminação; Refocalização Positiva; Reavaliação Positiva e Planeamento; Colocar em Perspetiva; Catastrofização; Culpabilização dos Outros; CERQ-Positivo; CERQ-Negativo</v>
      </c>
      <c r="K5" s="6" t="str">
        <f aca="false">IFERROR(INDEX(Catálogo!K$4:K$1000,MATCH($A$1&amp;"|"&amp;2,Índice!$A$4:$A$1000,0)),"")</f>
        <v>cerq18</v>
      </c>
      <c r="L5" s="6" t="str">
        <f aca="false">IFERROR(INDEX(Catálogo!L$4:L$1000,MATCH($A$1&amp;"|"&amp;2,Índice!$A$4:$A$1000,0)),"")</f>
        <v>q_cerq_18</v>
      </c>
      <c r="M5" s="7" t="str">
        <f aca="false">IFERROR(INDEX(Catálogo!M$4:M$1000,MATCH($A$1&amp;"|"&amp;2,Índice!$A$4:$A$1000,0)),"")</f>
        <v>https://correiaricardina-ui.github.io/questionarios/CERQ_18_v1.html</v>
      </c>
    </row>
    <row r="6" customFormat="false" ht="42" hidden="false" customHeight="true" outlineLevel="0" collapsed="false">
      <c r="A6" s="5" t="n">
        <f aca="false">IFERROR(INDEX(Catálogo!A$4:A$1000,MATCH($A$1&amp;"|"&amp;3,Índice!$A$4:$A$1000,0)),"")</f>
        <v>31</v>
      </c>
      <c r="B6" s="6" t="str">
        <f aca="false">IFERROR(INDEX(Catálogo!B$4:B$1000,MATCH($A$1&amp;"|"&amp;3,Índice!$A$4:$A$1000,0)),"")</f>
        <v>CERQ-36 — Versão Completa</v>
      </c>
      <c r="C6" s="6" t="str">
        <f aca="false">IFERROR(INDEX(Catálogo!C$4:C$1000,MATCH($A$1&amp;"|"&amp;3,Índice!$A$4:$A$1000,0)),"")</f>
        <v>Regulação Emocional &amp; Coping</v>
      </c>
      <c r="D6" s="6" t="str">
        <f aca="false">IFERROR(INDEX(Catálogo!D$4:D$1000,MATCH($A$1&amp;"|"&amp;3,Índice!$A$4:$A$1000,0)),"")</f>
        <v>Paciente</v>
      </c>
      <c r="E6" s="6" t="str">
        <f aca="false">IFERROR(INDEX(Catálogo!E$4:E$1000,MATCH($A$1&amp;"|"&amp;3,Índice!$A$4:$A$1000,0)),"")</f>
        <v>≥ 12 anos</v>
      </c>
      <c r="F6" s="5" t="n">
        <f aca="false">IFERROR(INDEX(Catálogo!F$4:F$1000,MATCH($A$1&amp;"|"&amp;3,Índice!$A$4:$A$1000,0)),"")</f>
        <v>12</v>
      </c>
      <c r="G6" s="5" t="n">
        <f aca="false">IFERROR(INDEX(Catálogo!G$4:G$1000,MATCH($A$1&amp;"|"&amp;3,Índice!$A$4:$A$1000,0)),"")</f>
        <v>99</v>
      </c>
      <c r="H6" s="5" t="n">
        <f aca="false">IFERROR(INDEX(Catálogo!H$4:H$1000,MATCH($A$1&amp;"|"&amp;3,Índice!$A$4:$A$1000,0)),"")</f>
        <v>11</v>
      </c>
      <c r="I6" s="6" t="str">
        <f aca="false">IFERROR(INDEX(Catálogo!I$4:I$1000,MATCH($A$1&amp;"|"&amp;3,Índice!$A$4:$A$1000,0)),"")</f>
        <v>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v>
      </c>
      <c r="J6" s="6" t="str">
        <f aca="false">IFERROR(INDEX(Catálogo!J$4:J$1000,MATCH($A$1&amp;"|"&amp;3,Índice!$A$4:$A$1000,0)),"")</f>
        <v>Auto-culpabilização; Aceitação; Ruminação; Refocalização Positiva; Planeamento; Reavaliação Positiva; Colocar em Perspetiva; Catastrofização; Culpabilização dos Outros; CERQ-Positivo; CERQ-Negativo</v>
      </c>
      <c r="K6" s="6" t="str">
        <f aca="false">IFERROR(INDEX(Catálogo!K$4:K$1000,MATCH($A$1&amp;"|"&amp;3,Índice!$A$4:$A$1000,0)),"")</f>
        <v>cerq36</v>
      </c>
      <c r="L6" s="6" t="str">
        <f aca="false">IFERROR(INDEX(Catálogo!L$4:L$1000,MATCH($A$1&amp;"|"&amp;3,Índice!$A$4:$A$1000,0)),"")</f>
        <v>q_cerq_36</v>
      </c>
      <c r="M6" s="7" t="str">
        <f aca="false">IFERROR(INDEX(Catálogo!M$4:M$1000,MATCH($A$1&amp;"|"&amp;3,Índice!$A$4:$A$1000,0)),"")</f>
        <v>https://correiaricardina-ui.github.io/questionarios/CERQ_36_v1.html</v>
      </c>
    </row>
    <row r="7" customFormat="false" ht="42" hidden="false" customHeight="true" outlineLevel="0" collapsed="false">
      <c r="A7" s="5" t="n">
        <f aca="false">IFERROR(INDEX(Catálogo!A$4:A$1000,MATCH($A$1&amp;"|"&amp;4,Índice!$A$4:$A$1000,0)),"")</f>
        <v>32</v>
      </c>
      <c r="B7" s="6" t="str">
        <f aca="false">IFERROR(INDEX(Catálogo!B$4:B$1000,MATCH($A$1&amp;"|"&amp;4,Índice!$A$4:$A$1000,0)),"")</f>
        <v>CERQ-K — Crianças</v>
      </c>
      <c r="C7" s="6" t="str">
        <f aca="false">IFERROR(INDEX(Catálogo!C$4:C$1000,MATCH($A$1&amp;"|"&amp;4,Índice!$A$4:$A$1000,0)),"")</f>
        <v>Regulação Emocional &amp; Coping</v>
      </c>
      <c r="D7" s="6" t="str">
        <f aca="false">IFERROR(INDEX(Catálogo!D$4:D$1000,MATCH($A$1&amp;"|"&amp;4,Índice!$A$4:$A$1000,0)),"")</f>
        <v>Paciente</v>
      </c>
      <c r="E7" s="6" t="str">
        <f aca="false">IFERROR(INDEX(Catálogo!E$4:E$1000,MATCH($A$1&amp;"|"&amp;4,Índice!$A$4:$A$1000,0)),"")</f>
        <v>9–11 anos</v>
      </c>
      <c r="F7" s="5" t="n">
        <f aca="false">IFERROR(INDEX(Catálogo!F$4:F$1000,MATCH($A$1&amp;"|"&amp;4,Índice!$A$4:$A$1000,0)),"")</f>
        <v>9</v>
      </c>
      <c r="G7" s="5" t="n">
        <f aca="false">IFERROR(INDEX(Catálogo!G$4:G$1000,MATCH($A$1&amp;"|"&amp;4,Índice!$A$4:$A$1000,0)),"")</f>
        <v>11.9</v>
      </c>
      <c r="H7" s="5" t="n">
        <f aca="false">IFERROR(INDEX(Catálogo!H$4:H$1000,MATCH($A$1&amp;"|"&amp;4,Índice!$A$4:$A$1000,0)),"")</f>
        <v>11</v>
      </c>
      <c r="I7" s="6" t="str">
        <f aca="false">IFERROR(INDEX(Catálogo!I$4:I$1000,MATCH($A$1&amp;"|"&amp;4,Índice!$A$4:$A$1000,0)),"")</f>
        <v>Auto-relato infantil de estratégias cognitivas de regulação emocional após acontecimentos de vida desagradáveis (Garnefski et al., 2007). 9 estratégias (5 adaptativas + 4 maladaptativas) e 2 factores 2.ª ordem (CERQ-Positivo, CERQ-Negativo). Versão validada para 9-11 anos.</v>
      </c>
      <c r="J7" s="6" t="str">
        <f aca="false">IFERROR(INDEX(Catálogo!J$4:J$1000,MATCH($A$1&amp;"|"&amp;4,Índice!$A$4:$A$1000,0)),"")</f>
        <v>Auto-culpabilização; Aceitação; Ruminação; Refocalização Positiva; Planeamento; Reavaliação Positiva; Colocar em Perspetiva; Catastrofização; Culpabilização dos Outros; CERQ-Positivo; CERQ-Negativo</v>
      </c>
      <c r="K7" s="6" t="str">
        <f aca="false">IFERROR(INDEX(Catálogo!K$4:K$1000,MATCH($A$1&amp;"|"&amp;4,Índice!$A$4:$A$1000,0)),"")</f>
        <v>cerqk</v>
      </c>
      <c r="L7" s="6" t="str">
        <f aca="false">IFERROR(INDEX(Catálogo!L$4:L$1000,MATCH($A$1&amp;"|"&amp;4,Índice!$A$4:$A$1000,0)),"")</f>
        <v>q_cerq_k</v>
      </c>
      <c r="M7" s="7" t="str">
        <f aca="false">IFERROR(INDEX(Catálogo!M$4:M$1000,MATCH($A$1&amp;"|"&amp;4,Índice!$A$4:$A$1000,0)),"")</f>
        <v>https://correiaricardina-ui.github.io/questionarios/CERQ_K_v1.html</v>
      </c>
    </row>
    <row r="8" customFormat="false" ht="42" hidden="false" customHeight="true" outlineLevel="0" collapsed="false">
      <c r="A8" s="5" t="n">
        <f aca="false">IFERROR(INDEX(Catálogo!A$4:A$1000,MATCH($A$1&amp;"|"&amp;5,Índice!$A$4:$A$1000,0)),"")</f>
        <v>52</v>
      </c>
      <c r="B8" s="6" t="str">
        <f aca="false">IFERROR(INDEX(Catálogo!B$4:B$1000,MATCH($A$1&amp;"|"&amp;5,Índice!$A$4:$A$1000,0)),"")</f>
        <v>DERS — Dificuldades de Regulação Emocional</v>
      </c>
      <c r="C8" s="6" t="str">
        <f aca="false">IFERROR(INDEX(Catálogo!C$4:C$1000,MATCH($A$1&amp;"|"&amp;5,Índice!$A$4:$A$1000,0)),"")</f>
        <v>Regulação Emocional &amp; Coping</v>
      </c>
      <c r="D8" s="6" t="str">
        <f aca="false">IFERROR(INDEX(Catálogo!D$4:D$1000,MATCH($A$1&amp;"|"&amp;5,Índice!$A$4:$A$1000,0)),"")</f>
        <v>Paciente</v>
      </c>
      <c r="E8" s="6" t="str">
        <f aca="false">IFERROR(INDEX(Catálogo!E$4:E$1000,MATCH($A$1&amp;"|"&amp;5,Índice!$A$4:$A$1000,0)),"")</f>
        <v>14 anos+</v>
      </c>
      <c r="F8" s="5" t="n">
        <f aca="false">IFERROR(INDEX(Catálogo!F$4:F$1000,MATCH($A$1&amp;"|"&amp;5,Índice!$A$4:$A$1000,0)),"")</f>
        <v>14</v>
      </c>
      <c r="G8" s="5" t="n">
        <f aca="false">IFERROR(INDEX(Catálogo!G$4:G$1000,MATCH($A$1&amp;"|"&amp;5,Índice!$A$4:$A$1000,0)),"")</f>
        <v>99</v>
      </c>
      <c r="H8" s="5" t="n">
        <f aca="false">IFERROR(INDEX(Catálogo!H$4:H$1000,MATCH($A$1&amp;"|"&amp;5,Índice!$A$4:$A$1000,0)),"")</f>
        <v>7</v>
      </c>
      <c r="I8" s="6" t="str">
        <f aca="false">IFERROR(INDEX(Catálogo!I$4:I$1000,MATCH($A$1&amp;"|"&amp;5,Índice!$A$4:$A$1000,0)),"")</f>
        <v>Avalia dificuldades multidimensionais na regulação emocional — auto-relato (adolescentes 14–17 e adultos)</v>
      </c>
      <c r="J8" s="6" t="str">
        <f aca="false">IFERROR(INDEX(Catálogo!J$4:J$1000,MATCH($A$1&amp;"|"&amp;5,Índice!$A$4:$A$1000,0)),"")</f>
        <v>Não-Aceitação; Objetivos; Impulsos; Consciência; Estratégias; Clareza; Total</v>
      </c>
      <c r="K8" s="6" t="str">
        <f aca="false">IFERROR(INDEX(Catálogo!K$4:K$1000,MATCH($A$1&amp;"|"&amp;5,Índice!$A$4:$A$1000,0)),"")</f>
        <v>ders</v>
      </c>
      <c r="L8" s="6" t="str">
        <f aca="false">IFERROR(INDEX(Catálogo!L$4:L$1000,MATCH($A$1&amp;"|"&amp;5,Índice!$A$4:$A$1000,0)),"")</f>
        <v>q_ders</v>
      </c>
      <c r="M8" s="7" t="str">
        <f aca="false">IFERROR(INDEX(Catálogo!M$4:M$1000,MATCH($A$1&amp;"|"&amp;5,Índice!$A$4:$A$1000,0)),"")</f>
        <v>https://correiaricardina-ui.github.io/questionarios/DERS_v1.html</v>
      </c>
    </row>
    <row r="9" customFormat="false" ht="42" hidden="false" customHeight="true" outlineLevel="0" collapsed="false">
      <c r="A9" s="5" t="n">
        <f aca="false">IFERROR(INDEX(Catálogo!A$4:A$1000,MATCH($A$1&amp;"|"&amp;6,Índice!$A$4:$A$1000,0)),"")</f>
        <v>63</v>
      </c>
      <c r="B9" s="6" t="str">
        <f aca="false">IFERROR(INDEX(Catálogo!B$4:B$1000,MATCH($A$1&amp;"|"&amp;6,Índice!$A$4:$A$1000,0)),"")</f>
        <v>ERC — Pais/Cuidadores</v>
      </c>
      <c r="C9" s="6" t="str">
        <f aca="false">IFERROR(INDEX(Catálogo!C$4:C$1000,MATCH($A$1&amp;"|"&amp;6,Índice!$A$4:$A$1000,0)),"")</f>
        <v>Regulação Emocional &amp; Coping</v>
      </c>
      <c r="D9" s="6" t="str">
        <f aca="false">IFERROR(INDEX(Catálogo!D$4:D$1000,MATCH($A$1&amp;"|"&amp;6,Índice!$A$4:$A$1000,0)),"")</f>
        <v>Mãe, Pai, Enc. Educação</v>
      </c>
      <c r="E9" s="6" t="str">
        <f aca="false">IFERROR(INDEX(Catálogo!E$4:E$1000,MATCH($A$1&amp;"|"&amp;6,Índice!$A$4:$A$1000,0)),"")</f>
        <v>3–18 anos</v>
      </c>
      <c r="F9" s="5" t="n">
        <f aca="false">IFERROR(INDEX(Catálogo!F$4:F$1000,MATCH($A$1&amp;"|"&amp;6,Índice!$A$4:$A$1000,0)),"")</f>
        <v>3</v>
      </c>
      <c r="G9" s="5" t="n">
        <f aca="false">IFERROR(INDEX(Catálogo!G$4:G$1000,MATCH($A$1&amp;"|"&amp;6,Índice!$A$4:$A$1000,0)),"")</f>
        <v>17.9</v>
      </c>
      <c r="H9" s="5" t="n">
        <f aca="false">IFERROR(INDEX(Catálogo!H$4:H$1000,MATCH($A$1&amp;"|"&amp;6,Índice!$A$4:$A$1000,0)),"")</f>
        <v>3</v>
      </c>
      <c r="I9" s="6" t="str">
        <f aca="false">IFERROR(INDEX(Catálogo!I$4:I$1000,MATCH($A$1&amp;"|"&amp;6,Índice!$A$4:$A$1000,0)),"")</f>
        <v>Avalia a regulação emocional da criança — versão pais/cuidadores</v>
      </c>
      <c r="J9" s="6" t="str">
        <f aca="false">IFERROR(INDEX(Catálogo!J$4:J$1000,MATCH($A$1&amp;"|"&amp;6,Índice!$A$4:$A$1000,0)),"")</f>
        <v>Labilidade/Negatividade (L/N); Regulação Emocional (RE); Total ERC</v>
      </c>
      <c r="K9" s="6" t="str">
        <f aca="false">IFERROR(INDEX(Catálogo!K$4:K$1000,MATCH($A$1&amp;"|"&amp;6,Índice!$A$4:$A$1000,0)),"")</f>
        <v>erc_pais</v>
      </c>
      <c r="L9" s="6" t="str">
        <f aca="false">IFERROR(INDEX(Catálogo!L$4:L$1000,MATCH($A$1&amp;"|"&amp;6,Índice!$A$4:$A$1000,0)),"")</f>
        <v>q_erc_pais</v>
      </c>
      <c r="M9" s="7" t="str">
        <f aca="false">IFERROR(INDEX(Catálogo!M$4:M$1000,MATCH($A$1&amp;"|"&amp;6,Índice!$A$4:$A$1000,0)),"")</f>
        <v>https://correiaricardina-ui.github.io/questionarios/ERC_Pais_v1.html</v>
      </c>
    </row>
    <row r="10" customFormat="false" ht="42" hidden="false" customHeight="true" outlineLevel="0" collapsed="false">
      <c r="A10" s="5" t="n">
        <f aca="false">IFERROR(INDEX(Catálogo!A$4:A$1000,MATCH($A$1&amp;"|"&amp;7,Índice!$A$4:$A$1000,0)),"")</f>
        <v>64</v>
      </c>
      <c r="B10" s="6" t="str">
        <f aca="false">IFERROR(INDEX(Catálogo!B$4:B$1000,MATCH($A$1&amp;"|"&amp;7,Índice!$A$4:$A$1000,0)),"")</f>
        <v>ERC — Professores</v>
      </c>
      <c r="C10" s="6" t="str">
        <f aca="false">IFERROR(INDEX(Catálogo!C$4:C$1000,MATCH($A$1&amp;"|"&amp;7,Índice!$A$4:$A$1000,0)),"")</f>
        <v>Regulação Emocional &amp; Coping</v>
      </c>
      <c r="D10" s="6" t="str">
        <f aca="false">IFERROR(INDEX(Catálogo!D$4:D$1000,MATCH($A$1&amp;"|"&amp;7,Índice!$A$4:$A$1000,0)),"")</f>
        <v>Professor(a), Educador(a)</v>
      </c>
      <c r="E10" s="6" t="str">
        <f aca="false">IFERROR(INDEX(Catálogo!E$4:E$1000,MATCH($A$1&amp;"|"&amp;7,Índice!$A$4:$A$1000,0)),"")</f>
        <v>3–18 anos</v>
      </c>
      <c r="F10" s="5" t="n">
        <f aca="false">IFERROR(INDEX(Catálogo!F$4:F$1000,MATCH($A$1&amp;"|"&amp;7,Índice!$A$4:$A$1000,0)),"")</f>
        <v>3</v>
      </c>
      <c r="G10" s="5" t="n">
        <f aca="false">IFERROR(INDEX(Catálogo!G$4:G$1000,MATCH($A$1&amp;"|"&amp;7,Índice!$A$4:$A$1000,0)),"")</f>
        <v>17.9</v>
      </c>
      <c r="H10" s="5" t="n">
        <f aca="false">IFERROR(INDEX(Catálogo!H$4:H$1000,MATCH($A$1&amp;"|"&amp;7,Índice!$A$4:$A$1000,0)),"")</f>
        <v>3</v>
      </c>
      <c r="I10" s="6" t="str">
        <f aca="false">IFERROR(INDEX(Catálogo!I$4:I$1000,MATCH($A$1&amp;"|"&amp;7,Índice!$A$4:$A$1000,0)),"")</f>
        <v>Avalia a regulação emocional da criança — versão professor/educador</v>
      </c>
      <c r="J10" s="6" t="str">
        <f aca="false">IFERROR(INDEX(Catálogo!J$4:J$1000,MATCH($A$1&amp;"|"&amp;7,Índice!$A$4:$A$1000,0)),"")</f>
        <v>Labilidade/Negatividade (L/N); Regulação Emocional (RE); Total ERC</v>
      </c>
      <c r="K10" s="6" t="str">
        <f aca="false">IFERROR(INDEX(Catálogo!K$4:K$1000,MATCH($A$1&amp;"|"&amp;7,Índice!$A$4:$A$1000,0)),"")</f>
        <v>erc_prof</v>
      </c>
      <c r="L10" s="6" t="str">
        <f aca="false">IFERROR(INDEX(Catálogo!L$4:L$1000,MATCH($A$1&amp;"|"&amp;7,Índice!$A$4:$A$1000,0)),"")</f>
        <v>q_erc_prof</v>
      </c>
      <c r="M10" s="7" t="str">
        <f aca="false">IFERROR(INDEX(Catálogo!M$4:M$1000,MATCH($A$1&amp;"|"&amp;7,Índice!$A$4:$A$1000,0)),"")</f>
        <v>https://correiaricardina-ui.github.io/questionarios/ERC_Professores_v1.html</v>
      </c>
    </row>
    <row r="11" customFormat="false" ht="42" hidden="false" customHeight="true" outlineLevel="0" collapsed="false">
      <c r="A11" s="5" t="n">
        <f aca="false">IFERROR(INDEX(Catálogo!A$4:A$1000,MATCH($A$1&amp;"|"&amp;8,Índice!$A$4:$A$1000,0)),"")</f>
        <v>65</v>
      </c>
      <c r="B11" s="6" t="str">
        <f aca="false">IFERROR(INDEX(Catálogo!B$4:B$1000,MATCH($A$1&amp;"|"&amp;8,Índice!$A$4:$A$1000,0)),"")</f>
        <v>ERICA — Índice de Regulação Emocional (Crianças e Adolescentes)</v>
      </c>
      <c r="C11" s="6" t="str">
        <f aca="false">IFERROR(INDEX(Catálogo!C$4:C$1000,MATCH($A$1&amp;"|"&amp;8,Índice!$A$4:$A$1000,0)),"")</f>
        <v>Regulação Emocional &amp; Coping</v>
      </c>
      <c r="D11" s="6" t="str">
        <f aca="false">IFERROR(INDEX(Catálogo!D$4:D$1000,MATCH($A$1&amp;"|"&amp;8,Índice!$A$4:$A$1000,0)),"")</f>
        <v>Paciente</v>
      </c>
      <c r="E11" s="6" t="str">
        <f aca="false">IFERROR(INDEX(Catálogo!E$4:E$1000,MATCH($A$1&amp;"|"&amp;8,Índice!$A$4:$A$1000,0)),"")</f>
        <v>9–16 anos</v>
      </c>
      <c r="F11" s="5" t="n">
        <f aca="false">IFERROR(INDEX(Catálogo!F$4:F$1000,MATCH($A$1&amp;"|"&amp;8,Índice!$A$4:$A$1000,0)),"")</f>
        <v>9</v>
      </c>
      <c r="G11" s="5" t="n">
        <f aca="false">IFERROR(INDEX(Catálogo!G$4:G$1000,MATCH($A$1&amp;"|"&amp;8,Índice!$A$4:$A$1000,0)),"")</f>
        <v>17</v>
      </c>
      <c r="H11" s="5" t="n">
        <f aca="false">IFERROR(INDEX(Catálogo!H$4:H$1000,MATCH($A$1&amp;"|"&amp;8,Índice!$A$4:$A$1000,0)),"")</f>
        <v>4</v>
      </c>
      <c r="I11" s="6" t="str">
        <f aca="false">IFERROR(INDEX(Catálogo!I$4:I$1000,MATCH($A$1&amp;"|"&amp;8,Índice!$A$4:$A$1000,0)),"")</f>
        <v>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v>
      </c>
      <c r="J11" s="6" t="str">
        <f aca="false">IFERROR(INDEX(Catálogo!J$4:J$1000,MATCH($A$1&amp;"|"&amp;8,Índice!$A$4:$A$1000,0)),"")</f>
        <v>Controlo Emocional (CE); Autoconsciência Emocional (AE); Responsividade Situacional (RS); ERICA Total</v>
      </c>
      <c r="K11" s="6" t="str">
        <f aca="false">IFERROR(INDEX(Catálogo!K$4:K$1000,MATCH($A$1&amp;"|"&amp;8,Índice!$A$4:$A$1000,0)),"")</f>
        <v>erica</v>
      </c>
      <c r="L11" s="6" t="str">
        <f aca="false">IFERROR(INDEX(Catálogo!L$4:L$1000,MATCH($A$1&amp;"|"&amp;8,Índice!$A$4:$A$1000,0)),"")</f>
        <v>q_erica</v>
      </c>
      <c r="M11" s="7" t="str">
        <f aca="false">IFERROR(INDEX(Catálogo!M$4:M$1000,MATCH($A$1&amp;"|"&amp;8,Índice!$A$4:$A$1000,0)),"")</f>
        <v>https://correiaricardina-ui.github.io/questionarios/ERICA_v1.html</v>
      </c>
    </row>
    <row r="12" customFormat="false" ht="42" hidden="false" customHeight="true" outlineLevel="0" collapsed="false">
      <c r="A12" s="5" t="n">
        <f aca="false">IFERROR(INDEX(Catálogo!A$4:A$1000,MATCH($A$1&amp;"|"&amp;9,Índice!$A$4:$A$1000,0)),"")</f>
        <v>66</v>
      </c>
      <c r="B12" s="6" t="str">
        <f aca="false">IFERROR(INDEX(Catálogo!B$4:B$1000,MATCH($A$1&amp;"|"&amp;9,Índice!$A$4:$A$1000,0)),"")</f>
        <v>ERQ-CA — Questionário de Regulação Emocional (Crianças e Adolescentes)</v>
      </c>
      <c r="C12" s="6" t="str">
        <f aca="false">IFERROR(INDEX(Catálogo!C$4:C$1000,MATCH($A$1&amp;"|"&amp;9,Índice!$A$4:$A$1000,0)),"")</f>
        <v>Regulação Emocional &amp; Coping</v>
      </c>
      <c r="D12" s="6" t="str">
        <f aca="false">IFERROR(INDEX(Catálogo!D$4:D$1000,MATCH($A$1&amp;"|"&amp;9,Índice!$A$4:$A$1000,0)),"")</f>
        <v>Paciente</v>
      </c>
      <c r="E12" s="6" t="str">
        <f aca="false">IFERROR(INDEX(Catálogo!E$4:E$1000,MATCH($A$1&amp;"|"&amp;9,Índice!$A$4:$A$1000,0)),"")</f>
        <v>10–18 anos</v>
      </c>
      <c r="F12" s="5" t="n">
        <f aca="false">IFERROR(INDEX(Catálogo!F$4:F$1000,MATCH($A$1&amp;"|"&amp;9,Índice!$A$4:$A$1000,0)),"")</f>
        <v>10</v>
      </c>
      <c r="G12" s="5" t="n">
        <f aca="false">IFERROR(INDEX(Catálogo!G$4:G$1000,MATCH($A$1&amp;"|"&amp;9,Índice!$A$4:$A$1000,0)),"")</f>
        <v>19</v>
      </c>
      <c r="H12" s="5" t="n">
        <f aca="false">IFERROR(INDEX(Catálogo!H$4:H$1000,MATCH($A$1&amp;"|"&amp;9,Índice!$A$4:$A$1000,0)),"")</f>
        <v>2</v>
      </c>
      <c r="I12" s="6" t="str">
        <f aca="false">IFERROR(INDEX(Catálogo!I$4:I$1000,MATCH($A$1&amp;"|"&amp;9,Índice!$A$4:$A$1000,0)),"")</f>
        <v>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v>
      </c>
      <c r="J12" s="6" t="str">
        <f aca="false">IFERROR(INDEX(Catálogo!J$4:J$1000,MATCH($A$1&amp;"|"&amp;9,Índice!$A$4:$A$1000,0)),"")</f>
        <v>Reavaliação Cognitiva (RC); Supressão Expressiva (SE)</v>
      </c>
      <c r="K12" s="6" t="str">
        <f aca="false">IFERROR(INDEX(Catálogo!K$4:K$1000,MATCH($A$1&amp;"|"&amp;9,Índice!$A$4:$A$1000,0)),"")</f>
        <v>erqca</v>
      </c>
      <c r="L12" s="6" t="str">
        <f aca="false">IFERROR(INDEX(Catálogo!L$4:L$1000,MATCH($A$1&amp;"|"&amp;9,Índice!$A$4:$A$1000,0)),"")</f>
        <v>q_erq_ca</v>
      </c>
      <c r="M12" s="7" t="str">
        <f aca="false">IFERROR(INDEX(Catálogo!M$4:M$1000,MATCH($A$1&amp;"|"&amp;9,Índice!$A$4:$A$1000,0)),"")</f>
        <v>https://correiaricardina-ui.github.io/questionarios/ERQ_CA_v1.html</v>
      </c>
    </row>
    <row r="13" customFormat="false" ht="42" hidden="false" customHeight="true" outlineLevel="0" collapsed="false">
      <c r="A13" s="5" t="n">
        <f aca="false">IFERROR(INDEX(Catálogo!A$4:A$1000,MATCH($A$1&amp;"|"&amp;10,Índice!$A$4:$A$1000,0)),"")</f>
        <v>84</v>
      </c>
      <c r="B13" s="6" t="str">
        <f aca="false">IFERROR(INDEX(Catálogo!B$4:B$1000,MATCH($A$1&amp;"|"&amp;10,Índice!$A$4:$A$1000,0)),"")</f>
        <v>ISC-24 — Somatização</v>
      </c>
      <c r="C13" s="6" t="str">
        <f aca="false">IFERROR(INDEX(Catálogo!C$4:C$1000,MATCH($A$1&amp;"|"&amp;10,Índice!$A$4:$A$1000,0)),"")</f>
        <v>Regulação Emocional &amp; Coping</v>
      </c>
      <c r="D13" s="6" t="str">
        <f aca="false">IFERROR(INDEX(Catálogo!D$4:D$1000,MATCH($A$1&amp;"|"&amp;10,Índice!$A$4:$A$1000,0)),"")</f>
        <v>Paciente, Criança avaliada, Jovem avaliado, Mãe, Pai, Enc. Educação</v>
      </c>
      <c r="E13" s="6" t="str">
        <f aca="false">IFERROR(INDEX(Catálogo!E$4:E$1000,MATCH($A$1&amp;"|"&amp;10,Índice!$A$4:$A$1000,0)),"")</f>
        <v>8–18 anos</v>
      </c>
      <c r="F13" s="5" t="n">
        <f aca="false">IFERROR(INDEX(Catálogo!F$4:F$1000,MATCH($A$1&amp;"|"&amp;10,Índice!$A$4:$A$1000,0)),"")</f>
        <v>8</v>
      </c>
      <c r="G13" s="5" t="n">
        <f aca="false">IFERROR(INDEX(Catálogo!G$4:G$1000,MATCH($A$1&amp;"|"&amp;10,Índice!$A$4:$A$1000,0)),"")</f>
        <v>18.9</v>
      </c>
      <c r="H13" s="5" t="n">
        <f aca="false">IFERROR(INDEX(Catálogo!H$4:H$1000,MATCH($A$1&amp;"|"&amp;10,Índice!$A$4:$A$1000,0)),"")</f>
        <v>5</v>
      </c>
      <c r="I13" s="6" t="str">
        <f aca="false">IFERROR(INDEX(Catálogo!I$4:I$1000,MATCH($A$1&amp;"|"&amp;10,Índice!$A$4:$A$1000,0)),"")</f>
        <v>Avalia presença e intensidade de sintomas somáticos nas últimas 2 semanas (24 itens; Ferreira, Martins, Monteiro &amp; Pereira, 2014 — adaptação portuguesa do CSI-24)</v>
      </c>
      <c r="J13" s="6" t="str">
        <f aca="false">IFERROR(INDEX(Catálogo!J$4:J$1000,MATCH($A$1&amp;"|"&amp;10,Índice!$A$4:$A$1000,0)),"")</f>
        <v>Pontuação Total; Cardiopulmonar; Pseudoneurológico; Gastrointestinal; Dor</v>
      </c>
      <c r="K13" s="6" t="str">
        <f aca="false">IFERROR(INDEX(Catálogo!K$4:K$1000,MATCH($A$1&amp;"|"&amp;10,Índice!$A$4:$A$1000,0)),"")</f>
        <v>isc24</v>
      </c>
      <c r="L13" s="6" t="str">
        <f aca="false">IFERROR(INDEX(Catálogo!L$4:L$1000,MATCH($A$1&amp;"|"&amp;10,Índice!$A$4:$A$1000,0)),"")</f>
        <v>q_isc24</v>
      </c>
      <c r="M13" s="7" t="str">
        <f aca="false">IFERROR(INDEX(Catálogo!M$4:M$1000,MATCH($A$1&amp;"|"&amp;10,Índice!$A$4:$A$1000,0)),"")</f>
        <v>https://correiaricardina-ui.github.io/questionarios/ISC24.html</v>
      </c>
    </row>
    <row r="14" customFormat="false" ht="42" hidden="false" customHeight="true" outlineLevel="0" collapsed="false">
      <c r="A14" s="5" t="n">
        <f aca="false">IFERROR(INDEX(Catálogo!A$4:A$1000,MATCH($A$1&amp;"|"&amp;11,Índice!$A$4:$A$1000,0)),"")</f>
        <v>88</v>
      </c>
      <c r="B14" s="6" t="str">
        <f aca="false">IFERROR(INDEX(Catálogo!B$4:B$1000,MATCH($A$1&amp;"|"&amp;11,Índice!$A$4:$A$1000,0)),"")</f>
        <v>Kidcope — Adolescentes (13–18 anos)</v>
      </c>
      <c r="C14" s="6" t="str">
        <f aca="false">IFERROR(INDEX(Catálogo!C$4:C$1000,MATCH($A$1&amp;"|"&amp;11,Índice!$A$4:$A$1000,0)),"")</f>
        <v>Regulação Emocional &amp; Coping</v>
      </c>
      <c r="D14" s="6" t="str">
        <f aca="false">IFERROR(INDEX(Catálogo!D$4:D$1000,MATCH($A$1&amp;"|"&amp;11,Índice!$A$4:$A$1000,0)),"")</f>
        <v>Paciente, Jovem avaliado</v>
      </c>
      <c r="E14" s="6" t="str">
        <f aca="false">IFERROR(INDEX(Catálogo!E$4:E$1000,MATCH($A$1&amp;"|"&amp;11,Índice!$A$4:$A$1000,0)),"")</f>
        <v>13–18 anos</v>
      </c>
      <c r="F14" s="5" t="n">
        <f aca="false">IFERROR(INDEX(Catálogo!F$4:F$1000,MATCH($A$1&amp;"|"&amp;11,Índice!$A$4:$A$1000,0)),"")</f>
        <v>13</v>
      </c>
      <c r="G14" s="5" t="n">
        <f aca="false">IFERROR(INDEX(Catálogo!G$4:G$1000,MATCH($A$1&amp;"|"&amp;11,Índice!$A$4:$A$1000,0)),"")</f>
        <v>18.9</v>
      </c>
      <c r="H14" s="5" t="n">
        <f aca="false">IFERROR(INDEX(Catálogo!H$4:H$1000,MATCH($A$1&amp;"|"&amp;11,Índice!$A$4:$A$1000,0)),"")</f>
        <v>6</v>
      </c>
      <c r="I14" s="6" t="str">
        <f aca="false">IFERROR(INDEX(Catálogo!I$4:I$1000,MATCH($A$1&amp;"|"&amp;11,Índice!$A$4:$A$1000,0)),"")</f>
        <v>Avalia frequência (0–3) e eficácia percebida (0–4) de estratégias de coping; inclui flags de discrepância Frequência-Eficácia e perfil integrado A-E-D (Spirito, Stark &amp; Williams, 1988)</v>
      </c>
      <c r="J14" s="6" t="str">
        <f aca="false">IFERROR(INDEX(Catálogo!J$4:J$1000,MATCH($A$1&amp;"|"&amp;11,Índice!$A$4:$A$1000,0)),"")</f>
        <v>Estilo Adaptativo; Estilo Evitativo; Estilo Disfuncional; Índice Global; Flags F-E; Perfil A-E-D</v>
      </c>
      <c r="K14" s="6" t="str">
        <f aca="false">IFERROR(INDEX(Catálogo!K$4:K$1000,MATCH($A$1&amp;"|"&amp;11,Índice!$A$4:$A$1000,0)),"")</f>
        <v>kidcope_ad</v>
      </c>
      <c r="L14" s="6" t="str">
        <f aca="false">IFERROR(INDEX(Catálogo!L$4:L$1000,MATCH($A$1&amp;"|"&amp;11,Índice!$A$4:$A$1000,0)),"")</f>
        <v>q_kidcope_ad</v>
      </c>
      <c r="M14" s="7" t="str">
        <f aca="false">IFERROR(INDEX(Catálogo!M$4:M$1000,MATCH($A$1&amp;"|"&amp;11,Índice!$A$4:$A$1000,0)),"")</f>
        <v>https://correiaricardina-ui.github.io/questionarios/Kidcope_Adolescentes_v1.html</v>
      </c>
    </row>
    <row r="15" customFormat="false" ht="42" hidden="false" customHeight="true" outlineLevel="0" collapsed="false">
      <c r="A15" s="5" t="n">
        <f aca="false">IFERROR(INDEX(Catálogo!A$4:A$1000,MATCH($A$1&amp;"|"&amp;12,Índice!$A$4:$A$1000,0)),"")</f>
        <v>89</v>
      </c>
      <c r="B15" s="6" t="str">
        <f aca="false">IFERROR(INDEX(Catálogo!B$4:B$1000,MATCH($A$1&amp;"|"&amp;12,Índice!$A$4:$A$1000,0)),"")</f>
        <v>Kidcope — Crianças (7–12 anos)</v>
      </c>
      <c r="C15" s="6" t="str">
        <f aca="false">IFERROR(INDEX(Catálogo!C$4:C$1000,MATCH($A$1&amp;"|"&amp;12,Índice!$A$4:$A$1000,0)),"")</f>
        <v>Regulação Emocional &amp; Coping</v>
      </c>
      <c r="D15" s="6" t="str">
        <f aca="false">IFERROR(INDEX(Catálogo!D$4:D$1000,MATCH($A$1&amp;"|"&amp;12,Índice!$A$4:$A$1000,0)),"")</f>
        <v>Paciente, Criança avaliada</v>
      </c>
      <c r="E15" s="6" t="str">
        <f aca="false">IFERROR(INDEX(Catálogo!E$4:E$1000,MATCH($A$1&amp;"|"&amp;12,Índice!$A$4:$A$1000,0)),"")</f>
        <v>7–12 anos</v>
      </c>
      <c r="F15" s="5" t="n">
        <f aca="false">IFERROR(INDEX(Catálogo!F$4:F$1000,MATCH($A$1&amp;"|"&amp;12,Índice!$A$4:$A$1000,0)),"")</f>
        <v>7</v>
      </c>
      <c r="G15" s="5" t="n">
        <f aca="false">IFERROR(INDEX(Catálogo!G$4:G$1000,MATCH($A$1&amp;"|"&amp;12,Índice!$A$4:$A$1000,0)),"")</f>
        <v>12.9</v>
      </c>
      <c r="H15" s="5" t="n">
        <f aca="false">IFERROR(INDEX(Catálogo!H$4:H$1000,MATCH($A$1&amp;"|"&amp;12,Índice!$A$4:$A$1000,0)),"")</f>
        <v>5</v>
      </c>
      <c r="I15" s="6" t="str">
        <f aca="false">IFERROR(INDEX(Catálogo!I$4:I$1000,MATCH($A$1&amp;"|"&amp;12,Índice!$A$4:$A$1000,0)),"")</f>
        <v>Avalia estratégias de coping face a situações de stress (uso binário Sim/Não + eficácia 0–2); perfil integrado A-E-D com 27 combinações clínicas (Spirito, Stark &amp; Williams, 1988)</v>
      </c>
      <c r="J15" s="6" t="str">
        <f aca="false">IFERROR(INDEX(Catálogo!J$4:J$1000,MATCH($A$1&amp;"|"&amp;12,Índice!$A$4:$A$1000,0)),"")</f>
        <v>Estilo Adaptativo; Estilo Evitativo; Estilo Disfuncional; Índice Global; Perfil A-E-D</v>
      </c>
      <c r="K15" s="6" t="str">
        <f aca="false">IFERROR(INDEX(Catálogo!K$4:K$1000,MATCH($A$1&amp;"|"&amp;12,Índice!$A$4:$A$1000,0)),"")</f>
        <v>kidcope_cr</v>
      </c>
      <c r="L15" s="6" t="str">
        <f aca="false">IFERROR(INDEX(Catálogo!L$4:L$1000,MATCH($A$1&amp;"|"&amp;12,Índice!$A$4:$A$1000,0)),"")</f>
        <v>q_kidcope_cr</v>
      </c>
      <c r="M15" s="7" t="str">
        <f aca="false">IFERROR(INDEX(Catálogo!M$4:M$1000,MATCH($A$1&amp;"|"&amp;12,Índice!$A$4:$A$1000,0)),"")</f>
        <v>https://correiaricardina-ui.github.io/questionarios/Kidcope_Criancas_v1.html</v>
      </c>
    </row>
    <row r="16" customFormat="false" ht="42" hidden="false" customHeight="true" outlineLevel="0" collapsed="false">
      <c r="A16" s="5" t="n">
        <f aca="false">IFERROR(INDEX(Catálogo!A$4:A$1000,MATCH($A$1&amp;"|"&amp;13,Índice!$A$4:$A$1000,0)),"")</f>
        <v>151</v>
      </c>
      <c r="B16" s="6" t="str">
        <f aca="false">IFERROR(INDEX(Catálogo!B$4:B$1000,MATCH($A$1&amp;"|"&amp;13,Índice!$A$4:$A$1000,0)),"")</f>
        <v>TAS-20</v>
      </c>
      <c r="C16" s="6" t="str">
        <f aca="false">IFERROR(INDEX(Catálogo!C$4:C$1000,MATCH($A$1&amp;"|"&amp;13,Índice!$A$4:$A$1000,0)),"")</f>
        <v>Regulação Emocional &amp; Coping</v>
      </c>
      <c r="D16" s="6" t="str">
        <f aca="false">IFERROR(INDEX(Catálogo!D$4:D$1000,MATCH($A$1&amp;"|"&amp;13,Índice!$A$4:$A$1000,0)),"")</f>
        <v>Paciente</v>
      </c>
      <c r="E16" s="6" t="str">
        <f aca="false">IFERROR(INDEX(Catálogo!E$4:E$1000,MATCH($A$1&amp;"|"&amp;13,Índice!$A$4:$A$1000,0)),"")</f>
        <v>Adultos</v>
      </c>
      <c r="F16" s="5" t="n">
        <f aca="false">IFERROR(INDEX(Catálogo!F$4:F$1000,MATCH($A$1&amp;"|"&amp;13,Índice!$A$4:$A$1000,0)),"")</f>
        <v>16</v>
      </c>
      <c r="G16" s="5" t="n">
        <f aca="false">IFERROR(INDEX(Catálogo!G$4:G$1000,MATCH($A$1&amp;"|"&amp;13,Índice!$A$4:$A$1000,0)),"")</f>
        <v>99</v>
      </c>
      <c r="H16" s="5" t="n">
        <f aca="false">IFERROR(INDEX(Catálogo!H$4:H$1000,MATCH($A$1&amp;"|"&amp;13,Índice!$A$4:$A$1000,0)),"")</f>
        <v>4</v>
      </c>
      <c r="I16" s="6" t="str">
        <f aca="false">IFERROR(INDEX(Catálogo!I$4:I$1000,MATCH($A$1&amp;"|"&amp;13,Índice!$A$4:$A$1000,0)),"")</f>
        <v>Avaliar alexitimia (dificuldade em identificar e descrever emoções)</v>
      </c>
      <c r="J16" s="6" t="str">
        <f aca="false">IFERROR(INDEX(Catálogo!J$4:J$1000,MATCH($A$1&amp;"|"&amp;13,Índice!$A$4:$A$1000,0)),"")</f>
        <v>Dificuldade em Identificar Sentimentos (F1); Dificuldade em Descrever Sentimentos (F2); Pensamento Orientado para o Exterior (F3); Total</v>
      </c>
      <c r="K16" s="6" t="str">
        <f aca="false">IFERROR(INDEX(Catálogo!K$4:K$1000,MATCH($A$1&amp;"|"&amp;13,Índice!$A$4:$A$1000,0)),"")</f>
        <v>tas20</v>
      </c>
      <c r="L16" s="6" t="str">
        <f aca="false">IFERROR(INDEX(Catálogo!L$4:L$1000,MATCH($A$1&amp;"|"&amp;13,Índice!$A$4:$A$1000,0)),"")</f>
        <v>q_tas20</v>
      </c>
      <c r="M16" s="7" t="str">
        <f aca="false">IFERROR(INDEX(Catálogo!M$4:M$1000,MATCH($A$1&amp;"|"&amp;13,Índice!$A$4:$A$1000,0)),"")</f>
        <v>https://correiaricardina-ui.github.io/questionarios/TAS20_v7.html</v>
      </c>
    </row>
    <row r="17" customFormat="false" ht="42" hidden="false" customHeight="true" outlineLevel="0" collapsed="false">
      <c r="A17" s="5" t="n">
        <f aca="false">IFERROR(INDEX(Catálogo!A$4:A$1000,MATCH($A$1&amp;"|"&amp;14,Índice!$A$4:$A$1000,0)),"")</f>
        <v>169</v>
      </c>
      <c r="B17" s="6" t="str">
        <f aca="false">IFERROR(INDEX(Catálogo!B$4:B$1000,MATCH($A$1&amp;"|"&amp;14,Índice!$A$4:$A$1000,0)),"")</f>
        <v>CBQ-SF — Children’s Behavior Questionnaire (Forma Breve)</v>
      </c>
      <c r="C17" s="6" t="str">
        <f aca="false">IFERROR(INDEX(Catálogo!C$4:C$1000,MATCH($A$1&amp;"|"&amp;14,Índice!$A$4:$A$1000,0)),"")</f>
        <v>Regulação Emocional &amp; Coping</v>
      </c>
      <c r="D17" s="6" t="str">
        <f aca="false">IFERROR(INDEX(Catálogo!D$4:D$1000,MATCH($A$1&amp;"|"&amp;14,Índice!$A$4:$A$1000,0)),"")</f>
        <v>Mãe, Pai, Enc. Educação</v>
      </c>
      <c r="E17" s="6" t="str">
        <f aca="false">IFERROR(INDEX(Catálogo!E$4:E$1000,MATCH($A$1&amp;"|"&amp;14,Índice!$A$4:$A$1000,0)),"")</f>
        <v>3–7 anos</v>
      </c>
      <c r="F17" s="5" t="n">
        <f aca="false">IFERROR(INDEX(Catálogo!F$4:F$1000,MATCH($A$1&amp;"|"&amp;14,Índice!$A$4:$A$1000,0)),"")</f>
        <v>3</v>
      </c>
      <c r="G17" s="5" t="n">
        <f aca="false">IFERROR(INDEX(Catálogo!G$4:G$1000,MATCH($A$1&amp;"|"&amp;14,Índice!$A$4:$A$1000,0)),"")</f>
        <v>7</v>
      </c>
      <c r="H17" s="5" t="n">
        <f aca="false">IFERROR(INDEX(Catálogo!H$4:H$1000,MATCH($A$1&amp;"|"&amp;14,Índice!$A$4:$A$1000,0)),"")</f>
        <v>18</v>
      </c>
      <c r="I17" s="6" t="str">
        <f aca="false">IFERROR(INDEX(Catálogo!I$4:I$1000,MATCH($A$1&amp;"|"&amp;14,Índice!$A$4:$A$1000,0)),"")</f>
        <v>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v>
      </c>
      <c r="J17" s="6" t="str">
        <f aca="false">IFERROR(INDEX(Catálogo!J$4:J$1000,MATCH($A$1&amp;"|"&amp;14,Índice!$A$4:$A$1000,0)),"")</f>
        <v>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v>
      </c>
      <c r="K17" s="6" t="str">
        <f aca="false">IFERROR(INDEX(Catálogo!K$4:K$1000,MATCH($A$1&amp;"|"&amp;14,Índice!$A$4:$A$1000,0)),"")</f>
        <v>cbqsf</v>
      </c>
      <c r="L17" s="6" t="str">
        <f aca="false">IFERROR(INDEX(Catálogo!L$4:L$1000,MATCH($A$1&amp;"|"&amp;14,Índice!$A$4:$A$1000,0)),"")</f>
        <v>q_cbqsf</v>
      </c>
      <c r="M17" s="7" t="str">
        <f aca="false">IFERROR(INDEX(Catálogo!M$4:M$1000,MATCH($A$1&amp;"|"&amp;14,Índice!$A$4:$A$1000,0)),"")</f>
        <v>https://correiaricardina-ui.github.io/questionarios/CBQ_SF_v1.html</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row r="24" customFormat="false" ht="42" hidden="false" customHeight="true" outlineLevel="0" collapsed="false">
      <c r="A24" s="5" t="str">
        <f aca="false">IFERROR(INDEX(Catálogo!A$4:A$1000,MATCH($A$1&amp;"|"&amp;21,Índice!$A$4:$A$1000,0)),"")</f>
        <v/>
      </c>
      <c r="B24" s="6" t="str">
        <f aca="false">IFERROR(INDEX(Catálogo!B$4:B$1000,MATCH($A$1&amp;"|"&amp;21,Índice!$A$4:$A$1000,0)),"")</f>
        <v/>
      </c>
      <c r="C24" s="6" t="str">
        <f aca="false">IFERROR(INDEX(Catálogo!C$4:C$1000,MATCH($A$1&amp;"|"&amp;21,Índice!$A$4:$A$1000,0)),"")</f>
        <v/>
      </c>
      <c r="D24" s="6" t="str">
        <f aca="false">IFERROR(INDEX(Catálogo!D$4:D$1000,MATCH($A$1&amp;"|"&amp;21,Índice!$A$4:$A$1000,0)),"")</f>
        <v/>
      </c>
      <c r="E24" s="6" t="str">
        <f aca="false">IFERROR(INDEX(Catálogo!E$4:E$1000,MATCH($A$1&amp;"|"&amp;21,Índice!$A$4:$A$1000,0)),"")</f>
        <v/>
      </c>
      <c r="F24" s="5" t="str">
        <f aca="false">IFERROR(INDEX(Catálogo!F$4:F$1000,MATCH($A$1&amp;"|"&amp;21,Índice!$A$4:$A$1000,0)),"")</f>
        <v/>
      </c>
      <c r="G24" s="5" t="str">
        <f aca="false">IFERROR(INDEX(Catálogo!G$4:G$1000,MATCH($A$1&amp;"|"&amp;21,Índice!$A$4:$A$1000,0)),"")</f>
        <v/>
      </c>
      <c r="H24" s="5" t="str">
        <f aca="false">IFERROR(INDEX(Catálogo!H$4:H$1000,MATCH($A$1&amp;"|"&amp;21,Índice!$A$4:$A$1000,0)),"")</f>
        <v/>
      </c>
      <c r="I24" s="6" t="str">
        <f aca="false">IFERROR(INDEX(Catálogo!I$4:I$1000,MATCH($A$1&amp;"|"&amp;21,Índice!$A$4:$A$1000,0)),"")</f>
        <v/>
      </c>
      <c r="J24" s="6" t="str">
        <f aca="false">IFERROR(INDEX(Catálogo!J$4:J$1000,MATCH($A$1&amp;"|"&amp;21,Índice!$A$4:$A$1000,0)),"")</f>
        <v/>
      </c>
      <c r="K24" s="6" t="str">
        <f aca="false">IFERROR(INDEX(Catálogo!K$4:K$1000,MATCH($A$1&amp;"|"&amp;21,Índice!$A$4:$A$1000,0)),"")</f>
        <v/>
      </c>
      <c r="L24" s="6" t="str">
        <f aca="false">IFERROR(INDEX(Catálogo!L$4:L$1000,MATCH($A$1&amp;"|"&amp;21,Índice!$A$4:$A$1000,0)),"")</f>
        <v/>
      </c>
      <c r="M24" s="7" t="str">
        <f aca="false">IFERROR(INDEX(Catálogo!M$4:M$1000,MATCH($A$1&amp;"|"&amp;21,Índice!$A$4:$A$1000,0)),"")</f>
        <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sheetData>
  <autoFilter ref="A3:M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122</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16</v>
      </c>
      <c r="B4" s="6" t="str">
        <f aca="false">IFERROR(INDEX(Catálogo!B$4:B$1000,MATCH($A$1&amp;"|"&amp;1,Índice!$A$4:$A$1000,0)),"")</f>
        <v>BESAA — Escala de Estima Corporal</v>
      </c>
      <c r="C4" s="6" t="str">
        <f aca="false">IFERROR(INDEX(Catálogo!C$4:C$1000,MATCH($A$1&amp;"|"&amp;1,Índice!$A$4:$A$1000,0)),"")</f>
        <v>Alimentação &amp; Imagem Corporal</v>
      </c>
      <c r="D4" s="6" t="str">
        <f aca="false">IFERROR(INDEX(Catálogo!D$4:D$1000,MATCH($A$1&amp;"|"&amp;1,Índice!$A$4:$A$1000,0)),"")</f>
        <v>Paciente, Adolescente, Jovem avaliado</v>
      </c>
      <c r="E4" s="6" t="str">
        <f aca="false">IFERROR(INDEX(Catálogo!E$4:E$1000,MATCH($A$1&amp;"|"&amp;1,Índice!$A$4:$A$1000,0)),"")</f>
        <v>12+ anos</v>
      </c>
      <c r="F4" s="5" t="n">
        <f aca="false">IFERROR(INDEX(Catálogo!F$4:F$1000,MATCH($A$1&amp;"|"&amp;1,Índice!$A$4:$A$1000,0)),"")</f>
        <v>12</v>
      </c>
      <c r="G4" s="5" t="n">
        <f aca="false">IFERROR(INDEX(Catálogo!G$4:G$1000,MATCH($A$1&amp;"|"&amp;1,Índice!$A$4:$A$1000,0)),"")</f>
        <v>99</v>
      </c>
      <c r="H4" s="5" t="n">
        <f aca="false">IFERROR(INDEX(Catálogo!H$4:H$1000,MATCH($A$1&amp;"|"&amp;1,Índice!$A$4:$A$1000,0)),"")</f>
        <v>3</v>
      </c>
      <c r="I4" s="6" t="str">
        <f aca="false">IFERROR(INDEX(Catálogo!I$4:I$1000,MATCH($A$1&amp;"|"&amp;1,Índice!$A$4:$A$1000,0)),"")</f>
        <v>Avalia a auto-estima corporal em três dimensões: aparência geral, satisfação com o peso e avaliações atribuídas por outros (Mendelson et al., 2001)</v>
      </c>
      <c r="J4" s="6" t="str">
        <f aca="false">IFERROR(INDEX(Catálogo!J$4:J$1000,MATCH($A$1&amp;"|"&amp;1,Índice!$A$4:$A$1000,0)),"")</f>
        <v>BE-Aparência; BE-Peso; BE-Atribuição</v>
      </c>
      <c r="K4" s="6" t="str">
        <f aca="false">IFERROR(INDEX(Catálogo!K$4:K$1000,MATCH($A$1&amp;"|"&amp;1,Índice!$A$4:$A$1000,0)),"")</f>
        <v>besaa</v>
      </c>
      <c r="L4" s="6" t="str">
        <f aca="false">IFERROR(INDEX(Catálogo!L$4:L$1000,MATCH($A$1&amp;"|"&amp;1,Índice!$A$4:$A$1000,0)),"")</f>
        <v>q_besaa</v>
      </c>
      <c r="M4" s="7" t="str">
        <f aca="false">IFERROR(INDEX(Catálogo!M$4:M$1000,MATCH($A$1&amp;"|"&amp;1,Índice!$A$4:$A$1000,0)),"")</f>
        <v>https://correiaricardina-ui.github.io/questionarios/BESAA_v1.html</v>
      </c>
    </row>
    <row r="5" customFormat="false" ht="42" hidden="false" customHeight="true" outlineLevel="0" collapsed="false">
      <c r="A5" s="5" t="n">
        <f aca="false">IFERROR(INDEX(Catálogo!A$4:A$1000,MATCH($A$1&amp;"|"&amp;2,Índice!$A$4:$A$1000,0)),"")</f>
        <v>33</v>
      </c>
      <c r="B5" s="6" t="str">
        <f aca="false">IFERROR(INDEX(Catálogo!B$4:B$1000,MATCH($A$1&amp;"|"&amp;2,Índice!$A$4:$A$1000,0)),"")</f>
        <v>ChEAT — Atitudes Alimentares (Crianças)</v>
      </c>
      <c r="C5" s="6" t="str">
        <f aca="false">IFERROR(INDEX(Catálogo!C$4:C$1000,MATCH($A$1&amp;"|"&amp;2,Índice!$A$4:$A$1000,0)),"")</f>
        <v>Alimentação &amp; Imagem Corporal</v>
      </c>
      <c r="D5" s="6" t="str">
        <f aca="false">IFERROR(INDEX(Catálogo!D$4:D$1000,MATCH($A$1&amp;"|"&amp;2,Índice!$A$4:$A$1000,0)),"")</f>
        <v>Paciente</v>
      </c>
      <c r="E5" s="6" t="str">
        <f aca="false">IFERROR(INDEX(Catálogo!E$4:E$1000,MATCH($A$1&amp;"|"&amp;2,Índice!$A$4:$A$1000,0)),"")</f>
        <v>8–13 anos</v>
      </c>
      <c r="F5" s="5" t="n">
        <f aca="false">IFERROR(INDEX(Catálogo!F$4:F$1000,MATCH($A$1&amp;"|"&amp;2,Índice!$A$4:$A$1000,0)),"")</f>
        <v>8</v>
      </c>
      <c r="G5" s="5" t="n">
        <f aca="false">IFERROR(INDEX(Catálogo!G$4:G$1000,MATCH($A$1&amp;"|"&amp;2,Índice!$A$4:$A$1000,0)),"")</f>
        <v>12.9</v>
      </c>
      <c r="H5" s="5" t="n">
        <f aca="false">IFERROR(INDEX(Catálogo!H$4:H$1000,MATCH($A$1&amp;"|"&amp;2,Índice!$A$4:$A$1000,0)),"")</f>
        <v>4</v>
      </c>
      <c r="I5" s="6" t="str">
        <f aca="false">IFERROR(INDEX(Catálogo!I$4:I$1000,MATCH($A$1&amp;"|"&amp;2,Índice!$A$4:$A$1000,0)),"")</f>
        <v>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v>
      </c>
      <c r="J5" s="6" t="str">
        <f aca="false">IFERROR(INDEX(Catálogo!J$4:J$1000,MATCH($A$1&amp;"|"&amp;2,Índice!$A$4:$A$1000,0)),"")</f>
        <v>Dieta/Restrição; Preocupação Alimentar; Bulimia/Controlo; Total ChEAT</v>
      </c>
      <c r="K5" s="6" t="str">
        <f aca="false">IFERROR(INDEX(Catálogo!K$4:K$1000,MATCH($A$1&amp;"|"&amp;2,Índice!$A$4:$A$1000,0)),"")</f>
        <v>cheat</v>
      </c>
      <c r="L5" s="6" t="str">
        <f aca="false">IFERROR(INDEX(Catálogo!L$4:L$1000,MATCH($A$1&amp;"|"&amp;2,Índice!$A$4:$A$1000,0)),"")</f>
        <v>q_cheat</v>
      </c>
      <c r="M5" s="7" t="str">
        <f aca="false">IFERROR(INDEX(Catálogo!M$4:M$1000,MATCH($A$1&amp;"|"&amp;2,Índice!$A$4:$A$1000,0)),"")</f>
        <v>https://correiaricardina-ui.github.io/questionarios/ChEAT_v1.html</v>
      </c>
    </row>
    <row r="6" customFormat="false" ht="42" hidden="false" customHeight="true" outlineLevel="0" collapsed="false">
      <c r="A6" s="5" t="n">
        <f aca="false">IFERROR(INDEX(Catálogo!A$4:A$1000,MATCH($A$1&amp;"|"&amp;3,Índice!$A$4:$A$1000,0)),"")</f>
        <v>37</v>
      </c>
      <c r="B6" s="6" t="str">
        <f aca="false">IFERROR(INDEX(Catálogo!B$4:B$1000,MATCH($A$1&amp;"|"&amp;3,Índice!$A$4:$A$1000,0)),"")</f>
        <v>Collins — Silhuetas Corporais</v>
      </c>
      <c r="C6" s="6" t="str">
        <f aca="false">IFERROR(INDEX(Catálogo!C$4:C$1000,MATCH($A$1&amp;"|"&amp;3,Índice!$A$4:$A$1000,0)),"")</f>
        <v>Alimentação &amp; Imagem Corporal</v>
      </c>
      <c r="D6" s="6" t="str">
        <f aca="false">IFERROR(INDEX(Catálogo!D$4:D$1000,MATCH($A$1&amp;"|"&amp;3,Índice!$A$4:$A$1000,0)),"")</f>
        <v>Paciente, Jovem avaliado</v>
      </c>
      <c r="E6" s="6" t="str">
        <f aca="false">IFERROR(INDEX(Catálogo!E$4:E$1000,MATCH($A$1&amp;"|"&amp;3,Índice!$A$4:$A$1000,0)),"")</f>
        <v>Crianças / Adolescentes</v>
      </c>
      <c r="F6" s="5" t="n">
        <f aca="false">IFERROR(INDEX(Catálogo!F$4:F$1000,MATCH($A$1&amp;"|"&amp;3,Índice!$A$4:$A$1000,0)),"")</f>
        <v>6</v>
      </c>
      <c r="G6" s="5" t="n">
        <f aca="false">IFERROR(INDEX(Catálogo!G$4:G$1000,MATCH($A$1&amp;"|"&amp;3,Índice!$A$4:$A$1000,0)),"")</f>
        <v>17.9</v>
      </c>
      <c r="H6" s="5" t="n">
        <f aca="false">IFERROR(INDEX(Catálogo!H$4:H$1000,MATCH($A$1&amp;"|"&amp;3,Índice!$A$4:$A$1000,0)),"")</f>
        <v>4</v>
      </c>
      <c r="I6" s="6" t="str">
        <f aca="false">IFERROR(INDEX(Catálogo!I$4:I$1000,MATCH($A$1&amp;"|"&amp;3,Índice!$A$4:$A$1000,0)),"")</f>
        <v>Avalia a insatisfação com a imagem corporal através de silhuetas — percepção real vs. ideal (Collins, 1991)</v>
      </c>
      <c r="J6" s="6" t="str">
        <f aca="false">IFERROR(INDEX(Catálogo!J$4:J$1000,MATCH($A$1&amp;"|"&amp;3,Índice!$A$4:$A$1000,0)),"")</f>
        <v>Silhueta Real; Silhueta Ideal; Insatisfação; Índice de Massa Corporal (IMC)</v>
      </c>
      <c r="K6" s="6" t="str">
        <f aca="false">IFERROR(INDEX(Catálogo!K$4:K$1000,MATCH($A$1&amp;"|"&amp;3,Índice!$A$4:$A$1000,0)),"")</f>
        <v>collins</v>
      </c>
      <c r="L6" s="6" t="str">
        <f aca="false">IFERROR(INDEX(Catálogo!L$4:L$1000,MATCH($A$1&amp;"|"&amp;3,Índice!$A$4:$A$1000,0)),"")</f>
        <v>q_collins</v>
      </c>
      <c r="M6" s="7" t="str">
        <f aca="false">IFERROR(INDEX(Catálogo!M$4:M$1000,MATCH($A$1&amp;"|"&amp;3,Índice!$A$4:$A$1000,0)),"")</f>
        <v>https://correiaricardina-ui.github.io/questionarios/Collins_Silhuetas.html</v>
      </c>
    </row>
    <row r="7" customFormat="false" ht="42" hidden="false" customHeight="true" outlineLevel="0" collapsed="false">
      <c r="A7" s="5" t="n">
        <f aca="false">IFERROR(INDEX(Catálogo!A$4:A$1000,MATCH($A$1&amp;"|"&amp;4,Índice!$A$4:$A$1000,0)),"")</f>
        <v>57</v>
      </c>
      <c r="B7" s="6" t="str">
        <f aca="false">IFERROR(INDEX(Catálogo!B$4:B$1000,MATCH($A$1&amp;"|"&amp;4,Índice!$A$4:$A$1000,0)),"")</f>
        <v>EAT-26</v>
      </c>
      <c r="C7" s="6" t="str">
        <f aca="false">IFERROR(INDEX(Catálogo!C$4:C$1000,MATCH($A$1&amp;"|"&amp;4,Índice!$A$4:$A$1000,0)),"")</f>
        <v>Alimentação &amp; Imagem Corporal</v>
      </c>
      <c r="D7" s="6" t="str">
        <f aca="false">IFERROR(INDEX(Catálogo!D$4:D$1000,MATCH($A$1&amp;"|"&amp;4,Índice!$A$4:$A$1000,0)),"")</f>
        <v>Paciente</v>
      </c>
      <c r="E7" s="6" t="str">
        <f aca="false">IFERROR(INDEX(Catálogo!E$4:E$1000,MATCH($A$1&amp;"|"&amp;4,Índice!$A$4:$A$1000,0)),"")</f>
        <v>Adolescentes / Adultos</v>
      </c>
      <c r="F7" s="5" t="n">
        <f aca="false">IFERROR(INDEX(Catálogo!F$4:F$1000,MATCH($A$1&amp;"|"&amp;4,Índice!$A$4:$A$1000,0)),"")</f>
        <v>11</v>
      </c>
      <c r="G7" s="5" t="n">
        <f aca="false">IFERROR(INDEX(Catálogo!G$4:G$1000,MATCH($A$1&amp;"|"&amp;4,Índice!$A$4:$A$1000,0)),"")</f>
        <v>99</v>
      </c>
      <c r="H7" s="5" t="n">
        <f aca="false">IFERROR(INDEX(Catálogo!H$4:H$1000,MATCH($A$1&amp;"|"&amp;4,Índice!$A$4:$A$1000,0)),"")</f>
        <v>4</v>
      </c>
      <c r="I7" s="6" t="str">
        <f aca="false">IFERROR(INDEX(Catálogo!I$4:I$1000,MATCH($A$1&amp;"|"&amp;4,Índice!$A$4:$A$1000,0)),"")</f>
        <v>Rastreio de atitudes e comportamentos alimentares de risco (Garner et al., 1982)</v>
      </c>
      <c r="J7" s="6" t="str">
        <f aca="false">IFERROR(INDEX(Catálogo!J$4:J$1000,MATCH($A$1&amp;"|"&amp;4,Índice!$A$4:$A$1000,0)),"")</f>
        <v>Dieta (D); Bulimia e Preocupação Alimentar (B); Controlo Oral (OC); Score Total (Total)</v>
      </c>
      <c r="K7" s="6" t="str">
        <f aca="false">IFERROR(INDEX(Catálogo!K$4:K$1000,MATCH($A$1&amp;"|"&amp;4,Índice!$A$4:$A$1000,0)),"")</f>
        <v>eat26</v>
      </c>
      <c r="L7" s="6" t="str">
        <f aca="false">IFERROR(INDEX(Catálogo!L$4:L$1000,MATCH($A$1&amp;"|"&amp;4,Índice!$A$4:$A$1000,0)),"")</f>
        <v>q_eat26</v>
      </c>
      <c r="M7" s="7" t="str">
        <f aca="false">IFERROR(INDEX(Catálogo!M$4:M$1000,MATCH($A$1&amp;"|"&amp;4,Índice!$A$4:$A$1000,0)),"")</f>
        <v>https://correiaricardina-ui.github.io/questionarios/EAT26_v2.html</v>
      </c>
    </row>
    <row r="8" customFormat="false" ht="42" hidden="false" customHeight="true" outlineLevel="0" collapsed="false">
      <c r="A8" s="5" t="n">
        <f aca="false">IFERROR(INDEX(Catálogo!A$4:A$1000,MATCH($A$1&amp;"|"&amp;5,Índice!$A$4:$A$1000,0)),"")</f>
        <v>58</v>
      </c>
      <c r="B8" s="6" t="str">
        <f aca="false">IFERROR(INDEX(Catálogo!B$4:B$1000,MATCH($A$1&amp;"|"&amp;5,Índice!$A$4:$A$1000,0)),"")</f>
        <v>ECE-FEA</v>
      </c>
      <c r="C8" s="6" t="str">
        <f aca="false">IFERROR(INDEX(Catálogo!C$4:C$1000,MATCH($A$1&amp;"|"&amp;5,Índice!$A$4:$A$1000,0)),"")</f>
        <v>Alimentação &amp; Imagem Corporal</v>
      </c>
      <c r="D8" s="6" t="str">
        <f aca="false">IFERROR(INDEX(Catálogo!D$4:D$1000,MATCH($A$1&amp;"|"&amp;5,Índice!$A$4:$A$1000,0)),"")</f>
        <v>Paciente</v>
      </c>
      <c r="E8" s="6" t="str">
        <f aca="false">IFERROR(INDEX(Catálogo!E$4:E$1000,MATCH($A$1&amp;"|"&amp;5,Índice!$A$4:$A$1000,0)),"")</f>
        <v>≥ 10 anos</v>
      </c>
      <c r="F8" s="5" t="n">
        <f aca="false">IFERROR(INDEX(Catálogo!F$4:F$1000,MATCH($A$1&amp;"|"&amp;5,Índice!$A$4:$A$1000,0)),"")</f>
        <v>10</v>
      </c>
      <c r="G8" s="5" t="n">
        <f aca="false">IFERROR(INDEX(Catálogo!G$4:G$1000,MATCH($A$1&amp;"|"&amp;5,Índice!$A$4:$A$1000,0)),"")</f>
        <v>99</v>
      </c>
      <c r="H8" s="5" t="n">
        <f aca="false">IFERROR(INDEX(Catálogo!H$4:H$1000,MATCH($A$1&amp;"|"&amp;5,Índice!$A$4:$A$1000,0)),"")</f>
        <v>6</v>
      </c>
      <c r="I8" s="6" t="str">
        <f aca="false">IFERROR(INDEX(Catálogo!I$4:I$1000,MATCH($A$1&amp;"|"&amp;5,Índice!$A$4:$A$1000,0)),"")</f>
        <v>Avalia a função emocional da alimentação — ingestão emocional, controlo, fome, regulação e insight</v>
      </c>
      <c r="J8" s="6" t="str">
        <f aca="false">IFERROR(INDEX(Catálogo!J$4:J$1000,MATCH($A$1&amp;"|"&amp;5,Índice!$A$4:$A$1000,0)),"")</f>
        <v>Dom. A — Ingestão Emocional; Dom. B — Perda de Controlo; Dom. C — Ingestão sem Fome; Dom. D — Função Reguladora; Dom. E — Consciência/Insight; Índice Global de Alimentação Emocional (IGAE)</v>
      </c>
      <c r="K8" s="6" t="str">
        <f aca="false">IFERROR(INDEX(Catálogo!K$4:K$1000,MATCH($A$1&amp;"|"&amp;5,Índice!$A$4:$A$1000,0)),"")</f>
        <v>ece_fea</v>
      </c>
      <c r="L8" s="6" t="str">
        <f aca="false">IFERROR(INDEX(Catálogo!L$4:L$1000,MATCH($A$1&amp;"|"&amp;5,Índice!$A$4:$A$1000,0)),"")</f>
        <v>q_ece_fea</v>
      </c>
      <c r="M8" s="7" t="str">
        <f aca="false">IFERROR(INDEX(Catálogo!M$4:M$1000,MATCH($A$1&amp;"|"&amp;5,Índice!$A$4:$A$1000,0)),"")</f>
        <v>https://correiaricardina-ui.github.io/questionarios/ECE-FEA.html</v>
      </c>
    </row>
    <row r="9" customFormat="false" ht="42" hidden="false" customHeight="true" outlineLevel="0" collapsed="false">
      <c r="A9" s="5" t="n">
        <f aca="false">IFERROR(INDEX(Catálogo!A$4:A$1000,MATCH($A$1&amp;"|"&amp;6,Índice!$A$4:$A$1000,0)),"")</f>
        <v>59</v>
      </c>
      <c r="B9" s="6" t="str">
        <f aca="false">IFERROR(INDEX(Catálogo!B$4:B$1000,MATCH($A$1&amp;"|"&amp;6,Índice!$A$4:$A$1000,0)),"")</f>
        <v>EDE-Q 6.0</v>
      </c>
      <c r="C9" s="6" t="str">
        <f aca="false">IFERROR(INDEX(Catálogo!C$4:C$1000,MATCH($A$1&amp;"|"&amp;6,Índice!$A$4:$A$1000,0)),"")</f>
        <v>Alimentação &amp; Imagem Corporal</v>
      </c>
      <c r="D9" s="6" t="str">
        <f aca="false">IFERROR(INDEX(Catálogo!D$4:D$1000,MATCH($A$1&amp;"|"&amp;6,Índice!$A$4:$A$1000,0)),"")</f>
        <v>Paciente</v>
      </c>
      <c r="E9" s="6" t="str">
        <f aca="false">IFERROR(INDEX(Catálogo!E$4:E$1000,MATCH($A$1&amp;"|"&amp;6,Índice!$A$4:$A$1000,0)),"")</f>
        <v>Adolescentes / Adultos</v>
      </c>
      <c r="F9" s="5" t="n">
        <f aca="false">IFERROR(INDEX(Catálogo!F$4:F$1000,MATCH($A$1&amp;"|"&amp;6,Índice!$A$4:$A$1000,0)),"")</f>
        <v>11</v>
      </c>
      <c r="G9" s="5" t="n">
        <f aca="false">IFERROR(INDEX(Catálogo!G$4:G$1000,MATCH($A$1&amp;"|"&amp;6,Índice!$A$4:$A$1000,0)),"")</f>
        <v>99</v>
      </c>
      <c r="H9" s="5" t="n">
        <f aca="false">IFERROR(INDEX(Catálogo!H$4:H$1000,MATCH($A$1&amp;"|"&amp;6,Índice!$A$4:$A$1000,0)),"")</f>
        <v>5</v>
      </c>
      <c r="I9" s="6" t="str">
        <f aca="false">IFERROR(INDEX(Catálogo!I$4:I$1000,MATCH($A$1&amp;"|"&amp;6,Índice!$A$4:$A$1000,0)),"")</f>
        <v>Avalia psicopatologia de perturbações alimentares — restrição, preocupações com alimentação, forma e peso (Fairburn &amp; Beglin, 2008)</v>
      </c>
      <c r="J9" s="6" t="str">
        <f aca="false">IFERROR(INDEX(Catálogo!J$4:J$1000,MATCH($A$1&amp;"|"&amp;6,Índice!$A$4:$A$1000,0)),"")</f>
        <v>Restraint; Eating Concern; Shape Concern; Weight Concern; Global</v>
      </c>
      <c r="K9" s="6" t="str">
        <f aca="false">IFERROR(INDEX(Catálogo!K$4:K$1000,MATCH($A$1&amp;"|"&amp;6,Índice!$A$4:$A$1000,0)),"")</f>
        <v>edeq</v>
      </c>
      <c r="L9" s="6" t="str">
        <f aca="false">IFERROR(INDEX(Catálogo!L$4:L$1000,MATCH($A$1&amp;"|"&amp;6,Índice!$A$4:$A$1000,0)),"")</f>
        <v>q_edeq</v>
      </c>
      <c r="M9" s="7" t="str">
        <f aca="false">IFERROR(INDEX(Catálogo!M$4:M$1000,MATCH($A$1&amp;"|"&amp;6,Índice!$A$4:$A$1000,0)),"")</f>
        <v>https://correiaricardina-ui.github.io/questionarios/EDEQ_v1.html</v>
      </c>
    </row>
    <row r="10" customFormat="false" ht="42" hidden="false" customHeight="true" outlineLevel="0" collapsed="false">
      <c r="A10" s="5" t="n">
        <f aca="false">IFERROR(INDEX(Catálogo!A$4:A$1000,MATCH($A$1&amp;"|"&amp;7,Índice!$A$4:$A$1000,0)),"")</f>
        <v>174</v>
      </c>
      <c r="B10" s="6" t="str">
        <f aca="false">IFERROR(INDEX(Catálogo!B$4:B$1000,MATCH($A$1&amp;"|"&amp;7,Índice!$A$4:$A$1000,0)),"")</f>
        <v>PDRA-9/C — Perfil Diferencial da Restrição Alimentar (Criança)</v>
      </c>
      <c r="C10" s="6" t="str">
        <f aca="false">IFERROR(INDEX(Catálogo!C$4:C$1000,MATCH($A$1&amp;"|"&amp;7,Índice!$A$4:$A$1000,0)),"")</f>
        <v>Alimentação &amp; Imagem Corporal</v>
      </c>
      <c r="D10" s="6" t="str">
        <f aca="false">IFERROR(INDEX(Catálogo!D$4:D$1000,MATCH($A$1&amp;"|"&amp;7,Índice!$A$4:$A$1000,0)),"")</f>
        <v>Paciente</v>
      </c>
      <c r="E10" s="6" t="str">
        <f aca="false">IFERROR(INDEX(Catálogo!E$4:E$1000,MATCH($A$1&amp;"|"&amp;7,Índice!$A$4:$A$1000,0)),"")</f>
        <v>8–14 anos</v>
      </c>
      <c r="F10" s="5" t="n">
        <f aca="false">IFERROR(INDEX(Catálogo!F$4:F$1000,MATCH($A$1&amp;"|"&amp;7,Índice!$A$4:$A$1000,0)),"")</f>
        <v>8</v>
      </c>
      <c r="G10" s="5" t="n">
        <f aca="false">IFERROR(INDEX(Catálogo!G$4:G$1000,MATCH($A$1&amp;"|"&amp;7,Índice!$A$4:$A$1000,0)),"")</f>
        <v>14</v>
      </c>
      <c r="H10" s="5" t="n">
        <f aca="false">IFERROR(INDEX(Catálogo!H$4:H$1000,MATCH($A$1&amp;"|"&amp;7,Índice!$A$4:$A$1000,0)),"")</f>
        <v>9</v>
      </c>
      <c r="I10" s="6" t="str">
        <f aca="false">IFERROR(INDEX(Catálogo!I$4:I$1000,MATCH($A$1&amp;"|"&amp;7,Índice!$A$4:$A$1000,0)),"")</f>
        <v>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v>
      </c>
      <c r="J10" s="6" t="str">
        <f aca="false">IFERROR(INDEX(Catálogo!J$4:J$1000,MATCH($A$1&amp;"|"&amp;7,Índice!$A$4:$A$1000,0)),"")</f>
        <v>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v>
      </c>
      <c r="K10" s="6" t="str">
        <f aca="false">IFERROR(INDEX(Catálogo!K$4:K$1000,MATCH($A$1&amp;"|"&amp;7,Índice!$A$4:$A$1000,0)),"")</f>
        <v>pdra9_c</v>
      </c>
      <c r="L10" s="6" t="str">
        <f aca="false">IFERROR(INDEX(Catálogo!L$4:L$1000,MATCH($A$1&amp;"|"&amp;7,Índice!$A$4:$A$1000,0)),"")</f>
        <v>q_pdra9_c</v>
      </c>
      <c r="M10" s="7" t="str">
        <f aca="false">IFERROR(INDEX(Catálogo!M$4:M$1000,MATCH($A$1&amp;"|"&amp;7,Índice!$A$4:$A$1000,0)),"")</f>
        <v>https://correiaricardina-ui.github.io/questionarios/PDRA9_C_v1.html</v>
      </c>
    </row>
    <row r="11" customFormat="false" ht="42" hidden="false" customHeight="true" outlineLevel="0" collapsed="false">
      <c r="A11" s="5" t="n">
        <f aca="false">IFERROR(INDEX(Catálogo!A$4:A$1000,MATCH($A$1&amp;"|"&amp;8,Índice!$A$4:$A$1000,0)),"")</f>
        <v>175</v>
      </c>
      <c r="B11" s="6" t="str">
        <f aca="false">IFERROR(INDEX(Catálogo!B$4:B$1000,MATCH($A$1&amp;"|"&amp;8,Índice!$A$4:$A$1000,0)),"")</f>
        <v>PDRA-9/P — Perfil Diferencial da Restrição Alimentar (Parental)</v>
      </c>
      <c r="C11" s="6" t="str">
        <f aca="false">IFERROR(INDEX(Catálogo!C$4:C$1000,MATCH($A$1&amp;"|"&amp;8,Índice!$A$4:$A$1000,0)),"")</f>
        <v>Alimentação &amp; Imagem Corporal</v>
      </c>
      <c r="D11" s="6" t="str">
        <f aca="false">IFERROR(INDEX(Catálogo!D$4:D$1000,MATCH($A$1&amp;"|"&amp;8,Índice!$A$4:$A$1000,0)),"")</f>
        <v>Mãe, Pai, Enc. Educação</v>
      </c>
      <c r="E11" s="6" t="str">
        <f aca="false">IFERROR(INDEX(Catálogo!E$4:E$1000,MATCH($A$1&amp;"|"&amp;8,Índice!$A$4:$A$1000,0)),"")</f>
        <v>6–14 anos</v>
      </c>
      <c r="F11" s="5" t="n">
        <f aca="false">IFERROR(INDEX(Catálogo!F$4:F$1000,MATCH($A$1&amp;"|"&amp;8,Índice!$A$4:$A$1000,0)),"")</f>
        <v>6</v>
      </c>
      <c r="G11" s="5" t="n">
        <f aca="false">IFERROR(INDEX(Catálogo!G$4:G$1000,MATCH($A$1&amp;"|"&amp;8,Índice!$A$4:$A$1000,0)),"")</f>
        <v>14</v>
      </c>
      <c r="H11" s="5" t="n">
        <f aca="false">IFERROR(INDEX(Catálogo!H$4:H$1000,MATCH($A$1&amp;"|"&amp;8,Índice!$A$4:$A$1000,0)),"")</f>
        <v>10</v>
      </c>
      <c r="I11" s="6" t="str">
        <f aca="false">IFERROR(INDEX(Catálogo!I$4:I$1000,MATCH($A$1&amp;"|"&amp;8,Índice!$A$4:$A$1000,0)),"")</f>
        <v>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v>
      </c>
      <c r="J11" s="6" t="str">
        <f aca="false">IFERROR(INDEX(Catálogo!J$4:J$1000,MATCH($A$1&amp;"|"&amp;8,Índice!$A$4:$A$1000,0)),"")</f>
        <v>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v>
      </c>
      <c r="K11" s="6" t="str">
        <f aca="false">IFERROR(INDEX(Catálogo!K$4:K$1000,MATCH($A$1&amp;"|"&amp;8,Índice!$A$4:$A$1000,0)),"")</f>
        <v>pdra9_p</v>
      </c>
      <c r="L11" s="6" t="str">
        <f aca="false">IFERROR(INDEX(Catálogo!L$4:L$1000,MATCH($A$1&amp;"|"&amp;8,Índice!$A$4:$A$1000,0)),"")</f>
        <v>q_pdra9_p</v>
      </c>
      <c r="M11" s="7" t="str">
        <f aca="false">IFERROR(INDEX(Catálogo!M$4:M$1000,MATCH($A$1&amp;"|"&amp;8,Índice!$A$4:$A$1000,0)),"")</f>
        <v>https://correiaricardina-ui.github.io/questionarios/PDRA9_P_v1.html</v>
      </c>
    </row>
    <row r="12" customFormat="false" ht="42" hidden="false" customHeight="true" outlineLevel="0" collapsed="false">
      <c r="A12" s="5" t="n">
        <f aca="false">IFERROR(INDEX(Catálogo!A$4:A$1000,MATCH($A$1&amp;"|"&amp;9,Índice!$A$4:$A$1000,0)),"")</f>
        <v>176</v>
      </c>
      <c r="B12" s="6" t="str">
        <f aca="false">IFERROR(INDEX(Catálogo!B$4:B$1000,MATCH($A$1&amp;"|"&amp;9,Índice!$A$4:$A$1000,0)),"")</f>
        <v>GCSA — Grelha de Caracterização da Seletividade Alimentar</v>
      </c>
      <c r="C12" s="6" t="str">
        <f aca="false">IFERROR(INDEX(Catálogo!C$4:C$1000,MATCH($A$1&amp;"|"&amp;9,Índice!$A$4:$A$1000,0)),"")</f>
        <v>Alimentação &amp; Imagem Corporal</v>
      </c>
      <c r="D12" s="6" t="str">
        <f aca="false">IFERROR(INDEX(Catálogo!D$4:D$1000,MATCH($A$1&amp;"|"&amp;9,Índice!$A$4:$A$1000,0)),"")</f>
        <v>Mãe, Pai, Enc. Educação</v>
      </c>
      <c r="E12" s="6" t="str">
        <f aca="false">IFERROR(INDEX(Catálogo!E$4:E$1000,MATCH($A$1&amp;"|"&amp;9,Índice!$A$4:$A$1000,0)),"")</f>
        <v>3–17 anos</v>
      </c>
      <c r="F12" s="5" t="n">
        <f aca="false">IFERROR(INDEX(Catálogo!F$4:F$1000,MATCH($A$1&amp;"|"&amp;9,Índice!$A$4:$A$1000,0)),"")</f>
        <v>3</v>
      </c>
      <c r="G12" s="5" t="n">
        <f aca="false">IFERROR(INDEX(Catálogo!G$4:G$1000,MATCH($A$1&amp;"|"&amp;9,Índice!$A$4:$A$1000,0)),"")</f>
        <v>17</v>
      </c>
      <c r="H12" s="5" t="n">
        <f aca="false">IFERROR(INDEX(Catálogo!H$4:H$1000,MATCH($A$1&amp;"|"&amp;9,Índice!$A$4:$A$1000,0)),"")</f>
        <v>22</v>
      </c>
      <c r="I12" s="6" t="str">
        <f aca="false">IFERROR(INDEX(Catálogo!I$4:I$1000,MATCH($A$1&amp;"|"&amp;9,Índice!$A$4:$A$1000,0)),"")</f>
        <v>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v>
      </c>
      <c r="J12" s="6" t="str">
        <f aca="false">IFERROR(INDEX(Catálogo!J$4:J$1000,MATCH($A$1&amp;"|"&amp;9,Índice!$A$4:$A$1000,0)),"")</f>
        <v>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v>
      </c>
      <c r="K12" s="6" t="str">
        <f aca="false">IFERROR(INDEX(Catálogo!K$4:K$1000,MATCH($A$1&amp;"|"&amp;9,Índice!$A$4:$A$1000,0)),"")</f>
        <v>gcsa</v>
      </c>
      <c r="L12" s="6" t="str">
        <f aca="false">IFERROR(INDEX(Catálogo!L$4:L$1000,MATCH($A$1&amp;"|"&amp;9,Índice!$A$4:$A$1000,0)),"")</f>
        <v>q_gcsa</v>
      </c>
      <c r="M12" s="7" t="str">
        <f aca="false">IFERROR(INDEX(Catálogo!M$4:M$1000,MATCH($A$1&amp;"|"&amp;9,Índice!$A$4:$A$1000,0)),"")</f>
        <v>https://correiaricardina-ui.github.io/questionarios/GCSA_v1.html</v>
      </c>
    </row>
    <row r="13" customFormat="false" ht="42" hidden="false" customHeight="true" outlineLevel="0" collapsed="false">
      <c r="A13" s="5" t="n">
        <f aca="false">IFERROR(INDEX(Catálogo!A$4:A$1000,MATCH($A$1&amp;"|"&amp;10,Índice!$A$4:$A$1000,0)),"")</f>
        <v>177</v>
      </c>
      <c r="B13" s="6" t="str">
        <f aca="false">IFERROR(INDEX(Catálogo!B$4:B$1000,MATCH($A$1&amp;"|"&amp;10,Índice!$A$4:$A$1000,0)),"")</f>
        <v>GCSA — Diário de Alimentação de Sete Dias</v>
      </c>
      <c r="C13" s="6" t="str">
        <f aca="false">IFERROR(INDEX(Catálogo!C$4:C$1000,MATCH($A$1&amp;"|"&amp;10,Índice!$A$4:$A$1000,0)),"")</f>
        <v>Alimentação &amp; Imagem Corporal</v>
      </c>
      <c r="D13" s="6" t="str">
        <f aca="false">IFERROR(INDEX(Catálogo!D$4:D$1000,MATCH($A$1&amp;"|"&amp;10,Índice!$A$4:$A$1000,0)),"")</f>
        <v>Mãe, Pai, Enc. Educação</v>
      </c>
      <c r="E13" s="6" t="str">
        <f aca="false">IFERROR(INDEX(Catálogo!E$4:E$1000,MATCH($A$1&amp;"|"&amp;10,Índice!$A$4:$A$1000,0)),"")</f>
        <v>3–17 anos</v>
      </c>
      <c r="F13" s="5" t="n">
        <f aca="false">IFERROR(INDEX(Catálogo!F$4:F$1000,MATCH($A$1&amp;"|"&amp;10,Índice!$A$4:$A$1000,0)),"")</f>
        <v>3</v>
      </c>
      <c r="G13" s="5" t="n">
        <f aca="false">IFERROR(INDEX(Catálogo!G$4:G$1000,MATCH($A$1&amp;"|"&amp;10,Índice!$A$4:$A$1000,0)),"")</f>
        <v>17</v>
      </c>
      <c r="H13" s="5" t="n">
        <f aca="false">IFERROR(INDEX(Catálogo!H$4:H$1000,MATCH($A$1&amp;"|"&amp;10,Índice!$A$4:$A$1000,0)),"")</f>
        <v>9</v>
      </c>
      <c r="I13" s="6" t="str">
        <f aca="false">IFERROR(INDEX(Catálogo!I$4:I$1000,MATCH($A$1&amp;"|"&amp;10,Índice!$A$4:$A$1000,0)),"")</f>
        <v>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v>
      </c>
      <c r="J13" s="6" t="str">
        <f aca="false">IFERROR(INDEX(Catálogo!J$4:J$1000,MATCH($A$1&amp;"|"&amp;10,Índice!$A$4:$A$1000,0)),"")</f>
        <v>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v>
      </c>
      <c r="K13" s="6" t="str">
        <f aca="false">IFERROR(INDEX(Catálogo!K$4:K$1000,MATCH($A$1&amp;"|"&amp;10,Índice!$A$4:$A$1000,0)),"")</f>
        <v>gcsa_diario</v>
      </c>
      <c r="L13" s="6" t="str">
        <f aca="false">IFERROR(INDEX(Catálogo!L$4:L$1000,MATCH($A$1&amp;"|"&amp;10,Índice!$A$4:$A$1000,0)),"")</f>
        <v>q_gcsa_diario</v>
      </c>
      <c r="M13" s="7" t="str">
        <f aca="false">IFERROR(INDEX(Catálogo!M$4:M$1000,MATCH($A$1&amp;"|"&amp;10,Índice!$A$4:$A$1000,0)),"")</f>
        <v>https://correiaricardina-ui.github.io/questionarios/GCSA_Diario_v1.html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1040</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153</v>
      </c>
      <c r="B4" s="6" t="str">
        <f aca="false">IFERROR(INDEX(Catálogo!B$4:B$1000,MATCH($A$1&amp;"|"&amp;1,Índice!$A$4:$A$1000,0)),"")</f>
        <v>CSHQ-PT — Hábitos de Sono da Criança (Pais)</v>
      </c>
      <c r="C4" s="6" t="str">
        <f aca="false">IFERROR(INDEX(Catálogo!C$4:C$1000,MATCH($A$1&amp;"|"&amp;1,Índice!$A$4:$A$1000,0)),"")</f>
        <v>Sono</v>
      </c>
      <c r="D4" s="6" t="str">
        <f aca="false">IFERROR(INDEX(Catálogo!D$4:D$1000,MATCH($A$1&amp;"|"&amp;1,Índice!$A$4:$A$1000,0)),"")</f>
        <v>Mãe, Pai, Enc. Educação</v>
      </c>
      <c r="E4" s="6" t="str">
        <f aca="false">IFERROR(INDEX(Catálogo!E$4:E$1000,MATCH($A$1&amp;"|"&amp;1,Índice!$A$4:$A$1000,0)),"")</f>
        <v>2–10 anos</v>
      </c>
      <c r="F4" s="5" t="n">
        <f aca="false">IFERROR(INDEX(Catálogo!F$4:F$1000,MATCH($A$1&amp;"|"&amp;1,Índice!$A$4:$A$1000,0)),"")</f>
        <v>2</v>
      </c>
      <c r="G4" s="5" t="n">
        <f aca="false">IFERROR(INDEX(Catálogo!G$4:G$1000,MATCH($A$1&amp;"|"&amp;1,Índice!$A$4:$A$1000,0)),"")</f>
        <v>10.9</v>
      </c>
      <c r="H4" s="5" t="n">
        <f aca="false">IFERROR(INDEX(Catálogo!H$4:H$1000,MATCH($A$1&amp;"|"&amp;1,Índice!$A$4:$A$1000,0)),"")</f>
        <v>9</v>
      </c>
      <c r="I4" s="6" t="str">
        <f aca="false">IFERROR(INDEX(Catálogo!I$4:I$1000,MATCH($A$1&amp;"|"&amp;1,Índice!$A$4:$A$1000,0)),"")</f>
        <v>Rastreio dos hábitos e problemas de sono por heteroavaliação parental (33 itens, escala de frequência). Cotação em 8 subescalas + Índice de Perturbação do Sono (IPS). Ponto de corte da validação portuguesa: IPS ≥ 48 = rastreio positivo (Silva et al., 2013). Rastreio, não diagnóstico.</v>
      </c>
      <c r="J4" s="6" t="str">
        <f aca="false">IFERROR(INDEX(Catálogo!J$4:J$1000,MATCH($A$1&amp;"|"&amp;1,Índice!$A$4:$A$1000,0)),"")</f>
        <v>Resistência em ir para a cama; Início do sono; Duração do sono; Ansiedade associada ao sono; Despertares noturnos; Parassónias; Perturbação respiratória do sono; Sonolência diurna; Índice de Perturbação do Sono (IPS)</v>
      </c>
      <c r="K4" s="6" t="str">
        <f aca="false">IFERROR(INDEX(Catálogo!K$4:K$1000,MATCH($A$1&amp;"|"&amp;1,Índice!$A$4:$A$1000,0)),"")</f>
        <v>cshq_pt_pais</v>
      </c>
      <c r="L4" s="6" t="str">
        <f aca="false">IFERROR(INDEX(Catálogo!L$4:L$1000,MATCH($A$1&amp;"|"&amp;1,Índice!$A$4:$A$1000,0)),"")</f>
        <v>q_cshq_pt_pais</v>
      </c>
      <c r="M4" s="7" t="str">
        <f aca="false">IFERROR(INDEX(Catálogo!M$4:M$1000,MATCH($A$1&amp;"|"&amp;1,Índice!$A$4:$A$1000,0)),"")</f>
        <v>https://correiaricardina-ui.github.io/questionarios/CSHQ_PT_Pais_v1.html</v>
      </c>
    </row>
    <row r="5" customFormat="false" ht="42" hidden="false" customHeight="true" outlineLevel="0" collapsed="false">
      <c r="A5" s="5" t="n">
        <f aca="false">IFERROR(INDEX(Catálogo!A$4:A$1000,MATCH($A$1&amp;"|"&amp;2,Índice!$A$4:$A$1000,0)),"")</f>
        <v>154</v>
      </c>
      <c r="B5" s="6" t="str">
        <f aca="false">IFERROR(INDEX(Catálogo!B$4:B$1000,MATCH($A$1&amp;"|"&amp;2,Índice!$A$4:$A$1000,0)),"")</f>
        <v>SSR-PT — Auto-Relato sobre o Sono</v>
      </c>
      <c r="C5" s="6" t="str">
        <f aca="false">IFERROR(INDEX(Catálogo!C$4:C$1000,MATCH($A$1&amp;"|"&amp;2,Índice!$A$4:$A$1000,0)),"")</f>
        <v>Sono</v>
      </c>
      <c r="D5" s="6" t="str">
        <f aca="false">IFERROR(INDEX(Catálogo!D$4:D$1000,MATCH($A$1&amp;"|"&amp;2,Índice!$A$4:$A$1000,0)),"")</f>
        <v>Paciente</v>
      </c>
      <c r="E5" s="6" t="str">
        <f aca="false">IFERROR(INDEX(Catálogo!E$4:E$1000,MATCH($A$1&amp;"|"&amp;2,Índice!$A$4:$A$1000,0)),"")</f>
        <v>7–12 anos</v>
      </c>
      <c r="F5" s="5" t="n">
        <f aca="false">IFERROR(INDEX(Catálogo!F$4:F$1000,MATCH($A$1&amp;"|"&amp;2,Índice!$A$4:$A$1000,0)),"")</f>
        <v>7</v>
      </c>
      <c r="G5" s="5" t="n">
        <f aca="false">IFERROR(INDEX(Catálogo!G$4:G$1000,MATCH($A$1&amp;"|"&amp;2,Índice!$A$4:$A$1000,0)),"")</f>
        <v>12.9</v>
      </c>
      <c r="H5" s="5" t="n">
        <f aca="false">IFERROR(INDEX(Catálogo!H$4:H$1000,MATCH($A$1&amp;"|"&amp;2,Índice!$A$4:$A$1000,0)),"")</f>
        <v>8</v>
      </c>
      <c r="I5" s="6" t="str">
        <f aca="false">IFERROR(INDEX(Catálogo!I$4:I$1000,MATCH($A$1&amp;"|"&amp;2,Índice!$A$4:$A$1000,0)),"")</f>
        <v>Auto-relato dos hábitos e problemas de sono (itens cotados 4–26, escala de frequência). Cotação em 7 subescalas + Total SSR. Cut-off Total &gt; 41 = perturbação global do sono (Owens et al., 2000). Rastreio, não diagnóstico; integrar com relato parental (ex. CSHQ-PT).</v>
      </c>
      <c r="J5" s="6" t="str">
        <f aca="false">IFERROR(INDEX(Catálogo!J$4:J$1000,MATCH($A$1&amp;"|"&amp;2,Índice!$A$4:$A$1000,0)),"")</f>
        <v>Resistência ao Deitar; Início do Sono; Duração do Sono; Ansiedade do Sono; Despertares Noturnos; Parassónias; Sonolência Diurna; Total SSR</v>
      </c>
      <c r="K5" s="6" t="str">
        <f aca="false">IFERROR(INDEX(Catálogo!K$4:K$1000,MATCH($A$1&amp;"|"&amp;2,Índice!$A$4:$A$1000,0)),"")</f>
        <v>ssr_pt</v>
      </c>
      <c r="L5" s="6" t="str">
        <f aca="false">IFERROR(INDEX(Catálogo!L$4:L$1000,MATCH($A$1&amp;"|"&amp;2,Índice!$A$4:$A$1000,0)),"")</f>
        <v>q_ssr_pt</v>
      </c>
      <c r="M5" s="7" t="str">
        <f aca="false">IFERROR(INDEX(Catálogo!M$4:M$1000,MATCH($A$1&amp;"|"&amp;2,Índice!$A$4:$A$1000,0)),"")</f>
        <v>https://correiaricardina-ui.github.io/questionarios/SSR_PT_v1.html</v>
      </c>
    </row>
    <row r="6" customFormat="false" ht="42" hidden="false" customHeight="true" outlineLevel="0" collapsed="false">
      <c r="A6" s="5" t="n">
        <f aca="false">IFERROR(INDEX(Catálogo!A$4:A$1000,MATCH($A$1&amp;"|"&amp;3,Índice!$A$4:$A$1000,0)),"")</f>
        <v>164</v>
      </c>
      <c r="B6" s="6" t="str">
        <f aca="false">IFERROR(INDEX(Catálogo!B$4:B$1000,MATCH($A$1&amp;"|"&amp;3,Índice!$A$4:$A$1000,0)),"")</f>
        <v>AIS-8 — Escala de Insónia de Atenas</v>
      </c>
      <c r="C6" s="6" t="str">
        <f aca="false">IFERROR(INDEX(Catálogo!C$4:C$1000,MATCH($A$1&amp;"|"&amp;3,Índice!$A$4:$A$1000,0)),"")</f>
        <v>Sono</v>
      </c>
      <c r="D6" s="6" t="str">
        <f aca="false">IFERROR(INDEX(Catálogo!D$4:D$1000,MATCH($A$1&amp;"|"&amp;3,Índice!$A$4:$A$1000,0)),"")</f>
        <v>Paciente</v>
      </c>
      <c r="E6" s="6" t="str">
        <f aca="false">IFERROR(INDEX(Catálogo!E$4:E$1000,MATCH($A$1&amp;"|"&amp;3,Índice!$A$4:$A$1000,0)),"")</f>
        <v>≥ 12 anos</v>
      </c>
      <c r="F6" s="5" t="n">
        <f aca="false">IFERROR(INDEX(Catálogo!F$4:F$1000,MATCH($A$1&amp;"|"&amp;3,Índice!$A$4:$A$1000,0)),"")</f>
        <v>12</v>
      </c>
      <c r="G6" s="5" t="n">
        <f aca="false">IFERROR(INDEX(Catálogo!G$4:G$1000,MATCH($A$1&amp;"|"&amp;3,Índice!$A$4:$A$1000,0)),"")</f>
        <v>99</v>
      </c>
      <c r="H6" s="5" t="n">
        <f aca="false">IFERROR(INDEX(Catálogo!H$4:H$1000,MATCH($A$1&amp;"|"&amp;3,Índice!$A$4:$A$1000,0)),"")</f>
        <v>5</v>
      </c>
      <c r="I6" s="6" t="str">
        <f aca="false">IFERROR(INDEX(Catálogo!I$4:I$1000,MATCH($A$1&amp;"|"&amp;3,Índice!$A$4:$A$1000,0)),"")</f>
        <v>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v>
      </c>
      <c r="J6" s="6" t="str">
        <f aca="false">IFERROR(INDEX(Catálogo!J$4:J$1000,MATCH($A$1&amp;"|"&amp;3,Índice!$A$4:$A$1000,0)),"")</f>
        <v>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v>
      </c>
      <c r="K6" s="6" t="str">
        <f aca="false">IFERROR(INDEX(Catálogo!K$4:K$1000,MATCH($A$1&amp;"|"&amp;3,Índice!$A$4:$A$1000,0)),"")</f>
        <v>ais8</v>
      </c>
      <c r="L6" s="6" t="str">
        <f aca="false">IFERROR(INDEX(Catálogo!L$4:L$1000,MATCH($A$1&amp;"|"&amp;3,Índice!$A$4:$A$1000,0)),"")</f>
        <v>q_ais8</v>
      </c>
      <c r="M6" s="7" t="str">
        <f aca="false">IFERROR(INDEX(Catálogo!M$4:M$1000,MATCH($A$1&amp;"|"&amp;3,Índice!$A$4:$A$1000,0)),"")</f>
        <v>https://correiaricardina-ui.github.io/questionarios/AIS_8_v1.html</v>
      </c>
    </row>
    <row r="7" customFormat="false" ht="42" hidden="false" customHeight="true" outlineLevel="0" collapsed="false">
      <c r="A7" s="5" t="n">
        <f aca="false">IFERROR(INDEX(Catálogo!A$4:A$1000,MATCH($A$1&amp;"|"&amp;4,Índice!$A$4:$A$1000,0)),"")</f>
        <v>184</v>
      </c>
      <c r="B7" s="6" t="str">
        <f aca="false">IFERROR(INDEX(Catálogo!B$4:B$1000,MATCH($A$1&amp;"|"&amp;4,Índice!$A$4:$A$1000,0)),"")</f>
        <v>ESS — Escala de Sonolência de Epworth</v>
      </c>
      <c r="C7" s="6" t="str">
        <f aca="false">IFERROR(INDEX(Catálogo!C$4:C$1000,MATCH($A$1&amp;"|"&amp;4,Índice!$A$4:$A$1000,0)),"")</f>
        <v>Sono</v>
      </c>
      <c r="D7" s="6" t="str">
        <f aca="false">IFERROR(INDEX(Catálogo!D$4:D$1000,MATCH($A$1&amp;"|"&amp;4,Índice!$A$4:$A$1000,0)),"")</f>
        <v>Próprio, Mãe, Pai</v>
      </c>
      <c r="E7" s="6" t="str">
        <f aca="false">IFERROR(INDEX(Catálogo!E$4:E$1000,MATCH($A$1&amp;"|"&amp;4,Índice!$A$4:$A$1000,0)),"")</f>
        <v>18–99 anos</v>
      </c>
      <c r="F7" s="5" t="n">
        <f aca="false">IFERROR(INDEX(Catálogo!F$4:F$1000,MATCH($A$1&amp;"|"&amp;4,Índice!$A$4:$A$1000,0)),"")</f>
        <v>18</v>
      </c>
      <c r="G7" s="5" t="n">
        <f aca="false">IFERROR(INDEX(Catálogo!G$4:G$1000,MATCH($A$1&amp;"|"&amp;4,Índice!$A$4:$A$1000,0)),"")</f>
        <v>99</v>
      </c>
      <c r="H7" s="5" t="n">
        <f aca="false">IFERROR(INDEX(Catálogo!H$4:H$1000,MATCH($A$1&amp;"|"&amp;4,Índice!$A$4:$A$1000,0)),"")</f>
        <v>14</v>
      </c>
      <c r="I7" s="6" t="str">
        <f aca="false">IFERROR(INDEX(Catálogo!I$4:I$1000,MATCH($A$1&amp;"|"&amp;4,Índice!$A$4:$A$1000,0)),"")</f>
        <v>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v>
      </c>
      <c r="J7" s="6" t="str">
        <f aca="false">IFERROR(INDEX(Catálogo!J$4:J$1000,MATCH($A$1&amp;"|"&amp;4,Índice!$A$4:$A$1000,0)),"")</f>
        <v>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v>
      </c>
      <c r="K7" s="6" t="str">
        <f aca="false">IFERROR(INDEX(Catálogo!K$4:K$1000,MATCH($A$1&amp;"|"&amp;4,Índice!$A$4:$A$1000,0)),"")</f>
        <v>ess</v>
      </c>
      <c r="L7" s="6" t="str">
        <f aca="false">IFERROR(INDEX(Catálogo!L$4:L$1000,MATCH($A$1&amp;"|"&amp;4,Índice!$A$4:$A$1000,0)),"")</f>
        <v>q_ess</v>
      </c>
      <c r="M7" s="7" t="str">
        <f aca="false">IFERROR(INDEX(Catálogo!M$4:M$1000,MATCH($A$1&amp;"|"&amp;4,Índice!$A$4:$A$1000,0)),"")</f>
        <v>https://correiaricardina-ui.github.io/questionarios/ESS_Epworth_v1.html</v>
      </c>
    </row>
    <row r="8" customFormat="false" ht="42" hidden="false" customHeight="true" outlineLevel="0" collapsed="false">
      <c r="A8" s="5" t="n">
        <f aca="false">IFERROR(INDEX(Catálogo!A$4:A$1000,MATCH($A$1&amp;"|"&amp;5,Índice!$A$4:$A$1000,0)),"")</f>
        <v>185</v>
      </c>
      <c r="B8" s="6" t="str">
        <f aca="false">IFERROR(INDEX(Catálogo!B$4:B$1000,MATCH($A$1&amp;"|"&amp;5,Índice!$A$4:$A$1000,0)),"")</f>
        <v>STOP-BANG — Rastreio de Risco de Apneia Obstrutiva do Sono</v>
      </c>
      <c r="C8" s="6" t="str">
        <f aca="false">IFERROR(INDEX(Catálogo!C$4:C$1000,MATCH($A$1&amp;"|"&amp;5,Índice!$A$4:$A$1000,0)),"")</f>
        <v>Sono</v>
      </c>
      <c r="D8" s="6" t="str">
        <f aca="false">IFERROR(INDEX(Catálogo!D$4:D$1000,MATCH($A$1&amp;"|"&amp;5,Índice!$A$4:$A$1000,0)),"")</f>
        <v>Próprio, Mãe, Pai</v>
      </c>
      <c r="E8" s="6" t="str">
        <f aca="false">IFERROR(INDEX(Catálogo!E$4:E$1000,MATCH($A$1&amp;"|"&amp;5,Índice!$A$4:$A$1000,0)),"")</f>
        <v>18–99 anos</v>
      </c>
      <c r="F8" s="5" t="n">
        <f aca="false">IFERROR(INDEX(Catálogo!F$4:F$1000,MATCH($A$1&amp;"|"&amp;5,Índice!$A$4:$A$1000,0)),"")</f>
        <v>18</v>
      </c>
      <c r="G8" s="5" t="n">
        <f aca="false">IFERROR(INDEX(Catálogo!G$4:G$1000,MATCH($A$1&amp;"|"&amp;5,Índice!$A$4:$A$1000,0)),"")</f>
        <v>99</v>
      </c>
      <c r="H8" s="5" t="n">
        <f aca="false">IFERROR(INDEX(Catálogo!H$4:H$1000,MATCH($A$1&amp;"|"&amp;5,Índice!$A$4:$A$1000,0)),"")</f>
        <v>15</v>
      </c>
      <c r="I8" s="6" t="str">
        <f aca="false">IFERROR(INDEX(Catálogo!I$4:I$1000,MATCH($A$1&amp;"|"&amp;5,Índice!$A$4:$A$1000,0)),"")</f>
        <v>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v>
      </c>
      <c r="J8" s="6" t="str">
        <f aca="false">IFERROR(INDEX(Catálogo!J$4:J$1000,MATCH($A$1&amp;"|"&amp;5,Índice!$A$4:$A$1000,0)),"")</f>
        <v>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v>
      </c>
      <c r="K8" s="6" t="str">
        <f aca="false">IFERROR(INDEX(Catálogo!K$4:K$1000,MATCH($A$1&amp;"|"&amp;5,Índice!$A$4:$A$1000,0)),"")</f>
        <v>stopbang</v>
      </c>
      <c r="L8" s="6" t="str">
        <f aca="false">IFERROR(INDEX(Catálogo!L$4:L$1000,MATCH($A$1&amp;"|"&amp;5,Índice!$A$4:$A$1000,0)),"")</f>
        <v>q_stopbang</v>
      </c>
      <c r="M8" s="7" t="str">
        <f aca="false">IFERROR(INDEX(Catálogo!M$4:M$1000,MATCH($A$1&amp;"|"&amp;5,Índice!$A$4:$A$1000,0)),"")</f>
        <v>https://correiaricardina-ui.github.io/questionarios/STOPBANG_v1.html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278</v>
      </c>
      <c r="I1" s="17" t="str">
        <f aca="false">COUNTIF(Catálogo!$C$4:$C$1000,$A$1)&amp;IF(COUNTIF(Catálogo!$C$4:$C$1000,$A$1)=1," instrumento nesta área"," instrumentos nesta área")</f>
        <v>26 instrumentos nesta área</v>
      </c>
    </row>
    <row r="2" customFormat="false" ht="15" hidden="false" customHeight="true" outlineLevel="0" collapsed="false">
      <c r="A2" s="18" t="s">
        <v>1331</v>
      </c>
      <c r="I2" s="19" t="str">
        <f aca="false">IF(COUNTIF(Catálogo!$C$4:$C$1000,$A$1)&gt;34,"⚠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38</v>
      </c>
      <c r="B4" s="6" t="str">
        <f aca="false">IFERROR(INDEX(Catálogo!B$4:B$1000,MATCH($A$1&amp;"|"&amp;1,Índice!$A$4:$A$1000,0)),"")</f>
        <v>COMPA — Adolescente (em relação à Mãe)</v>
      </c>
      <c r="C4" s="6" t="str">
        <f aca="false">IFERROR(INDEX(Catálogo!C$4:C$1000,MATCH($A$1&amp;"|"&amp;1,Índice!$A$4:$A$1000,0)),"")</f>
        <v>Família &amp; Parentalidade</v>
      </c>
      <c r="D4" s="6" t="str">
        <f aca="false">IFERROR(INDEX(Catálogo!D$4:D$1000,MATCH($A$1&amp;"|"&amp;1,Índice!$A$4:$A$1000,0)),"")</f>
        <v>Paciente</v>
      </c>
      <c r="E4" s="6" t="str">
        <f aca="false">IFERROR(INDEX(Catálogo!E$4:E$1000,MATCH($A$1&amp;"|"&amp;1,Índice!$A$4:$A$1000,0)),"")</f>
        <v>12–16 anos</v>
      </c>
      <c r="F4" s="5" t="n">
        <f aca="false">IFERROR(INDEX(Catálogo!F$4:F$1000,MATCH($A$1&amp;"|"&amp;1,Índice!$A$4:$A$1000,0)),"")</f>
        <v>12</v>
      </c>
      <c r="G4" s="5" t="n">
        <f aca="false">IFERROR(INDEX(Catálogo!G$4:G$1000,MATCH($A$1&amp;"|"&amp;1,Índice!$A$4:$A$1000,0)),"")</f>
        <v>16.9</v>
      </c>
      <c r="H4" s="5" t="n">
        <f aca="false">IFERROR(INDEX(Catálogo!H$4:H$1000,MATCH($A$1&amp;"|"&amp;1,Índice!$A$4:$A$1000,0)),"")</f>
        <v>6</v>
      </c>
      <c r="I4" s="6" t="str">
        <f aca="false">IFERROR(INDEX(Catálogo!I$4:I$1000,MATCH($A$1&amp;"|"&amp;1,Índice!$A$4:$A$1000,0)),"")</f>
        <v>Perceção do adolescente sobre a comunicação com a mãe — 39 itens</v>
      </c>
      <c r="J4" s="6" t="str">
        <f aca="false">IFERROR(INDEX(Catálogo!J$4:J$1000,MATCH($A$1&amp;"|"&amp;1,Índice!$A$4:$A$1000,0)),"")</f>
        <v>F1 Disponibilidade Parental; F2 Confiança F→P; F3 Afeto/Apoio; F4 Metacomunicação; F5 Padrão Negativo; Total Positivo</v>
      </c>
      <c r="K4" s="6" t="str">
        <f aca="false">IFERROR(INDEX(Catálogo!K$4:K$1000,MATCH($A$1&amp;"|"&amp;1,Índice!$A$4:$A$1000,0)),"")</f>
        <v>compa_a_mae</v>
      </c>
      <c r="L4" s="6" t="str">
        <f aca="false">IFERROR(INDEX(Catálogo!L$4:L$1000,MATCH($A$1&amp;"|"&amp;1,Índice!$A$4:$A$1000,0)),"")</f>
        <v>q_compa_a_mae</v>
      </c>
      <c r="M4" s="7" t="str">
        <f aca="false">IFERROR(INDEX(Catálogo!M$4:M$1000,MATCH($A$1&amp;"|"&amp;1,Índice!$A$4:$A$1000,0)),"")</f>
        <v>https://correiaricardina-ui.github.io/questionarios/COMPA_A_Mae.html</v>
      </c>
    </row>
    <row r="5" customFormat="false" ht="42" hidden="false" customHeight="true" outlineLevel="0" collapsed="false">
      <c r="A5" s="5" t="n">
        <f aca="false">IFERROR(INDEX(Catálogo!A$4:A$1000,MATCH($A$1&amp;"|"&amp;2,Índice!$A$4:$A$1000,0)),"")</f>
        <v>39</v>
      </c>
      <c r="B5" s="6" t="str">
        <f aca="false">IFERROR(INDEX(Catálogo!B$4:B$1000,MATCH($A$1&amp;"|"&amp;2,Índice!$A$4:$A$1000,0)),"")</f>
        <v>COMPA — Adolescente (em relação ao Pai)</v>
      </c>
      <c r="C5" s="6" t="str">
        <f aca="false">IFERROR(INDEX(Catálogo!C$4:C$1000,MATCH($A$1&amp;"|"&amp;2,Índice!$A$4:$A$1000,0)),"")</f>
        <v>Família &amp; Parentalidade</v>
      </c>
      <c r="D5" s="6" t="str">
        <f aca="false">IFERROR(INDEX(Catálogo!D$4:D$1000,MATCH($A$1&amp;"|"&amp;2,Índice!$A$4:$A$1000,0)),"")</f>
        <v>Paciente</v>
      </c>
      <c r="E5" s="6" t="str">
        <f aca="false">IFERROR(INDEX(Catálogo!E$4:E$1000,MATCH($A$1&amp;"|"&amp;2,Índice!$A$4:$A$1000,0)),"")</f>
        <v>12–16 anos</v>
      </c>
      <c r="F5" s="5" t="n">
        <f aca="false">IFERROR(INDEX(Catálogo!F$4:F$1000,MATCH($A$1&amp;"|"&amp;2,Índice!$A$4:$A$1000,0)),"")</f>
        <v>12</v>
      </c>
      <c r="G5" s="5" t="n">
        <f aca="false">IFERROR(INDEX(Catálogo!G$4:G$1000,MATCH($A$1&amp;"|"&amp;2,Índice!$A$4:$A$1000,0)),"")</f>
        <v>16.9</v>
      </c>
      <c r="H5" s="5" t="n">
        <f aca="false">IFERROR(INDEX(Catálogo!H$4:H$1000,MATCH($A$1&amp;"|"&amp;2,Índice!$A$4:$A$1000,0)),"")</f>
        <v>6</v>
      </c>
      <c r="I5" s="6" t="str">
        <f aca="false">IFERROR(INDEX(Catálogo!I$4:I$1000,MATCH($A$1&amp;"|"&amp;2,Índice!$A$4:$A$1000,0)),"")</f>
        <v>Perceção do adolescente sobre a comunicação com o pai — 39 itens</v>
      </c>
      <c r="J5" s="6" t="str">
        <f aca="false">IFERROR(INDEX(Catálogo!J$4:J$1000,MATCH($A$1&amp;"|"&amp;2,Índice!$A$4:$A$1000,0)),"")</f>
        <v>F1 Disponibilidade Parental; F2 Confiança F→P; F3 Afeto/Apoio; F4 Metacomunicação; F5 Padrão Negativo; Total Positivo</v>
      </c>
      <c r="K5" s="6" t="str">
        <f aca="false">IFERROR(INDEX(Catálogo!K$4:K$1000,MATCH($A$1&amp;"|"&amp;2,Índice!$A$4:$A$1000,0)),"")</f>
        <v>compa_a_pai</v>
      </c>
      <c r="L5" s="6" t="str">
        <f aca="false">IFERROR(INDEX(Catálogo!L$4:L$1000,MATCH($A$1&amp;"|"&amp;2,Índice!$A$4:$A$1000,0)),"")</f>
        <v>q_compa_a_pai</v>
      </c>
      <c r="M5" s="7" t="str">
        <f aca="false">IFERROR(INDEX(Catálogo!M$4:M$1000,MATCH($A$1&amp;"|"&amp;2,Índice!$A$4:$A$1000,0)),"")</f>
        <v>https://correiaricardina-ui.github.io/questionarios/COMPA_A_Pai.html</v>
      </c>
    </row>
    <row r="6" customFormat="false" ht="42" hidden="false" customHeight="true" outlineLevel="0" collapsed="false">
      <c r="A6" s="5" t="n">
        <f aca="false">IFERROR(INDEX(Catálogo!A$4:A$1000,MATCH($A$1&amp;"|"&amp;3,Índice!$A$4:$A$1000,0)),"")</f>
        <v>40</v>
      </c>
      <c r="B6" s="6" t="str">
        <f aca="false">IFERROR(INDEX(Catálogo!B$4:B$1000,MATCH($A$1&amp;"|"&amp;3,Índice!$A$4:$A$1000,0)),"")</f>
        <v>COMPA — Criança (em relação à Mãe)</v>
      </c>
      <c r="C6" s="6" t="str">
        <f aca="false">IFERROR(INDEX(Catálogo!C$4:C$1000,MATCH($A$1&amp;"|"&amp;3,Índice!$A$4:$A$1000,0)),"")</f>
        <v>Família &amp; Parentalidade</v>
      </c>
      <c r="D6" s="6" t="str">
        <f aca="false">IFERROR(INDEX(Catálogo!D$4:D$1000,MATCH($A$1&amp;"|"&amp;3,Índice!$A$4:$A$1000,0)),"")</f>
        <v>Paciente</v>
      </c>
      <c r="E6" s="6" t="str">
        <f aca="false">IFERROR(INDEX(Catálogo!E$4:E$1000,MATCH($A$1&amp;"|"&amp;3,Índice!$A$4:$A$1000,0)),"")</f>
        <v>7–11 anos</v>
      </c>
      <c r="F6" s="5" t="n">
        <f aca="false">IFERROR(INDEX(Catálogo!F$4:F$1000,MATCH($A$1&amp;"|"&amp;3,Índice!$A$4:$A$1000,0)),"")</f>
        <v>7</v>
      </c>
      <c r="G6" s="5" t="n">
        <f aca="false">IFERROR(INDEX(Catálogo!G$4:G$1000,MATCH($A$1&amp;"|"&amp;3,Índice!$A$4:$A$1000,0)),"")</f>
        <v>11.9</v>
      </c>
      <c r="H6" s="5" t="n">
        <f aca="false">IFERROR(INDEX(Catálogo!H$4:H$1000,MATCH($A$1&amp;"|"&amp;3,Índice!$A$4:$A$1000,0)),"")</f>
        <v>3</v>
      </c>
      <c r="I6" s="6" t="str">
        <f aca="false">IFERROR(INDEX(Catálogo!I$4:I$1000,MATCH($A$1&amp;"|"&amp;3,Índice!$A$4:$A$1000,0)),"")</f>
        <v>Perceção da criança sobre a comunicação com a mãe — 16 itens</v>
      </c>
      <c r="J6" s="6" t="str">
        <f aca="false">IFERROR(INDEX(Catálogo!J$4:J$1000,MATCH($A$1&amp;"|"&amp;3,Índice!$A$4:$A$1000,0)),"")</f>
        <v>F1 Disponibilidade Parental; F2 Afeto/Apoio; Total</v>
      </c>
      <c r="K6" s="6" t="str">
        <f aca="false">IFERROR(INDEX(Catálogo!K$4:K$1000,MATCH($A$1&amp;"|"&amp;3,Índice!$A$4:$A$1000,0)),"")</f>
        <v>compa_c_mae</v>
      </c>
      <c r="L6" s="6" t="str">
        <f aca="false">IFERROR(INDEX(Catálogo!L$4:L$1000,MATCH($A$1&amp;"|"&amp;3,Índice!$A$4:$A$1000,0)),"")</f>
        <v>q_compa_c_mae</v>
      </c>
      <c r="M6" s="7" t="str">
        <f aca="false">IFERROR(INDEX(Catálogo!M$4:M$1000,MATCH($A$1&amp;"|"&amp;3,Índice!$A$4:$A$1000,0)),"")</f>
        <v>https://correiaricardina-ui.github.io/questionarios/COMPA_C_Mae.html</v>
      </c>
    </row>
    <row r="7" customFormat="false" ht="42" hidden="false" customHeight="true" outlineLevel="0" collapsed="false">
      <c r="A7" s="5" t="n">
        <f aca="false">IFERROR(INDEX(Catálogo!A$4:A$1000,MATCH($A$1&amp;"|"&amp;4,Índice!$A$4:$A$1000,0)),"")</f>
        <v>41</v>
      </c>
      <c r="B7" s="6" t="str">
        <f aca="false">IFERROR(INDEX(Catálogo!B$4:B$1000,MATCH($A$1&amp;"|"&amp;4,Índice!$A$4:$A$1000,0)),"")</f>
        <v>COMPA — Criança (em relação ao Pai)</v>
      </c>
      <c r="C7" s="6" t="str">
        <f aca="false">IFERROR(INDEX(Catálogo!C$4:C$1000,MATCH($A$1&amp;"|"&amp;4,Índice!$A$4:$A$1000,0)),"")</f>
        <v>Família &amp; Parentalidade</v>
      </c>
      <c r="D7" s="6" t="str">
        <f aca="false">IFERROR(INDEX(Catálogo!D$4:D$1000,MATCH($A$1&amp;"|"&amp;4,Índice!$A$4:$A$1000,0)),"")</f>
        <v>Paciente</v>
      </c>
      <c r="E7" s="6" t="str">
        <f aca="false">IFERROR(INDEX(Catálogo!E$4:E$1000,MATCH($A$1&amp;"|"&amp;4,Índice!$A$4:$A$1000,0)),"")</f>
        <v>7–11 anos</v>
      </c>
      <c r="F7" s="5" t="n">
        <f aca="false">IFERROR(INDEX(Catálogo!F$4:F$1000,MATCH($A$1&amp;"|"&amp;4,Índice!$A$4:$A$1000,0)),"")</f>
        <v>7</v>
      </c>
      <c r="G7" s="5" t="n">
        <f aca="false">IFERROR(INDEX(Catálogo!G$4:G$1000,MATCH($A$1&amp;"|"&amp;4,Índice!$A$4:$A$1000,0)),"")</f>
        <v>11.9</v>
      </c>
      <c r="H7" s="5" t="n">
        <f aca="false">IFERROR(INDEX(Catálogo!H$4:H$1000,MATCH($A$1&amp;"|"&amp;4,Índice!$A$4:$A$1000,0)),"")</f>
        <v>3</v>
      </c>
      <c r="I7" s="6" t="str">
        <f aca="false">IFERROR(INDEX(Catálogo!I$4:I$1000,MATCH($A$1&amp;"|"&amp;4,Índice!$A$4:$A$1000,0)),"")</f>
        <v>Perceção da criança sobre a comunicação com o pai — 16 itens</v>
      </c>
      <c r="J7" s="6" t="str">
        <f aca="false">IFERROR(INDEX(Catálogo!J$4:J$1000,MATCH($A$1&amp;"|"&amp;4,Índice!$A$4:$A$1000,0)),"")</f>
        <v>F1 Disponibilidade Parental; F2 Afeto/Apoio; Total</v>
      </c>
      <c r="K7" s="6" t="str">
        <f aca="false">IFERROR(INDEX(Catálogo!K$4:K$1000,MATCH($A$1&amp;"|"&amp;4,Índice!$A$4:$A$1000,0)),"")</f>
        <v>compa_c_pai</v>
      </c>
      <c r="L7" s="6" t="str">
        <f aca="false">IFERROR(INDEX(Catálogo!L$4:L$1000,MATCH($A$1&amp;"|"&amp;4,Índice!$A$4:$A$1000,0)),"")</f>
        <v>q_compa_c_pai</v>
      </c>
      <c r="M7" s="7" t="str">
        <f aca="false">IFERROR(INDEX(Catálogo!M$4:M$1000,MATCH($A$1&amp;"|"&amp;4,Índice!$A$4:$A$1000,0)),"")</f>
        <v>https://correiaricardina-ui.github.io/questionarios/COMPA_C_Pai.html</v>
      </c>
    </row>
    <row r="8" customFormat="false" ht="42" hidden="false" customHeight="true" outlineLevel="0" collapsed="false">
      <c r="A8" s="5" t="n">
        <f aca="false">IFERROR(INDEX(Catálogo!A$4:A$1000,MATCH($A$1&amp;"|"&amp;5,Índice!$A$4:$A$1000,0)),"")</f>
        <v>42</v>
      </c>
      <c r="B8" s="6" t="str">
        <f aca="false">IFERROR(INDEX(Catálogo!B$4:B$1000,MATCH($A$1&amp;"|"&amp;5,Índice!$A$4:$A$1000,0)),"")</f>
        <v>COMPA — Progenitores</v>
      </c>
      <c r="C8" s="6" t="str">
        <f aca="false">IFERROR(INDEX(Catálogo!C$4:C$1000,MATCH($A$1&amp;"|"&amp;5,Índice!$A$4:$A$1000,0)),"")</f>
        <v>Família &amp; Parentalidade</v>
      </c>
      <c r="D8" s="6" t="str">
        <f aca="false">IFERROR(INDEX(Catálogo!D$4:D$1000,MATCH($A$1&amp;"|"&amp;5,Índice!$A$4:$A$1000,0)),"")</f>
        <v>Mãe, Pai, Enc. Educação</v>
      </c>
      <c r="E8" s="6" t="str">
        <f aca="false">IFERROR(INDEX(Catálogo!E$4:E$1000,MATCH($A$1&amp;"|"&amp;5,Índice!$A$4:$A$1000,0)),"")</f>
        <v>Progenitores</v>
      </c>
      <c r="F8" s="5" t="n">
        <f aca="false">IFERROR(INDEX(Catálogo!F$4:F$1000,MATCH($A$1&amp;"|"&amp;5,Índice!$A$4:$A$1000,0)),"")</f>
        <v>0</v>
      </c>
      <c r="G8" s="5" t="n">
        <f aca="false">IFERROR(INDEX(Catálogo!G$4:G$1000,MATCH($A$1&amp;"|"&amp;5,Índice!$A$4:$A$1000,0)),"")</f>
        <v>83.2</v>
      </c>
      <c r="H8" s="5" t="n">
        <f aca="false">IFERROR(INDEX(Catálogo!H$4:H$1000,MATCH($A$1&amp;"|"&amp;5,Índice!$A$4:$A$1000,0)),"")</f>
        <v>6</v>
      </c>
      <c r="I8" s="6" t="str">
        <f aca="false">IFERROR(INDEX(Catálogo!I$4:I$1000,MATCH($A$1&amp;"|"&amp;5,Índice!$A$4:$A$1000,0)),"")</f>
        <v>Perceção do progenitor sobre a comunicação parento-filial — 44 itens</v>
      </c>
      <c r="J8" s="6" t="str">
        <f aca="false">IFERROR(INDEX(Catálogo!J$4:J$1000,MATCH($A$1&amp;"|"&amp;5,Índice!$A$4:$A$1000,0)),"")</f>
        <v>F1 Afeto/Apoio; F2 Disponibilidade Parental; F3 Metacomunicação; F4 Confiança P→F; F5 Confiança F→P; Total</v>
      </c>
      <c r="K8" s="6" t="str">
        <f aca="false">IFERROR(INDEX(Catálogo!K$4:K$1000,MATCH($A$1&amp;"|"&amp;5,Índice!$A$4:$A$1000,0)),"")</f>
        <v>compap</v>
      </c>
      <c r="L8" s="6" t="str">
        <f aca="false">IFERROR(INDEX(Catálogo!L$4:L$1000,MATCH($A$1&amp;"|"&amp;5,Índice!$A$4:$A$1000,0)),"")</f>
        <v>q_compap</v>
      </c>
      <c r="M8" s="7" t="str">
        <f aca="false">IFERROR(INDEX(Catálogo!M$4:M$1000,MATCH($A$1&amp;"|"&amp;5,Índice!$A$4:$A$1000,0)),"")</f>
        <v>https://correiaricardina-ui.github.io/questionarios/COMPA_P.html</v>
      </c>
    </row>
    <row r="9" customFormat="false" ht="42" hidden="false" customHeight="true" outlineLevel="0" collapsed="false">
      <c r="A9" s="5" t="n">
        <f aca="false">IFERROR(INDEX(Catálogo!A$4:A$1000,MATCH($A$1&amp;"|"&amp;6,Índice!$A$4:$A$1000,0)),"")</f>
        <v>67</v>
      </c>
      <c r="B9" s="6" t="str">
        <f aca="false">IFERROR(INDEX(Catálogo!B$4:B$1000,MATCH($A$1&amp;"|"&amp;6,Índice!$A$4:$A$1000,0)),"")</f>
        <v>FACES-IV adap — Coesão e Flexibilidade Familiar</v>
      </c>
      <c r="C9" s="6" t="str">
        <f aca="false">IFERROR(INDEX(Catálogo!C$4:C$1000,MATCH($A$1&amp;"|"&amp;6,Índice!$A$4:$A$1000,0)),"")</f>
        <v>Família &amp; Parentalidade</v>
      </c>
      <c r="D9" s="6" t="str">
        <f aca="false">IFERROR(INDEX(Catálogo!D$4:D$1000,MATCH($A$1&amp;"|"&amp;6,Índice!$A$4:$A$1000,0)),"")</f>
        <v>Mãe, Pai, Filho(a), Cuidador(a), Outro familiar</v>
      </c>
      <c r="E9" s="6" t="str">
        <f aca="false">IFERROR(INDEX(Catálogo!E$4:E$1000,MATCH($A$1&amp;"|"&amp;6,Índice!$A$4:$A$1000,0)),"")</f>
        <v>≥12 anos</v>
      </c>
      <c r="F9" s="5" t="n">
        <f aca="false">IFERROR(INDEX(Catálogo!F$4:F$1000,MATCH($A$1&amp;"|"&amp;6,Índice!$A$4:$A$1000,0)),"")</f>
        <v>1</v>
      </c>
      <c r="G9" s="5" t="n">
        <f aca="false">IFERROR(INDEX(Catálogo!G$4:G$1000,MATCH($A$1&amp;"|"&amp;6,Índice!$A$4:$A$1000,0)),"")</f>
        <v>8.2</v>
      </c>
      <c r="H9" s="5" t="n">
        <f aca="false">IFERROR(INDEX(Catálogo!H$4:H$1000,MATCH($A$1&amp;"|"&amp;6,Índice!$A$4:$A$1000,0)),"")</f>
        <v>7</v>
      </c>
      <c r="I9" s="6" t="str">
        <f aca="false">IFERROR(INDEX(Catálogo!I$4:I$1000,MATCH($A$1&amp;"|"&amp;6,Índice!$A$4:$A$1000,0)),"")</f>
        <v>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v>
      </c>
      <c r="J9" s="6" t="str">
        <f aca="false">IFERROR(INDEX(Catálogo!J$4:J$1000,MATCH($A$1&amp;"|"&amp;6,Índice!$A$4:$A$1000,0)),"")</f>
        <v>Coesão Equilibrada (CE); Flexibilidade Equilibrada (FE); Desagregada (DES); Emaranhada (EMA); Rígida (RIG); Caótica (CAO); Rácio Circumplexo Total</v>
      </c>
      <c r="K9" s="6" t="str">
        <f aca="false">IFERROR(INDEX(Catálogo!K$4:K$1000,MATCH($A$1&amp;"|"&amp;6,Índice!$A$4:$A$1000,0)),"")</f>
        <v>faces_iv_adap</v>
      </c>
      <c r="L9" s="6" t="str">
        <f aca="false">IFERROR(INDEX(Catálogo!L$4:L$1000,MATCH($A$1&amp;"|"&amp;6,Índice!$A$4:$A$1000,0)),"")</f>
        <v>q_facesivadap</v>
      </c>
      <c r="M9" s="7" t="str">
        <f aca="false">IFERROR(INDEX(Catálogo!M$4:M$1000,MATCH($A$1&amp;"|"&amp;6,Índice!$A$4:$A$1000,0)),"")</f>
        <v>https://correiaricardina-ui.github.io/questionarios/FACES_IV_adap.html</v>
      </c>
    </row>
    <row r="10" customFormat="false" ht="42" hidden="false" customHeight="true" outlineLevel="0" collapsed="false">
      <c r="A10" s="5" t="n">
        <f aca="false">IFERROR(INDEX(Catálogo!A$4:A$1000,MATCH($A$1&amp;"|"&amp;7,Índice!$A$4:$A$1000,0)),"")</f>
        <v>68</v>
      </c>
      <c r="B10" s="6" t="str">
        <f aca="false">IFERROR(INDEX(Catálogo!B$4:B$1000,MATCH($A$1&amp;"|"&amp;7,Índice!$A$4:$A$1000,0)),"")</f>
        <v>FAD-60 — Family Assessment Device</v>
      </c>
      <c r="C10" s="6" t="str">
        <f aca="false">IFERROR(INDEX(Catálogo!C$4:C$1000,MATCH($A$1&amp;"|"&amp;7,Índice!$A$4:$A$1000,0)),"")</f>
        <v>Família &amp; Parentalidade</v>
      </c>
      <c r="D10" s="6" t="str">
        <f aca="false">IFERROR(INDEX(Catálogo!D$4:D$1000,MATCH($A$1&amp;"|"&amp;7,Índice!$A$4:$A$1000,0)),"")</f>
        <v>Mãe, Pai, Enc. Educação, Outro familiar</v>
      </c>
      <c r="E10" s="6" t="str">
        <f aca="false">IFERROR(INDEX(Catálogo!E$4:E$1000,MATCH($A$1&amp;"|"&amp;7,Índice!$A$4:$A$1000,0)),"")</f>
        <v>Família</v>
      </c>
      <c r="F10" s="5" t="n">
        <f aca="false">IFERROR(INDEX(Catálogo!F$4:F$1000,MATCH($A$1&amp;"|"&amp;7,Índice!$A$4:$A$1000,0)),"")</f>
        <v>0</v>
      </c>
      <c r="G10" s="5" t="n">
        <f aca="false">IFERROR(INDEX(Catálogo!G$4:G$1000,MATCH($A$1&amp;"|"&amp;7,Índice!$A$4:$A$1000,0)),"")</f>
        <v>83.2</v>
      </c>
      <c r="H10" s="5" t="n">
        <f aca="false">IFERROR(INDEX(Catálogo!H$4:H$1000,MATCH($A$1&amp;"|"&amp;7,Índice!$A$4:$A$1000,0)),"")</f>
        <v>7</v>
      </c>
      <c r="I10" s="6" t="str">
        <f aca="false">IFERROR(INDEX(Catálogo!I$4:I$1000,MATCH($A$1&amp;"|"&amp;7,Índice!$A$4:$A$1000,0)),"")</f>
        <v>Avaliação do funcionamento familiar em 7 subescalas — 60 itens (Epstein et al., 1983)</v>
      </c>
      <c r="J10" s="6" t="str">
        <f aca="false">IFERROR(INDEX(Catálogo!J$4:J$1000,MATCH($A$1&amp;"|"&amp;7,Índice!$A$4:$A$1000,0)),"")</f>
        <v>Resolução de Problemas (PS); Comunicação (CO); Papéis Familiares (RO); Responsividade Afetiva (AR); Envolvimento Afetivo (AI); Controlo Comportamental (BC); Funcionamento Geral (GF)</v>
      </c>
      <c r="K10" s="6" t="str">
        <f aca="false">IFERROR(INDEX(Catálogo!K$4:K$1000,MATCH($A$1&amp;"|"&amp;7,Índice!$A$4:$A$1000,0)),"")</f>
        <v>fad_60</v>
      </c>
      <c r="L10" s="6" t="str">
        <f aca="false">IFERROR(INDEX(Catálogo!L$4:L$1000,MATCH($A$1&amp;"|"&amp;7,Índice!$A$4:$A$1000,0)),"")</f>
        <v>q_fad_60</v>
      </c>
      <c r="M10" s="7" t="str">
        <f aca="false">IFERROR(INDEX(Catálogo!M$4:M$1000,MATCH($A$1&amp;"|"&amp;7,Índice!$A$4:$A$1000,0)),"")</f>
        <v>https://correiaricardina-ui.github.io/questionarios/FAD_60_v1.html</v>
      </c>
    </row>
    <row r="11" customFormat="false" ht="42" hidden="false" customHeight="true" outlineLevel="0" collapsed="false">
      <c r="A11" s="5" t="n">
        <f aca="false">IFERROR(INDEX(Catálogo!A$4:A$1000,MATCH($A$1&amp;"|"&amp;8,Índice!$A$4:$A$1000,0)),"")</f>
        <v>69</v>
      </c>
      <c r="B11" s="6" t="str">
        <f aca="false">IFERROR(INDEX(Catálogo!B$4:B$1000,MATCH($A$1&amp;"|"&amp;8,Índice!$A$4:$A$1000,0)),"")</f>
        <v>FAD-GF — Funcionamento Geral da Família</v>
      </c>
      <c r="C11" s="6" t="str">
        <f aca="false">IFERROR(INDEX(Catálogo!C$4:C$1000,MATCH($A$1&amp;"|"&amp;8,Índice!$A$4:$A$1000,0)),"")</f>
        <v>Família &amp; Parentalidade</v>
      </c>
      <c r="D11" s="6" t="str">
        <f aca="false">IFERROR(INDEX(Catálogo!D$4:D$1000,MATCH($A$1&amp;"|"&amp;8,Índice!$A$4:$A$1000,0)),"")</f>
        <v>Mãe, Pai, Enc. Educação, Outro familiar</v>
      </c>
      <c r="E11" s="6" t="str">
        <f aca="false">IFERROR(INDEX(Catálogo!E$4:E$1000,MATCH($A$1&amp;"|"&amp;8,Índice!$A$4:$A$1000,0)),"")</f>
        <v>Família</v>
      </c>
      <c r="F11" s="5" t="n">
        <f aca="false">IFERROR(INDEX(Catálogo!F$4:F$1000,MATCH($A$1&amp;"|"&amp;8,Índice!$A$4:$A$1000,0)),"")</f>
        <v>0</v>
      </c>
      <c r="G11" s="5" t="n">
        <f aca="false">IFERROR(INDEX(Catálogo!G$4:G$1000,MATCH($A$1&amp;"|"&amp;8,Índice!$A$4:$A$1000,0)),"")</f>
        <v>83.2</v>
      </c>
      <c r="H11" s="5" t="n">
        <f aca="false">IFERROR(INDEX(Catálogo!H$4:H$1000,MATCH($A$1&amp;"|"&amp;8,Índice!$A$4:$A$1000,0)),"")</f>
        <v>2</v>
      </c>
      <c r="I11" s="6" t="str">
        <f aca="false">IFERROR(INDEX(Catálogo!I$4:I$1000,MATCH($A$1&amp;"|"&amp;8,Índice!$A$4:$A$1000,0)),"")</f>
        <v>Avaliação do funcionamento familiar global — 12 itens (Epstein et al., 1983)</v>
      </c>
      <c r="J11" s="6" t="str">
        <f aca="false">IFERROR(INDEX(Catálogo!J$4:J$1000,MATCH($A$1&amp;"|"&amp;8,Índice!$A$4:$A$1000,0)),"")</f>
        <v>Score FAD-GF; Classificação</v>
      </c>
      <c r="K11" s="6" t="str">
        <f aca="false">IFERROR(INDEX(Catálogo!K$4:K$1000,MATCH($A$1&amp;"|"&amp;8,Índice!$A$4:$A$1000,0)),"")</f>
        <v>fad_gf</v>
      </c>
      <c r="L11" s="6" t="str">
        <f aca="false">IFERROR(INDEX(Catálogo!L$4:L$1000,MATCH($A$1&amp;"|"&amp;8,Índice!$A$4:$A$1000,0)),"")</f>
        <v>q_fad_gf</v>
      </c>
      <c r="M11" s="7" t="str">
        <f aca="false">IFERROR(INDEX(Catálogo!M$4:M$1000,MATCH($A$1&amp;"|"&amp;8,Índice!$A$4:$A$1000,0)),"")</f>
        <v>https://correiaricardina-ui.github.io/questionarios/FAD_GF_v2.html</v>
      </c>
    </row>
    <row r="12" customFormat="false" ht="42" hidden="false" customHeight="true" outlineLevel="0" collapsed="false">
      <c r="A12" s="5" t="n">
        <f aca="false">IFERROR(INDEX(Catálogo!A$4:A$1000,MATCH($A$1&amp;"|"&amp;9,Índice!$A$4:$A$1000,0)),"")</f>
        <v>70</v>
      </c>
      <c r="B12" s="6" t="str">
        <f aca="false">IFERROR(INDEX(Catálogo!B$4:B$1000,MATCH($A$1&amp;"|"&amp;9,Índice!$A$4:$A$1000,0)),"")</f>
        <v>FAS — Autorrelato Adolescência TOC</v>
      </c>
      <c r="C12" s="6" t="str">
        <f aca="false">IFERROR(INDEX(Catálogo!C$4:C$1000,MATCH($A$1&amp;"|"&amp;9,Índice!$A$4:$A$1000,0)),"")</f>
        <v>Família &amp; Parentalidade</v>
      </c>
      <c r="D12" s="6" t="str">
        <f aca="false">IFERROR(INDEX(Catálogo!D$4:D$1000,MATCH($A$1&amp;"|"&amp;9,Índice!$A$4:$A$1000,0)),"")</f>
        <v>Paciente</v>
      </c>
      <c r="E12" s="6" t="str">
        <f aca="false">IFERROR(INDEX(Catálogo!E$4:E$1000,MATCH($A$1&amp;"|"&amp;9,Índice!$A$4:$A$1000,0)),"")</f>
        <v>11–17 anos</v>
      </c>
      <c r="F12" s="5" t="n">
        <f aca="false">IFERROR(INDEX(Catálogo!F$4:F$1000,MATCH($A$1&amp;"|"&amp;9,Índice!$A$4:$A$1000,0)),"")</f>
        <v>11</v>
      </c>
      <c r="G12" s="5" t="n">
        <f aca="false">IFERROR(INDEX(Catálogo!G$4:G$1000,MATCH($A$1&amp;"|"&amp;9,Índice!$A$4:$A$1000,0)),"")</f>
        <v>17.9</v>
      </c>
      <c r="H12" s="5" t="n">
        <f aca="false">IFERROR(INDEX(Catálogo!H$4:H$1000,MATCH($A$1&amp;"|"&amp;9,Índice!$A$4:$A$1000,0)),"")</f>
        <v>6</v>
      </c>
      <c r="I12" s="6" t="str">
        <f aca="false">IFERROR(INDEX(Catálogo!I$4:I$1000,MATCH($A$1&amp;"|"&amp;9,Índice!$A$4:$A$1000,0)),"")</f>
        <v>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v>
      </c>
      <c r="J12" s="6" t="str">
        <f aca="false">IFERROR(INDEX(Catálogo!J$4:J$1000,MATCH($A$1&amp;"|"&amp;9,Índice!$A$4:$A$1000,0)),"")</f>
        <v>Obs / Comp / DS / DOC; PAR (0-20) / MOD (0-16); Acomodação Total (0-36); SOF, RC, CMO, RAS; UP / DC / AENA; IRC (0-12)</v>
      </c>
      <c r="K12" s="6" t="str">
        <f aca="false">IFERROR(INDEX(Catálogo!K$4:K$1000,MATCH($A$1&amp;"|"&amp;9,Índice!$A$4:$A$1000,0)),"")</f>
        <v>fas_cr_adolescencia</v>
      </c>
      <c r="L12" s="6" t="str">
        <f aca="false">IFERROR(INDEX(Catálogo!L$4:L$1000,MATCH($A$1&amp;"|"&amp;9,Índice!$A$4:$A$1000,0)),"")</f>
        <v>q_fas_cr_adolescencia</v>
      </c>
      <c r="M12" s="7" t="str">
        <f aca="false">IFERROR(INDEX(Catálogo!M$4:M$1000,MATCH($A$1&amp;"|"&amp;9,Índice!$A$4:$A$1000,0)),"")</f>
        <v>https://correiaricardina-ui.github.io/questionarios/FAS_CR_Adolescencia.html</v>
      </c>
    </row>
    <row r="13" customFormat="false" ht="42" hidden="false" customHeight="true" outlineLevel="0" collapsed="false">
      <c r="A13" s="5" t="n">
        <f aca="false">IFERROR(INDEX(Catálogo!A$4:A$1000,MATCH($A$1&amp;"|"&amp;10,Índice!$A$4:$A$1000,0)),"")</f>
        <v>71</v>
      </c>
      <c r="B13" s="6" t="str">
        <f aca="false">IFERROR(INDEX(Catálogo!B$4:B$1000,MATCH($A$1&amp;"|"&amp;10,Índice!$A$4:$A$1000,0)),"")</f>
        <v>FAS — Autorrelato Infância TOC</v>
      </c>
      <c r="C13" s="6" t="str">
        <f aca="false">IFERROR(INDEX(Catálogo!C$4:C$1000,MATCH($A$1&amp;"|"&amp;10,Índice!$A$4:$A$1000,0)),"")</f>
        <v>Família &amp; Parentalidade</v>
      </c>
      <c r="D13" s="6" t="str">
        <f aca="false">IFERROR(INDEX(Catálogo!D$4:D$1000,MATCH($A$1&amp;"|"&amp;10,Índice!$A$4:$A$1000,0)),"")</f>
        <v>Paciente</v>
      </c>
      <c r="E13" s="6" t="str">
        <f aca="false">IFERROR(INDEX(Catálogo!E$4:E$1000,MATCH($A$1&amp;"|"&amp;10,Índice!$A$4:$A$1000,0)),"")</f>
        <v>7–10 anos</v>
      </c>
      <c r="F13" s="5" t="n">
        <f aca="false">IFERROR(INDEX(Catálogo!F$4:F$1000,MATCH($A$1&amp;"|"&amp;10,Índice!$A$4:$A$1000,0)),"")</f>
        <v>7</v>
      </c>
      <c r="G13" s="5" t="n">
        <f aca="false">IFERROR(INDEX(Catálogo!G$4:G$1000,MATCH($A$1&amp;"|"&amp;10,Índice!$A$4:$A$1000,0)),"")</f>
        <v>10.9</v>
      </c>
      <c r="H13" s="5" t="n">
        <f aca="false">IFERROR(INDEX(Catálogo!H$4:H$1000,MATCH($A$1&amp;"|"&amp;10,Índice!$A$4:$A$1000,0)),"")</f>
        <v>6</v>
      </c>
      <c r="I13" s="6" t="str">
        <f aca="false">IFERROR(INDEX(Catálogo!I$4:I$1000,MATCH($A$1&amp;"|"&amp;10,Índice!$A$4:$A$1000,0)),"")</f>
        <v>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v>
      </c>
      <c r="J13" s="6" t="str">
        <f aca="false">IFERROR(INDEX(Catálogo!J$4:J$1000,MATCH($A$1&amp;"|"&amp;10,Índice!$A$4:$A$1000,0)),"")</f>
        <v>Obs / Comp / DS / DOC; PAR (0-20) / MOD (0-16); Acomodação Total (0-36); SOF, RC, CMO, RAS; UP / DC / AENA; IRC (0-12)</v>
      </c>
      <c r="K13" s="6" t="str">
        <f aca="false">IFERROR(INDEX(Catálogo!K$4:K$1000,MATCH($A$1&amp;"|"&amp;10,Índice!$A$4:$A$1000,0)),"")</f>
        <v>fas_cr_infancia</v>
      </c>
      <c r="L13" s="6" t="str">
        <f aca="false">IFERROR(INDEX(Catálogo!L$4:L$1000,MATCH($A$1&amp;"|"&amp;10,Índice!$A$4:$A$1000,0)),"")</f>
        <v>q_fas_cr_infancia</v>
      </c>
      <c r="M13" s="7" t="str">
        <f aca="false">IFERROR(INDEX(Catálogo!M$4:M$1000,MATCH($A$1&amp;"|"&amp;10,Índice!$A$4:$A$1000,0)),"")</f>
        <v>https://correiaricardina-ui.github.io/questionarios/FAS_CR_Infancia.html</v>
      </c>
    </row>
    <row r="14" customFormat="false" ht="42" hidden="false" customHeight="true" outlineLevel="0" collapsed="false">
      <c r="A14" s="5" t="n">
        <f aca="false">IFERROR(INDEX(Catálogo!A$4:A$1000,MATCH($A$1&amp;"|"&amp;11,Índice!$A$4:$A$1000,0)),"")</f>
        <v>72</v>
      </c>
      <c r="B14" s="6" t="str">
        <f aca="false">IFERROR(INDEX(Catálogo!B$4:B$1000,MATCH($A$1&amp;"|"&amp;11,Índice!$A$4:$A$1000,0)),"")</f>
        <v>FAS — Versão Parental (TOC)</v>
      </c>
      <c r="C14" s="6" t="str">
        <f aca="false">IFERROR(INDEX(Catálogo!C$4:C$1000,MATCH($A$1&amp;"|"&amp;11,Índice!$A$4:$A$1000,0)),"")</f>
        <v>Família &amp; Parentalidade</v>
      </c>
      <c r="D14" s="6" t="str">
        <f aca="false">IFERROR(INDEX(Catálogo!D$4:D$1000,MATCH($A$1&amp;"|"&amp;11,Índice!$A$4:$A$1000,0)),"")</f>
        <v>Mãe, Pai, Enc. Educação</v>
      </c>
      <c r="E14" s="6" t="str">
        <f aca="false">IFERROR(INDEX(Catálogo!E$4:E$1000,MATCH($A$1&amp;"|"&amp;11,Índice!$A$4:$A$1000,0)),"")</f>
        <v>7–18 anos</v>
      </c>
      <c r="F14" s="5" t="n">
        <f aca="false">IFERROR(INDEX(Catálogo!F$4:F$1000,MATCH($A$1&amp;"|"&amp;11,Índice!$A$4:$A$1000,0)),"")</f>
        <v>7</v>
      </c>
      <c r="G14" s="5" t="n">
        <f aca="false">IFERROR(INDEX(Catálogo!G$4:G$1000,MATCH($A$1&amp;"|"&amp;11,Índice!$A$4:$A$1000,0)),"")</f>
        <v>17.9</v>
      </c>
      <c r="H14" s="5" t="n">
        <f aca="false">IFERROR(INDEX(Catálogo!H$4:H$1000,MATCH($A$1&amp;"|"&amp;11,Índice!$A$4:$A$1000,0)),"")</f>
        <v>7</v>
      </c>
      <c r="I14" s="6" t="str">
        <f aca="false">IFERROR(INDEX(Catálogo!I$4:I$1000,MATCH($A$1&amp;"|"&amp;11,Índice!$A$4:$A$1000,0)),"")</f>
        <v>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v>
      </c>
      <c r="J14" s="6" t="str">
        <f aca="false">IFERROR(INDEX(Catálogo!J$4:J$1000,MATCH($A$1&amp;"|"&amp;11,Índice!$A$4:$A$1000,0)),"")</f>
        <v>Obs / Comp (0-8 cada); DS (0-16) / DOC (-8 a +8); PAR (0-20) / MOD (0-16); Acomodação Total (0-36); SOF, RC, CMO; RAS (Total/DS); Categorias presentes</v>
      </c>
      <c r="K14" s="6" t="str">
        <f aca="false">IFERROR(INDEX(Catálogo!K$4:K$1000,MATCH($A$1&amp;"|"&amp;11,Índice!$A$4:$A$1000,0)),"")</f>
        <v>fas_parental</v>
      </c>
      <c r="L14" s="6" t="str">
        <f aca="false">IFERROR(INDEX(Catálogo!L$4:L$1000,MATCH($A$1&amp;"|"&amp;11,Índice!$A$4:$A$1000,0)),"")</f>
        <v>q_fas_parental</v>
      </c>
      <c r="M14" s="7" t="str">
        <f aca="false">IFERROR(INDEX(Catálogo!M$4:M$1000,MATCH($A$1&amp;"|"&amp;11,Índice!$A$4:$A$1000,0)),"")</f>
        <v>https://correiaricardina-ui.github.io/questionarios/FAS_Parental.html</v>
      </c>
    </row>
    <row r="15" customFormat="false" ht="42" hidden="false" customHeight="true" outlineLevel="0" collapsed="false">
      <c r="A15" s="5" t="n">
        <f aca="false">IFERROR(INDEX(Catálogo!A$4:A$1000,MATCH($A$1&amp;"|"&amp;12,Índice!$A$4:$A$1000,0)),"")</f>
        <v>73</v>
      </c>
      <c r="B15" s="6" t="str">
        <f aca="false">IFERROR(INDEX(Catálogo!B$4:B$1000,MATCH($A$1&amp;"|"&amp;12,Índice!$A$4:$A$1000,0)),"")</f>
        <v>FASA — Autorrelato Adolescência</v>
      </c>
      <c r="C15" s="6" t="str">
        <f aca="false">IFERROR(INDEX(Catálogo!C$4:C$1000,MATCH($A$1&amp;"|"&amp;12,Índice!$A$4:$A$1000,0)),"")</f>
        <v>Família &amp; Parentalidade</v>
      </c>
      <c r="D15" s="6" t="str">
        <f aca="false">IFERROR(INDEX(Catálogo!D$4:D$1000,MATCH($A$1&amp;"|"&amp;12,Índice!$A$4:$A$1000,0)),"")</f>
        <v>Paciente</v>
      </c>
      <c r="E15" s="6" t="str">
        <f aca="false">IFERROR(INDEX(Catálogo!E$4:E$1000,MATCH($A$1&amp;"|"&amp;12,Índice!$A$4:$A$1000,0)),"")</f>
        <v>11–17 anos</v>
      </c>
      <c r="F15" s="5" t="n">
        <f aca="false">IFERROR(INDEX(Catálogo!F$4:F$1000,MATCH($A$1&amp;"|"&amp;12,Índice!$A$4:$A$1000,0)),"")</f>
        <v>11</v>
      </c>
      <c r="G15" s="5" t="n">
        <f aca="false">IFERROR(INDEX(Catálogo!G$4:G$1000,MATCH($A$1&amp;"|"&amp;12,Índice!$A$4:$A$1000,0)),"")</f>
        <v>17.9</v>
      </c>
      <c r="H15" s="5" t="n">
        <f aca="false">IFERROR(INDEX(Catálogo!H$4:H$1000,MATCH($A$1&amp;"|"&amp;12,Índice!$A$4:$A$1000,0)),"")</f>
        <v>6</v>
      </c>
      <c r="I15" s="6" t="str">
        <f aca="false">IFERROR(INDEX(Catálogo!I$4:I$1000,MATCH($A$1&amp;"|"&amp;12,Índice!$A$4:$A$1000,0)),"")</f>
        <v>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v>
      </c>
      <c r="J15" s="6" t="str">
        <f aca="false">IFERROR(INDEX(Catálogo!J$4:J$1000,MATCH($A$1&amp;"|"&amp;12,Índice!$A$4:$A$1000,0)),"")</f>
        <v>PAR (0-16); MOD (0-20); Acomodação Total (0-36); SOF, RC, CMO; UP / DC / AENA; IRC (0-12)</v>
      </c>
      <c r="K15" s="6" t="str">
        <f aca="false">IFERROR(INDEX(Catálogo!K$4:K$1000,MATCH($A$1&amp;"|"&amp;12,Índice!$A$4:$A$1000,0)),"")</f>
        <v>fasa_cr_adolescencia</v>
      </c>
      <c r="L15" s="6" t="str">
        <f aca="false">IFERROR(INDEX(Catálogo!L$4:L$1000,MATCH($A$1&amp;"|"&amp;12,Índice!$A$4:$A$1000,0)),"")</f>
        <v>q_fasa_cr_adolescencia</v>
      </c>
      <c r="M15" s="7" t="str">
        <f aca="false">IFERROR(INDEX(Catálogo!M$4:M$1000,MATCH($A$1&amp;"|"&amp;12,Índice!$A$4:$A$1000,0)),"")</f>
        <v>https://correiaricardina-ui.github.io/questionarios/FASA_CR_Adolescencia.html</v>
      </c>
    </row>
    <row r="16" customFormat="false" ht="42" hidden="false" customHeight="true" outlineLevel="0" collapsed="false">
      <c r="A16" s="5" t="n">
        <f aca="false">IFERROR(INDEX(Catálogo!A$4:A$1000,MATCH($A$1&amp;"|"&amp;13,Índice!$A$4:$A$1000,0)),"")</f>
        <v>74</v>
      </c>
      <c r="B16" s="6" t="str">
        <f aca="false">IFERROR(INDEX(Catálogo!B$4:B$1000,MATCH($A$1&amp;"|"&amp;13,Índice!$A$4:$A$1000,0)),"")</f>
        <v>FASA — Autorrelato Infância</v>
      </c>
      <c r="C16" s="6" t="str">
        <f aca="false">IFERROR(INDEX(Catálogo!C$4:C$1000,MATCH($A$1&amp;"|"&amp;13,Índice!$A$4:$A$1000,0)),"")</f>
        <v>Família &amp; Parentalidade</v>
      </c>
      <c r="D16" s="6" t="str">
        <f aca="false">IFERROR(INDEX(Catálogo!D$4:D$1000,MATCH($A$1&amp;"|"&amp;13,Índice!$A$4:$A$1000,0)),"")</f>
        <v>Paciente</v>
      </c>
      <c r="E16" s="6" t="str">
        <f aca="false">IFERROR(INDEX(Catálogo!E$4:E$1000,MATCH($A$1&amp;"|"&amp;13,Índice!$A$4:$A$1000,0)),"")</f>
        <v>7–10 anos</v>
      </c>
      <c r="F16" s="5" t="n">
        <f aca="false">IFERROR(INDEX(Catálogo!F$4:F$1000,MATCH($A$1&amp;"|"&amp;13,Índice!$A$4:$A$1000,0)),"")</f>
        <v>7</v>
      </c>
      <c r="G16" s="5" t="n">
        <f aca="false">IFERROR(INDEX(Catálogo!G$4:G$1000,MATCH($A$1&amp;"|"&amp;13,Índice!$A$4:$A$1000,0)),"")</f>
        <v>10.9</v>
      </c>
      <c r="H16" s="5" t="n">
        <f aca="false">IFERROR(INDEX(Catálogo!H$4:H$1000,MATCH($A$1&amp;"|"&amp;13,Índice!$A$4:$A$1000,0)),"")</f>
        <v>6</v>
      </c>
      <c r="I16" s="6" t="str">
        <f aca="false">IFERROR(INDEX(Catálogo!I$4:I$1000,MATCH($A$1&amp;"|"&amp;13,Índice!$A$4:$A$1000,0)),"")</f>
        <v>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v>
      </c>
      <c r="J16" s="6" t="str">
        <f aca="false">IFERROR(INDEX(Catálogo!J$4:J$1000,MATCH($A$1&amp;"|"&amp;13,Índice!$A$4:$A$1000,0)),"")</f>
        <v>PAR (0-16); MOD (0-20); Acomodação Total (0-36); SOF, RC, CMO; UP / DC / AENA; IRC (0-12)</v>
      </c>
      <c r="K16" s="6" t="str">
        <f aca="false">IFERROR(INDEX(Catálogo!K$4:K$1000,MATCH($A$1&amp;"|"&amp;13,Índice!$A$4:$A$1000,0)),"")</f>
        <v>fasa_cr_infancia</v>
      </c>
      <c r="L16" s="6" t="str">
        <f aca="false">IFERROR(INDEX(Catálogo!L$4:L$1000,MATCH($A$1&amp;"|"&amp;13,Índice!$A$4:$A$1000,0)),"")</f>
        <v>q_fasa_cr_infancia</v>
      </c>
      <c r="M16" s="7" t="str">
        <f aca="false">IFERROR(INDEX(Catálogo!M$4:M$1000,MATCH($A$1&amp;"|"&amp;13,Índice!$A$4:$A$1000,0)),"")</f>
        <v>https://correiaricardina-ui.github.io/questionarios/FASA_CR_Infancia.html</v>
      </c>
    </row>
    <row r="17" customFormat="false" ht="42" hidden="false" customHeight="true" outlineLevel="0" collapsed="false">
      <c r="A17" s="5" t="n">
        <f aca="false">IFERROR(INDEX(Catálogo!A$4:A$1000,MATCH($A$1&amp;"|"&amp;14,Índice!$A$4:$A$1000,0)),"")</f>
        <v>75</v>
      </c>
      <c r="B17" s="6" t="str">
        <f aca="false">IFERROR(INDEX(Catálogo!B$4:B$1000,MATCH($A$1&amp;"|"&amp;14,Índice!$A$4:$A$1000,0)),"")</f>
        <v>FASA — Versão Parental</v>
      </c>
      <c r="C17" s="6" t="str">
        <f aca="false">IFERROR(INDEX(Catálogo!C$4:C$1000,MATCH($A$1&amp;"|"&amp;14,Índice!$A$4:$A$1000,0)),"")</f>
        <v>Família &amp; Parentalidade</v>
      </c>
      <c r="D17" s="6" t="str">
        <f aca="false">IFERROR(INDEX(Catálogo!D$4:D$1000,MATCH($A$1&amp;"|"&amp;14,Índice!$A$4:$A$1000,0)),"")</f>
        <v>Mãe, Pai, Enc. Educação</v>
      </c>
      <c r="E17" s="6" t="str">
        <f aca="false">IFERROR(INDEX(Catálogo!E$4:E$1000,MATCH($A$1&amp;"|"&amp;14,Índice!$A$4:$A$1000,0)),"")</f>
        <v>2–18 anos</v>
      </c>
      <c r="F17" s="5" t="n">
        <f aca="false">IFERROR(INDEX(Catálogo!F$4:F$1000,MATCH($A$1&amp;"|"&amp;14,Índice!$A$4:$A$1000,0)),"")</f>
        <v>2</v>
      </c>
      <c r="G17" s="5" t="n">
        <f aca="false">IFERROR(INDEX(Catálogo!G$4:G$1000,MATCH($A$1&amp;"|"&amp;14,Índice!$A$4:$A$1000,0)),"")</f>
        <v>17.9</v>
      </c>
      <c r="H17" s="5" t="n">
        <f aca="false">IFERROR(INDEX(Catálogo!H$4:H$1000,MATCH($A$1&amp;"|"&amp;14,Índice!$A$4:$A$1000,0)),"")</f>
        <v>6</v>
      </c>
      <c r="I17" s="6" t="str">
        <f aca="false">IFERROR(INDEX(Catálogo!I$4:I$1000,MATCH($A$1&amp;"|"&amp;14,Índice!$A$4:$A$1000,0)),"")</f>
        <v>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v>
      </c>
      <c r="J17" s="6" t="str">
        <f aca="false">IFERROR(INDEX(Catálogo!J$4:J$1000,MATCH($A$1&amp;"|"&amp;14,Índice!$A$4:$A$1000,0)),"")</f>
        <v>PAR (0-16); MOD (0-20); Acomodação Total (0-36); SOF (item 10); RC (média 11-13); CMO (máx 11-13)</v>
      </c>
      <c r="K17" s="6" t="str">
        <f aca="false">IFERROR(INDEX(Catálogo!K$4:K$1000,MATCH($A$1&amp;"|"&amp;14,Índice!$A$4:$A$1000,0)),"")</f>
        <v>fasa_parental</v>
      </c>
      <c r="L17" s="6" t="str">
        <f aca="false">IFERROR(INDEX(Catálogo!L$4:L$1000,MATCH($A$1&amp;"|"&amp;14,Índice!$A$4:$A$1000,0)),"")</f>
        <v>q_fasa_parental</v>
      </c>
      <c r="M17" s="7" t="str">
        <f aca="false">IFERROR(INDEX(Catálogo!M$4:M$1000,MATCH($A$1&amp;"|"&amp;14,Índice!$A$4:$A$1000,0)),"")</f>
        <v>https://correiaricardina-ui.github.io/questionarios/FASA_Parental.html</v>
      </c>
    </row>
    <row r="18" customFormat="false" ht="42" hidden="false" customHeight="true" outlineLevel="0" collapsed="false">
      <c r="A18" s="5" t="n">
        <f aca="false">IFERROR(INDEX(Catálogo!A$4:A$1000,MATCH($A$1&amp;"|"&amp;15,Índice!$A$4:$A$1000,0)),"")</f>
        <v>92</v>
      </c>
      <c r="B18" s="6" t="str">
        <f aca="false">IFERROR(INDEX(Catálogo!B$4:B$1000,MATCH($A$1&amp;"|"&amp;15,Índice!$A$4:$A$1000,0)),"")</f>
        <v>MAP — Adolescência 12–14 anos</v>
      </c>
      <c r="C18" s="6" t="str">
        <f aca="false">IFERROR(INDEX(Catálogo!C$4:C$1000,MATCH($A$1&amp;"|"&amp;15,Índice!$A$4:$A$1000,0)),"")</f>
        <v>Família &amp; Parentalidade</v>
      </c>
      <c r="D18" s="6" t="str">
        <f aca="false">IFERROR(INDEX(Catálogo!D$4:D$1000,MATCH($A$1&amp;"|"&amp;15,Índice!$A$4:$A$1000,0)),"")</f>
        <v>Mãe, Pai, Enc. Educação</v>
      </c>
      <c r="E18" s="6" t="str">
        <f aca="false">IFERROR(INDEX(Catálogo!E$4:E$1000,MATCH($A$1&amp;"|"&amp;15,Índice!$A$4:$A$1000,0)),"")</f>
        <v>12–14 anos</v>
      </c>
      <c r="F18" s="5" t="n">
        <f aca="false">IFERROR(INDEX(Catálogo!F$4:F$1000,MATCH($A$1&amp;"|"&amp;15,Índice!$A$4:$A$1000,0)),"")</f>
        <v>0</v>
      </c>
      <c r="G18" s="5" t="n">
        <f aca="false">IFERROR(INDEX(Catálogo!G$4:G$1000,MATCH($A$1&amp;"|"&amp;15,Índice!$A$4:$A$1000,0)),"")</f>
        <v>99</v>
      </c>
      <c r="H18" s="5" t="n">
        <f aca="false">IFERROR(INDEX(Catálogo!H$4:H$1000,MATCH($A$1&amp;"|"&amp;15,Índice!$A$4:$A$1000,0)),"")</f>
        <v>3</v>
      </c>
      <c r="I18" s="6" t="str">
        <f aca="false">IFERROR(INDEX(Catálogo!I$4:I$1000,MATCH($A$1&amp;"|"&amp;15,Índice!$A$4:$A$1000,0)),"")</f>
        <v>Mapeamento parental sistémico — Adolescência 12–14 anos</v>
      </c>
      <c r="J18" s="6" t="str">
        <f aca="false">IFERROR(INDEX(Catálogo!J$4:J$1000,MATCH($A$1&amp;"|"&amp;15,Índice!$A$4:$A$1000,0)),"")</f>
        <v>Funcionamento Parental; Rotinas; Práticas Educativas</v>
      </c>
      <c r="K18" s="6" t="str">
        <f aca="false">IFERROR(INDEX(Catálogo!K$4:K$1000,MATCH($A$1&amp;"|"&amp;15,Índice!$A$4:$A$1000,0)),"")</f>
        <v>map_1214</v>
      </c>
      <c r="L18" s="6" t="str">
        <f aca="false">IFERROR(INDEX(Catálogo!L$4:L$1000,MATCH($A$1&amp;"|"&amp;15,Índice!$A$4:$A$1000,0)),"")</f>
        <v>q_map_1214</v>
      </c>
      <c r="M18" s="7" t="str">
        <f aca="false">IFERROR(INDEX(Catálogo!M$4:M$1000,MATCH($A$1&amp;"|"&amp;15,Índice!$A$4:$A$1000,0)),"")</f>
        <v>https://correiaricardina-ui.github.io/questionarios/MAP_ParentalAvaliacaoSistemica_1214_v1.html</v>
      </c>
    </row>
    <row r="19" customFormat="false" ht="42" hidden="false" customHeight="true" outlineLevel="0" collapsed="false">
      <c r="A19" s="5" t="n">
        <f aca="false">IFERROR(INDEX(Catálogo!A$4:A$1000,MATCH($A$1&amp;"|"&amp;16,Índice!$A$4:$A$1000,0)),"")</f>
        <v>93</v>
      </c>
      <c r="B19" s="6" t="str">
        <f aca="false">IFERROR(INDEX(Catálogo!B$4:B$1000,MATCH($A$1&amp;"|"&amp;16,Índice!$A$4:$A$1000,0)),"")</f>
        <v>MAP — Adolescência 15–18 anos</v>
      </c>
      <c r="C19" s="6" t="str">
        <f aca="false">IFERROR(INDEX(Catálogo!C$4:C$1000,MATCH($A$1&amp;"|"&amp;16,Índice!$A$4:$A$1000,0)),"")</f>
        <v>Família &amp; Parentalidade</v>
      </c>
      <c r="D19" s="6" t="str">
        <f aca="false">IFERROR(INDEX(Catálogo!D$4:D$1000,MATCH($A$1&amp;"|"&amp;16,Índice!$A$4:$A$1000,0)),"")</f>
        <v>Mãe, Pai, Enc. Educação</v>
      </c>
      <c r="E19" s="6" t="str">
        <f aca="false">IFERROR(INDEX(Catálogo!E$4:E$1000,MATCH($A$1&amp;"|"&amp;16,Índice!$A$4:$A$1000,0)),"")</f>
        <v>15–18 anos</v>
      </c>
      <c r="F19" s="5" t="n">
        <f aca="false">IFERROR(INDEX(Catálogo!F$4:F$1000,MATCH($A$1&amp;"|"&amp;16,Índice!$A$4:$A$1000,0)),"")</f>
        <v>0</v>
      </c>
      <c r="G19" s="5" t="n">
        <f aca="false">IFERROR(INDEX(Catálogo!G$4:G$1000,MATCH($A$1&amp;"|"&amp;16,Índice!$A$4:$A$1000,0)),"")</f>
        <v>99</v>
      </c>
      <c r="H19" s="5" t="n">
        <f aca="false">IFERROR(INDEX(Catálogo!H$4:H$1000,MATCH($A$1&amp;"|"&amp;16,Índice!$A$4:$A$1000,0)),"")</f>
        <v>3</v>
      </c>
      <c r="I19" s="6" t="str">
        <f aca="false">IFERROR(INDEX(Catálogo!I$4:I$1000,MATCH($A$1&amp;"|"&amp;16,Índice!$A$4:$A$1000,0)),"")</f>
        <v>Mapeamento parental sistémico — Adolescência 15–18 anos</v>
      </c>
      <c r="J19" s="6" t="str">
        <f aca="false">IFERROR(INDEX(Catálogo!J$4:J$1000,MATCH($A$1&amp;"|"&amp;16,Índice!$A$4:$A$1000,0)),"")</f>
        <v>Funcionamento Parental; Rotinas; Práticas Educativas</v>
      </c>
      <c r="K19" s="6" t="str">
        <f aca="false">IFERROR(INDEX(Catálogo!K$4:K$1000,MATCH($A$1&amp;"|"&amp;16,Índice!$A$4:$A$1000,0)),"")</f>
        <v>map_1518</v>
      </c>
      <c r="L19" s="6" t="str">
        <f aca="false">IFERROR(INDEX(Catálogo!L$4:L$1000,MATCH($A$1&amp;"|"&amp;16,Índice!$A$4:$A$1000,0)),"")</f>
        <v>q_map_1518</v>
      </c>
      <c r="M19" s="7" t="str">
        <f aca="false">IFERROR(INDEX(Catálogo!M$4:M$1000,MATCH($A$1&amp;"|"&amp;16,Índice!$A$4:$A$1000,0)),"")</f>
        <v>https://correiaricardina-ui.github.io/questionarios/MAP_ParentalAvaliacaoSistemica_1518_v1.html</v>
      </c>
    </row>
    <row r="20" customFormat="false" ht="42" hidden="false" customHeight="true" outlineLevel="0" collapsed="false">
      <c r="A20" s="5" t="n">
        <f aca="false">IFERROR(INDEX(Catálogo!A$4:A$1000,MATCH($A$1&amp;"|"&amp;17,Índice!$A$4:$A$1000,0)),"")</f>
        <v>94</v>
      </c>
      <c r="B20" s="6" t="str">
        <f aca="false">IFERROR(INDEX(Catálogo!B$4:B$1000,MATCH($A$1&amp;"|"&amp;17,Índice!$A$4:$A$1000,0)),"")</f>
        <v>MAP — Mapeamento Parental Sistémico</v>
      </c>
      <c r="C20" s="6" t="str">
        <f aca="false">IFERROR(INDEX(Catálogo!C$4:C$1000,MATCH($A$1&amp;"|"&amp;17,Índice!$A$4:$A$1000,0)),"")</f>
        <v>Família &amp; Parentalidade</v>
      </c>
      <c r="D20" s="6" t="str">
        <f aca="false">IFERROR(INDEX(Catálogo!D$4:D$1000,MATCH($A$1&amp;"|"&amp;17,Índice!$A$4:$A$1000,0)),"")</f>
        <v>Mãe, Pai, Enc. Educação</v>
      </c>
      <c r="E20" s="6" t="str">
        <f aca="false">IFERROR(INDEX(Catálogo!E$4:E$1000,MATCH($A$1&amp;"|"&amp;17,Índice!$A$4:$A$1000,0)),"")</f>
        <v>Todas as idades</v>
      </c>
      <c r="F20" s="5" t="n">
        <f aca="false">IFERROR(INDEX(Catálogo!F$4:F$1000,MATCH($A$1&amp;"|"&amp;17,Índice!$A$4:$A$1000,0)),"")</f>
        <v>0</v>
      </c>
      <c r="G20" s="5" t="n">
        <f aca="false">IFERROR(INDEX(Catálogo!G$4:G$1000,MATCH($A$1&amp;"|"&amp;17,Índice!$A$4:$A$1000,0)),"")</f>
        <v>99</v>
      </c>
      <c r="H20" s="5" t="n">
        <f aca="false">IFERROR(INDEX(Catálogo!H$4:H$1000,MATCH($A$1&amp;"|"&amp;17,Índice!$A$4:$A$1000,0)),"")</f>
        <v>3</v>
      </c>
      <c r="I20" s="6" t="str">
        <f aca="false">IFERROR(INDEX(Catálogo!I$4:I$1000,MATCH($A$1&amp;"|"&amp;17,Índice!$A$4:$A$1000,0)),"")</f>
        <v>Mapeamento sistémico do funcionamento parental</v>
      </c>
      <c r="J20" s="6" t="str">
        <f aca="false">IFERROR(INDEX(Catálogo!J$4:J$1000,MATCH($A$1&amp;"|"&amp;17,Índice!$A$4:$A$1000,0)),"")</f>
        <v>Funcionamento Parental; Rotinas; Práticas Educativas</v>
      </c>
      <c r="K20" s="6" t="str">
        <f aca="false">IFERROR(INDEX(Catálogo!K$4:K$1000,MATCH($A$1&amp;"|"&amp;17,Índice!$A$4:$A$1000,0)),"")</f>
        <v>map_parental</v>
      </c>
      <c r="L20" s="6" t="str">
        <f aca="false">IFERROR(INDEX(Catálogo!L$4:L$1000,MATCH($A$1&amp;"|"&amp;17,Índice!$A$4:$A$1000,0)),"")</f>
        <v>q_map_parental</v>
      </c>
      <c r="M20" s="7" t="str">
        <f aca="false">IFERROR(INDEX(Catálogo!M$4:M$1000,MATCH($A$1&amp;"|"&amp;17,Índice!$A$4:$A$1000,0)),"")</f>
        <v>https://correiaricardina-ui.github.io/questionarios/MAP_ParentalAvaliacaoSistemica_v1.html</v>
      </c>
    </row>
    <row r="21" customFormat="false" ht="42" hidden="false" customHeight="true" outlineLevel="0" collapsed="false">
      <c r="A21" s="5" t="n">
        <f aca="false">IFERROR(INDEX(Catálogo!A$4:A$1000,MATCH($A$1&amp;"|"&amp;18,Índice!$A$4:$A$1000,0)),"")</f>
        <v>95</v>
      </c>
      <c r="B21" s="6" t="str">
        <f aca="false">IFERROR(INDEX(Catálogo!B$4:B$1000,MATCH($A$1&amp;"|"&amp;18,Índice!$A$4:$A$1000,0)),"")</f>
        <v>MAP — Primeira Infância</v>
      </c>
      <c r="C21" s="6" t="str">
        <f aca="false">IFERROR(INDEX(Catálogo!C$4:C$1000,MATCH($A$1&amp;"|"&amp;18,Índice!$A$4:$A$1000,0)),"")</f>
        <v>Família &amp; Parentalidade</v>
      </c>
      <c r="D21" s="6" t="str">
        <f aca="false">IFERROR(INDEX(Catálogo!D$4:D$1000,MATCH($A$1&amp;"|"&amp;18,Índice!$A$4:$A$1000,0)),"")</f>
        <v>Mãe, Pai, Enc. Educação</v>
      </c>
      <c r="E21" s="6" t="str">
        <f aca="false">IFERROR(INDEX(Catálogo!E$4:E$1000,MATCH($A$1&amp;"|"&amp;18,Índice!$A$4:$A$1000,0)),"")</f>
        <v>0–5 anos</v>
      </c>
      <c r="F21" s="5" t="n">
        <f aca="false">IFERROR(INDEX(Catálogo!F$4:F$1000,MATCH($A$1&amp;"|"&amp;18,Índice!$A$4:$A$1000,0)),"")</f>
        <v>0</v>
      </c>
      <c r="G21" s="5" t="n">
        <f aca="false">IFERROR(INDEX(Catálogo!G$4:G$1000,MATCH($A$1&amp;"|"&amp;18,Índice!$A$4:$A$1000,0)),"")</f>
        <v>99</v>
      </c>
      <c r="H21" s="5" t="n">
        <f aca="false">IFERROR(INDEX(Catálogo!H$4:H$1000,MATCH($A$1&amp;"|"&amp;18,Índice!$A$4:$A$1000,0)),"")</f>
        <v>3</v>
      </c>
      <c r="I21" s="6" t="str">
        <f aca="false">IFERROR(INDEX(Catálogo!I$4:I$1000,MATCH($A$1&amp;"|"&amp;18,Índice!$A$4:$A$1000,0)),"")</f>
        <v>Mapeamento parental sistémico — Primeira Infância</v>
      </c>
      <c r="J21" s="6" t="str">
        <f aca="false">IFERROR(INDEX(Catálogo!J$4:J$1000,MATCH($A$1&amp;"|"&amp;18,Índice!$A$4:$A$1000,0)),"")</f>
        <v>Funcionamento Parental; Rotinas; Práticas Educativas</v>
      </c>
      <c r="K21" s="6" t="str">
        <f aca="false">IFERROR(INDEX(Catálogo!K$4:K$1000,MATCH($A$1&amp;"|"&amp;18,Índice!$A$4:$A$1000,0)),"")</f>
        <v>map_pi</v>
      </c>
      <c r="L21" s="6" t="str">
        <f aca="false">IFERROR(INDEX(Catálogo!L$4:L$1000,MATCH($A$1&amp;"|"&amp;18,Índice!$A$4:$A$1000,0)),"")</f>
        <v>q_map_pi</v>
      </c>
      <c r="M21" s="7" t="str">
        <f aca="false">IFERROR(INDEX(Catálogo!M$4:M$1000,MATCH($A$1&amp;"|"&amp;18,Índice!$A$4:$A$1000,0)),"")</f>
        <v>https://correiaricardina-ui.github.io/questionarios/MAP_ParentalAvaliacaoSistemica_PI_v1.html</v>
      </c>
    </row>
    <row r="22" customFormat="false" ht="42" hidden="false" customHeight="true" outlineLevel="0" collapsed="false">
      <c r="A22" s="5" t="n">
        <f aca="false">IFERROR(INDEX(Catálogo!A$4:A$1000,MATCH($A$1&amp;"|"&amp;19,Índice!$A$4:$A$1000,0)),"")</f>
        <v>98</v>
      </c>
      <c r="B22" s="6" t="str">
        <f aca="false">IFERROR(INDEX(Catálogo!B$4:B$1000,MATCH($A$1&amp;"|"&amp;19,Índice!$A$4:$A$1000,0)),"")</f>
        <v>MCP Breve — Mapeamento de Configuração Parental</v>
      </c>
      <c r="C22" s="6" t="str">
        <f aca="false">IFERROR(INDEX(Catálogo!C$4:C$1000,MATCH($A$1&amp;"|"&amp;19,Índice!$A$4:$A$1000,0)),"")</f>
        <v>Família &amp; Parentalidade</v>
      </c>
      <c r="D22" s="6" t="str">
        <f aca="false">IFERROR(INDEX(Catálogo!D$4:D$1000,MATCH($A$1&amp;"|"&amp;19,Índice!$A$4:$A$1000,0)),"")</f>
        <v>Mãe, Pai, Madrasta, Padrasto, Enc. Educação, Tutor(a) legal</v>
      </c>
      <c r="E22" s="6" t="str">
        <f aca="false">IFERROR(INDEX(Catálogo!E$4:E$1000,MATCH($A$1&amp;"|"&amp;19,Índice!$A$4:$A$1000,0)),"")</f>
        <v>3–17 anos</v>
      </c>
      <c r="F22" s="5" t="n">
        <f aca="false">IFERROR(INDEX(Catálogo!F$4:F$1000,MATCH($A$1&amp;"|"&amp;19,Índice!$A$4:$A$1000,0)),"")</f>
        <v>3</v>
      </c>
      <c r="G22" s="5" t="n">
        <f aca="false">IFERROR(INDEX(Catálogo!G$4:G$1000,MATCH($A$1&amp;"|"&amp;19,Índice!$A$4:$A$1000,0)),"")</f>
        <v>17.9</v>
      </c>
      <c r="H22" s="5" t="n">
        <f aca="false">IFERROR(INDEX(Catálogo!H$4:H$1000,MATCH($A$1&amp;"|"&amp;19,Índice!$A$4:$A$1000,0)),"")</f>
        <v>6</v>
      </c>
      <c r="I22" s="6" t="str">
        <f aca="false">IFERROR(INDEX(Catálogo!I$4:I$1000,MATCH($A$1&amp;"|"&amp;19,Índice!$A$4:$A$1000,0)),"")</f>
        <v>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v>
      </c>
      <c r="J22" s="6" t="str">
        <f aca="false">IFERROR(INDEX(Catálogo!J$4:J$1000,MATCH($A$1&amp;"|"&amp;19,Índice!$A$4:$A$1000,0)),"")</f>
        <v>Coabitantes (S1); Distribuição funcional (S2); Autoridade educativa reconhecida (S3); Posição e bem-estar parental (S4); Média Autoridade; Média Bem-Estar</v>
      </c>
      <c r="K22" s="6" t="str">
        <f aca="false">IFERROR(INDEX(Catálogo!K$4:K$1000,MATCH($A$1&amp;"|"&amp;19,Índice!$A$4:$A$1000,0)),"")</f>
        <v>mcp_breve</v>
      </c>
      <c r="L22" s="6" t="str">
        <f aca="false">IFERROR(INDEX(Catálogo!L$4:L$1000,MATCH($A$1&amp;"|"&amp;19,Índice!$A$4:$A$1000,0)),"")</f>
        <v>q_mcp_breve</v>
      </c>
      <c r="M22" s="7" t="str">
        <f aca="false">IFERROR(INDEX(Catálogo!M$4:M$1000,MATCH($A$1&amp;"|"&amp;19,Índice!$A$4:$A$1000,0)),"")</f>
        <v>https://correiaricardina-ui.github.io/questionarios/MCP_Breve.html</v>
      </c>
    </row>
    <row r="23" customFormat="false" ht="42" hidden="false" customHeight="true" outlineLevel="0" collapsed="false">
      <c r="A23" s="5" t="n">
        <f aca="false">IFERROR(INDEX(Catálogo!A$4:A$1000,MATCH($A$1&amp;"|"&amp;20,Índice!$A$4:$A$1000,0)),"")</f>
        <v>99</v>
      </c>
      <c r="B23" s="6" t="str">
        <f aca="false">IFERROR(INDEX(Catálogo!B$4:B$1000,MATCH($A$1&amp;"|"&amp;20,Índice!$A$4:$A$1000,0)),"")</f>
        <v>MCP Completo — Mapeamento de Configuração Parental</v>
      </c>
      <c r="C23" s="6" t="str">
        <f aca="false">IFERROR(INDEX(Catálogo!C$4:C$1000,MATCH($A$1&amp;"|"&amp;20,Índice!$A$4:$A$1000,0)),"")</f>
        <v>Família &amp; Parentalidade</v>
      </c>
      <c r="D23" s="6" t="str">
        <f aca="false">IFERROR(INDEX(Catálogo!D$4:D$1000,MATCH($A$1&amp;"|"&amp;20,Índice!$A$4:$A$1000,0)),"")</f>
        <v>Mãe, Pai, Madrasta, Padrasto, Enc. Educação, Tutor(a) legal</v>
      </c>
      <c r="E23" s="6" t="str">
        <f aca="false">IFERROR(INDEX(Catálogo!E$4:E$1000,MATCH($A$1&amp;"|"&amp;20,Índice!$A$4:$A$1000,0)),"")</f>
        <v>3–17 anos</v>
      </c>
      <c r="F23" s="5" t="n">
        <f aca="false">IFERROR(INDEX(Catálogo!F$4:F$1000,MATCH($A$1&amp;"|"&amp;20,Índice!$A$4:$A$1000,0)),"")</f>
        <v>3</v>
      </c>
      <c r="G23" s="5" t="n">
        <f aca="false">IFERROR(INDEX(Catálogo!G$4:G$1000,MATCH($A$1&amp;"|"&amp;20,Índice!$A$4:$A$1000,0)),"")</f>
        <v>17.9</v>
      </c>
      <c r="H23" s="5" t="n">
        <f aca="false">IFERROR(INDEX(Catálogo!H$4:H$1000,MATCH($A$1&amp;"|"&amp;20,Índice!$A$4:$A$1000,0)),"")</f>
        <v>10</v>
      </c>
      <c r="I23" s="6" t="str">
        <f aca="false">IFERROR(INDEX(Catálogo!I$4:I$1000,MATCH($A$1&amp;"|"&amp;20,Índice!$A$4:$A$1000,0)),"")</f>
        <v>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v>
      </c>
      <c r="J23" s="6" t="str">
        <f aca="false">IFERROR(INDEX(Catálogo!J$4:J$1000,MATCH($A$1&amp;"|"&amp;20,Índice!$A$4:$A$1000,0)),"")</f>
        <v>Coabitantes (S1); Distribuição funcional (S2); Autoridade educativa (S3); Relação afetiva por figura (S4); Resposta dos outros / Acomodação (S5); Posição e bem-estar parental (S6); Síntese clínica aberta (S7); Média Autoridade; Média Acomodação; Média Bem-Estar</v>
      </c>
      <c r="K23" s="6" t="str">
        <f aca="false">IFERROR(INDEX(Catálogo!K$4:K$1000,MATCH($A$1&amp;"|"&amp;20,Índice!$A$4:$A$1000,0)),"")</f>
        <v>mcp_completo</v>
      </c>
      <c r="L23" s="6" t="str">
        <f aca="false">IFERROR(INDEX(Catálogo!L$4:L$1000,MATCH($A$1&amp;"|"&amp;20,Índice!$A$4:$A$1000,0)),"")</f>
        <v>q_mcp_completo</v>
      </c>
      <c r="M23" s="7" t="str">
        <f aca="false">IFERROR(INDEX(Catálogo!M$4:M$1000,MATCH($A$1&amp;"|"&amp;20,Índice!$A$4:$A$1000,0)),"")</f>
        <v>https://correiaricardina-ui.github.io/questionarios/MCP_Completo.html</v>
      </c>
    </row>
    <row r="24" customFormat="false" ht="42" hidden="false" customHeight="true" outlineLevel="0" collapsed="false">
      <c r="A24" s="5" t="n">
        <f aca="false">IFERROR(INDEX(Catálogo!A$4:A$1000,MATCH($A$1&amp;"|"&amp;21,Índice!$A$4:$A$1000,0)),"")</f>
        <v>117</v>
      </c>
      <c r="B24" s="6" t="str">
        <f aca="false">IFERROR(INDEX(Catálogo!B$4:B$1000,MATCH($A$1&amp;"|"&amp;21,Índice!$A$4:$A$1000,0)),"")</f>
        <v>PSI-4 adap — Escala de Avaliação do Stress Parental</v>
      </c>
      <c r="C24" s="6" t="str">
        <f aca="false">IFERROR(INDEX(Catálogo!C$4:C$1000,MATCH($A$1&amp;"|"&amp;21,Índice!$A$4:$A$1000,0)),"")</f>
        <v>Família &amp; Parentalidade</v>
      </c>
      <c r="D24" s="6" t="str">
        <f aca="false">IFERROR(INDEX(Catálogo!D$4:D$1000,MATCH($A$1&amp;"|"&amp;21,Índice!$A$4:$A$1000,0)),"")</f>
        <v>Mãe, Pai, Enc. Educação, Cuidador</v>
      </c>
      <c r="E24" s="6" t="str">
        <f aca="false">IFERROR(INDEX(Catálogo!E$4:E$1000,MATCH($A$1&amp;"|"&amp;21,Índice!$A$4:$A$1000,0)),"")</f>
        <v>Pais/cuidadores de crianças 0–~12 anos</v>
      </c>
      <c r="F24" s="5" t="n">
        <f aca="false">IFERROR(INDEX(Catálogo!F$4:F$1000,MATCH($A$1&amp;"|"&amp;21,Índice!$A$4:$A$1000,0)),"")</f>
        <v>0</v>
      </c>
      <c r="G24" s="5" t="n">
        <f aca="false">IFERROR(INDEX(Catálogo!G$4:G$1000,MATCH($A$1&amp;"|"&amp;21,Índice!$A$4:$A$1000,0)),"")</f>
        <v>13</v>
      </c>
      <c r="H24" s="5" t="n">
        <f aca="false">IFERROR(INDEX(Catálogo!H$4:H$1000,MATCH($A$1&amp;"|"&amp;21,Índice!$A$4:$A$1000,0)),"")</f>
        <v>4</v>
      </c>
      <c r="I24" s="6" t="str">
        <f aca="false">IFERROR(INDEX(Catálogo!I$4:I$1000,MATCH($A$1&amp;"|"&amp;21,Índice!$A$4:$A$1000,0)),"")</f>
        <v>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v>
      </c>
      <c r="J24" s="6" t="str">
        <f aca="false">IFERROR(INDEX(Catálogo!J$4:J$1000,MATCH($A$1&amp;"|"&amp;21,Índice!$A$4:$A$1000,0)),"")</f>
        <v>Mal-estar Parental (MP); Interação Disfuncional Pais-Criança (ID); Criança Difícil (CD); Stress Total</v>
      </c>
      <c r="K24" s="6" t="str">
        <f aca="false">IFERROR(INDEX(Catálogo!K$4:K$1000,MATCH($A$1&amp;"|"&amp;21,Índice!$A$4:$A$1000,0)),"")</f>
        <v>psi4adap</v>
      </c>
      <c r="L24" s="6" t="str">
        <f aca="false">IFERROR(INDEX(Catálogo!L$4:L$1000,MATCH($A$1&amp;"|"&amp;21,Índice!$A$4:$A$1000,0)),"")</f>
        <v>q_psi4adap</v>
      </c>
      <c r="M24" s="7" t="str">
        <f aca="false">IFERROR(INDEX(Catálogo!M$4:M$1000,MATCH($A$1&amp;"|"&amp;21,Índice!$A$4:$A$1000,0)),"")</f>
        <v>https://correiaricardina-ui.github.io/questionarios/PSI4_adap.html</v>
      </c>
    </row>
    <row r="25" customFormat="false" ht="42" hidden="false" customHeight="true" outlineLevel="0" collapsed="false">
      <c r="A25" s="5" t="n">
        <f aca="false">IFERROR(INDEX(Catálogo!A$4:A$1000,MATCH($A$1&amp;"|"&amp;22,Índice!$A$4:$A$1000,0)),"")</f>
        <v>120</v>
      </c>
      <c r="B25" s="6" t="str">
        <f aca="false">IFERROR(INDEX(Catálogo!B$4:B$1000,MATCH($A$1&amp;"|"&amp;22,Índice!$A$4:$A$1000,0)),"")</f>
        <v>QC Coparentalidade — Mãe</v>
      </c>
      <c r="C25" s="6" t="str">
        <f aca="false">IFERROR(INDEX(Catálogo!C$4:C$1000,MATCH($A$1&amp;"|"&amp;22,Índice!$A$4:$A$1000,0)),"")</f>
        <v>Família &amp; Parentalidade</v>
      </c>
      <c r="D25" s="6" t="str">
        <f aca="false">IFERROR(INDEX(Catálogo!D$4:D$1000,MATCH($A$1&amp;"|"&amp;22,Índice!$A$4:$A$1000,0)),"")</f>
        <v>Mãe</v>
      </c>
      <c r="E25" s="6" t="str">
        <f aca="false">IFERROR(INDEX(Catálogo!E$4:E$1000,MATCH($A$1&amp;"|"&amp;22,Índice!$A$4:$A$1000,0)),"")</f>
        <v>Adultos</v>
      </c>
      <c r="F25" s="5" t="n">
        <f aca="false">IFERROR(INDEX(Catálogo!F$4:F$1000,MATCH($A$1&amp;"|"&amp;22,Índice!$A$4:$A$1000,0)),"")</f>
        <v>0</v>
      </c>
      <c r="G25" s="5" t="n">
        <f aca="false">IFERROR(INDEX(Catálogo!G$4:G$1000,MATCH($A$1&amp;"|"&amp;22,Índice!$A$4:$A$1000,0)),"")</f>
        <v>99</v>
      </c>
      <c r="H25" s="5" t="n">
        <f aca="false">IFERROR(INDEX(Catálogo!H$4:H$1000,MATCH($A$1&amp;"|"&amp;22,Índice!$A$4:$A$1000,0)),"")</f>
        <v>3</v>
      </c>
      <c r="I25" s="6" t="str">
        <f aca="false">IFERROR(INDEX(Catálogo!I$4:I$1000,MATCH($A$1&amp;"|"&amp;22,Índice!$A$4:$A$1000,0)),"")</f>
        <v>Avalia cooperação, triangulação e conflito coparental — versão mãe</v>
      </c>
      <c r="J25" s="6" t="str">
        <f aca="false">IFERROR(INDEX(Catálogo!J$4:J$1000,MATCH($A$1&amp;"|"&amp;22,Índice!$A$4:$A$1000,0)),"")</f>
        <v>Cooperação; Triangulação; Conflito</v>
      </c>
      <c r="K25" s="6" t="str">
        <f aca="false">IFERROR(INDEX(Catálogo!K$4:K$1000,MATCH($A$1&amp;"|"&amp;22,Índice!$A$4:$A$1000,0)),"")</f>
        <v>qc_mae</v>
      </c>
      <c r="L25" s="6" t="str">
        <f aca="false">IFERROR(INDEX(Catálogo!L$4:L$1000,MATCH($A$1&amp;"|"&amp;22,Índice!$A$4:$A$1000,0)),"")</f>
        <v>q_qc_mae</v>
      </c>
      <c r="M25" s="7" t="str">
        <f aca="false">IFERROR(INDEX(Catálogo!M$4:M$1000,MATCH($A$1&amp;"|"&amp;22,Índice!$A$4:$A$1000,0)),"")</f>
        <v>https://correiaricardina-ui.github.io/questionarios/QC_Mae.html</v>
      </c>
    </row>
    <row r="26" customFormat="false" ht="42" hidden="false" customHeight="true" outlineLevel="0" collapsed="false">
      <c r="A26" s="5" t="n">
        <f aca="false">IFERROR(INDEX(Catálogo!A$4:A$1000,MATCH($A$1&amp;"|"&amp;23,Índice!$A$4:$A$1000,0)),"")</f>
        <v>121</v>
      </c>
      <c r="B26" s="6" t="str">
        <f aca="false">IFERROR(INDEX(Catálogo!B$4:B$1000,MATCH($A$1&amp;"|"&amp;23,Índice!$A$4:$A$1000,0)),"")</f>
        <v>QC Coparentalidade — Pai</v>
      </c>
      <c r="C26" s="6" t="str">
        <f aca="false">IFERROR(INDEX(Catálogo!C$4:C$1000,MATCH($A$1&amp;"|"&amp;23,Índice!$A$4:$A$1000,0)),"")</f>
        <v>Família &amp; Parentalidade</v>
      </c>
      <c r="D26" s="6" t="str">
        <f aca="false">IFERROR(INDEX(Catálogo!D$4:D$1000,MATCH($A$1&amp;"|"&amp;23,Índice!$A$4:$A$1000,0)),"")</f>
        <v>Pai</v>
      </c>
      <c r="E26" s="6" t="str">
        <f aca="false">IFERROR(INDEX(Catálogo!E$4:E$1000,MATCH($A$1&amp;"|"&amp;23,Índice!$A$4:$A$1000,0)),"")</f>
        <v>Adultos</v>
      </c>
      <c r="F26" s="5" t="n">
        <f aca="false">IFERROR(INDEX(Catálogo!F$4:F$1000,MATCH($A$1&amp;"|"&amp;23,Índice!$A$4:$A$1000,0)),"")</f>
        <v>0</v>
      </c>
      <c r="G26" s="5" t="n">
        <f aca="false">IFERROR(INDEX(Catálogo!G$4:G$1000,MATCH($A$1&amp;"|"&amp;23,Índice!$A$4:$A$1000,0)),"")</f>
        <v>99</v>
      </c>
      <c r="H26" s="5" t="n">
        <f aca="false">IFERROR(INDEX(Catálogo!H$4:H$1000,MATCH($A$1&amp;"|"&amp;23,Índice!$A$4:$A$1000,0)),"")</f>
        <v>3</v>
      </c>
      <c r="I26" s="6" t="str">
        <f aca="false">IFERROR(INDEX(Catálogo!I$4:I$1000,MATCH($A$1&amp;"|"&amp;23,Índice!$A$4:$A$1000,0)),"")</f>
        <v>Avalia cooperação, triangulação e conflito coparental — versão pai</v>
      </c>
      <c r="J26" s="6" t="str">
        <f aca="false">IFERROR(INDEX(Catálogo!J$4:J$1000,MATCH($A$1&amp;"|"&amp;23,Índice!$A$4:$A$1000,0)),"")</f>
        <v>Cooperação; Triangulação; Conflito</v>
      </c>
      <c r="K26" s="6" t="str">
        <f aca="false">IFERROR(INDEX(Catálogo!K$4:K$1000,MATCH($A$1&amp;"|"&amp;23,Índice!$A$4:$A$1000,0)),"")</f>
        <v>qc_pai</v>
      </c>
      <c r="L26" s="6" t="str">
        <f aca="false">IFERROR(INDEX(Catálogo!L$4:L$1000,MATCH($A$1&amp;"|"&amp;23,Índice!$A$4:$A$1000,0)),"")</f>
        <v>q_qc_pai</v>
      </c>
      <c r="M26" s="7" t="str">
        <f aca="false">IFERROR(INDEX(Catálogo!M$4:M$1000,MATCH($A$1&amp;"|"&amp;23,Índice!$A$4:$A$1000,0)),"")</f>
        <v>https://correiaricardina-ui.github.io/questionarios/QC_Pai.html</v>
      </c>
    </row>
    <row r="27" customFormat="false" ht="42" hidden="false" customHeight="true" outlineLevel="0" collapsed="false">
      <c r="A27" s="5" t="n">
        <f aca="false">IFERROR(INDEX(Catálogo!A$4:A$1000,MATCH($A$1&amp;"|"&amp;24,Índice!$A$4:$A$1000,0)),"")</f>
        <v>123</v>
      </c>
      <c r="B27" s="6" t="str">
        <f aca="false">IFERROR(INDEX(Catálogo!B$4:B$1000,MATCH($A$1&amp;"|"&amp;24,Índice!$A$4:$A$1000,0)),"")</f>
        <v>QEDP</v>
      </c>
      <c r="C27" s="6" t="str">
        <f aca="false">IFERROR(INDEX(Catálogo!C$4:C$1000,MATCH($A$1&amp;"|"&amp;24,Índice!$A$4:$A$1000,0)),"")</f>
        <v>Família &amp; Parentalidade</v>
      </c>
      <c r="D27" s="6" t="str">
        <f aca="false">IFERROR(INDEX(Catálogo!D$4:D$1000,MATCH($A$1&amp;"|"&amp;24,Índice!$A$4:$A$1000,0)),"")</f>
        <v>Mãe, Pai, Enc. Educação</v>
      </c>
      <c r="E27" s="6" t="str">
        <f aca="false">IFERROR(INDEX(Catálogo!E$4:E$1000,MATCH($A$1&amp;"|"&amp;24,Índice!$A$4:$A$1000,0)),"")</f>
        <v>0–5 anos</v>
      </c>
      <c r="F27" s="5" t="n">
        <f aca="false">IFERROR(INDEX(Catálogo!F$4:F$1000,MATCH($A$1&amp;"|"&amp;24,Índice!$A$4:$A$1000,0)),"")</f>
        <v>0</v>
      </c>
      <c r="G27" s="5" t="n">
        <f aca="false">IFERROR(INDEX(Catálogo!G$4:G$1000,MATCH($A$1&amp;"|"&amp;24,Índice!$A$4:$A$1000,0)),"")</f>
        <v>5.9</v>
      </c>
      <c r="H27" s="5" t="n">
        <f aca="false">IFERROR(INDEX(Catálogo!H$4:H$1000,MATCH($A$1&amp;"|"&amp;24,Índice!$A$4:$A$1000,0)),"")</f>
        <v>3</v>
      </c>
      <c r="I27" s="6" t="str">
        <f aca="false">IFERROR(INDEX(Catálogo!I$4:I$1000,MATCH($A$1&amp;"|"&amp;24,Índice!$A$4:$A$1000,0)),"")</f>
        <v>Avalia envolvimento e desenvolvimento parental</v>
      </c>
      <c r="J27" s="6" t="str">
        <f aca="false">IFERROR(INDEX(Catálogo!J$4:J$1000,MATCH($A$1&amp;"|"&amp;24,Índice!$A$4:$A$1000,0)),"")</f>
        <v>Demandingness; Autonomia; Percepcao</v>
      </c>
      <c r="K27" s="6" t="str">
        <f aca="false">IFERROR(INDEX(Catálogo!K$4:K$1000,MATCH($A$1&amp;"|"&amp;24,Índice!$A$4:$A$1000,0)),"")</f>
        <v>qedp</v>
      </c>
      <c r="L27" s="6" t="str">
        <f aca="false">IFERROR(INDEX(Catálogo!L$4:L$1000,MATCH($A$1&amp;"|"&amp;24,Índice!$A$4:$A$1000,0)),"")</f>
        <v>q_qedp</v>
      </c>
      <c r="M27" s="7" t="str">
        <f aca="false">IFERROR(INDEX(Catálogo!M$4:M$1000,MATCH($A$1&amp;"|"&amp;24,Índice!$A$4:$A$1000,0)),"")</f>
        <v>https://correiaricardina-ui.github.io/questionarios/QEDP_v2.html</v>
      </c>
    </row>
    <row r="28" customFormat="false" ht="42" hidden="false" customHeight="true" outlineLevel="0" collapsed="false">
      <c r="A28" s="5" t="n">
        <f aca="false">IFERROR(INDEX(Catálogo!A$4:A$1000,MATCH($A$1&amp;"|"&amp;25,Índice!$A$4:$A$1000,0)),"")</f>
        <v>170</v>
      </c>
      <c r="B28" s="6" t="str">
        <f aca="false">IFERROR(INDEX(Catálogo!B$4:B$1000,MATCH($A$1&amp;"|"&amp;25,Índice!$A$4:$A$1000,0)),"")</f>
        <v>QRF-C — Questionário de Relação Fraterna (Criança)</v>
      </c>
      <c r="C28" s="6" t="str">
        <f aca="false">IFERROR(INDEX(Catálogo!C$4:C$1000,MATCH($A$1&amp;"|"&amp;25,Índice!$A$4:$A$1000,0)),"")</f>
        <v>Família &amp; Parentalidade</v>
      </c>
      <c r="D28" s="6" t="str">
        <f aca="false">IFERROR(INDEX(Catálogo!D$4:D$1000,MATCH($A$1&amp;"|"&amp;25,Índice!$A$4:$A$1000,0)),"")</f>
        <v>Paciente</v>
      </c>
      <c r="E28" s="6" t="str">
        <f aca="false">IFERROR(INDEX(Catálogo!E$4:E$1000,MATCH($A$1&amp;"|"&amp;25,Índice!$A$4:$A$1000,0)),"")</f>
        <v>8–16 anos</v>
      </c>
      <c r="F28" s="5" t="n">
        <f aca="false">IFERROR(INDEX(Catálogo!F$4:F$1000,MATCH($A$1&amp;"|"&amp;25,Índice!$A$4:$A$1000,0)),"")</f>
        <v>8</v>
      </c>
      <c r="G28" s="5" t="n">
        <f aca="false">IFERROR(INDEX(Catálogo!G$4:G$1000,MATCH($A$1&amp;"|"&amp;25,Índice!$A$4:$A$1000,0)),"")</f>
        <v>16</v>
      </c>
      <c r="H28" s="5" t="n">
        <f aca="false">IFERROR(INDEX(Catálogo!H$4:H$1000,MATCH($A$1&amp;"|"&amp;25,Índice!$A$4:$A$1000,0)),"")</f>
        <v>13</v>
      </c>
      <c r="I28" s="6" t="str">
        <f aca="false">IFERROR(INDEX(Catálogo!I$4:I$1000,MATCH($A$1&amp;"|"&amp;25,Índice!$A$4:$A$1000,0)),"")</f>
        <v>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v>
      </c>
      <c r="J28" s="6" t="str">
        <f aca="false">IFERROR(INDEX(Catálogo!J$4:J$1000,MATCH($A$1&amp;"|"&amp;25,Índice!$A$4:$A$1000,0)),"")</f>
        <v>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v>
      </c>
      <c r="K28" s="6" t="str">
        <f aca="false">IFERROR(INDEX(Catálogo!K$4:K$1000,MATCH($A$1&amp;"|"&amp;25,Índice!$A$4:$A$1000,0)),"")</f>
        <v>qrfc</v>
      </c>
      <c r="L28" s="6" t="str">
        <f aca="false">IFERROR(INDEX(Catálogo!L$4:L$1000,MATCH($A$1&amp;"|"&amp;25,Índice!$A$4:$A$1000,0)),"")</f>
        <v>q_qrfc</v>
      </c>
      <c r="M28" s="7" t="str">
        <f aca="false">IFERROR(INDEX(Catálogo!M$4:M$1000,MATCH($A$1&amp;"|"&amp;25,Índice!$A$4:$A$1000,0)),"")</f>
        <v>https://correiaricardina-ui.github.io/questionarios/QRFC_v1.html</v>
      </c>
    </row>
    <row r="29" customFormat="false" ht="42" hidden="false" customHeight="true" outlineLevel="0" collapsed="false">
      <c r="A29" s="5" t="n">
        <f aca="false">IFERROR(INDEX(Catálogo!A$4:A$1000,MATCH($A$1&amp;"|"&amp;26,Índice!$A$4:$A$1000,0)),"")</f>
        <v>171</v>
      </c>
      <c r="B29" s="6" t="str">
        <f aca="false">IFERROR(INDEX(Catálogo!B$4:B$1000,MATCH($A$1&amp;"|"&amp;26,Índice!$A$4:$A$1000,0)),"")</f>
        <v>QCF-P — Questionário de Comportamento Fraterno (Parental)</v>
      </c>
      <c r="C29" s="6" t="str">
        <f aca="false">IFERROR(INDEX(Catálogo!C$4:C$1000,MATCH($A$1&amp;"|"&amp;26,Índice!$A$4:$A$1000,0)),"")</f>
        <v>Família &amp; Parentalidade</v>
      </c>
      <c r="D29" s="6" t="str">
        <f aca="false">IFERROR(INDEX(Catálogo!D$4:D$1000,MATCH($A$1&amp;"|"&amp;26,Índice!$A$4:$A$1000,0)),"")</f>
        <v>Mãe, Pai, Enc. Educação</v>
      </c>
      <c r="E29" s="6" t="str">
        <f aca="false">IFERROR(INDEX(Catálogo!E$4:E$1000,MATCH($A$1&amp;"|"&amp;26,Índice!$A$4:$A$1000,0)),"")</f>
        <v>0–18 anos</v>
      </c>
      <c r="F29" s="5" t="n">
        <f aca="false">IFERROR(INDEX(Catálogo!F$4:F$1000,MATCH($A$1&amp;"|"&amp;26,Índice!$A$4:$A$1000,0)),"")</f>
        <v>0</v>
      </c>
      <c r="G29" s="5" t="n">
        <f aca="false">IFERROR(INDEX(Catálogo!G$4:G$1000,MATCH($A$1&amp;"|"&amp;26,Índice!$A$4:$A$1000,0)),"")</f>
        <v>18</v>
      </c>
      <c r="H29" s="5" t="n">
        <f aca="false">IFERROR(INDEX(Catálogo!H$4:H$1000,MATCH($A$1&amp;"|"&amp;26,Índice!$A$4:$A$1000,0)),"")</f>
        <v>15</v>
      </c>
      <c r="I29" s="6" t="str">
        <f aca="false">IFERROR(INDEX(Catálogo!I$4:I$1000,MATCH($A$1&amp;"|"&amp;26,Índice!$A$4:$A$1000,0)),"")</f>
        <v>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v>
      </c>
      <c r="J29" s="6" t="str">
        <f aca="false">IFERROR(INDEX(Catálogo!J$4:J$1000,MATCH($A$1&amp;"|"&amp;26,Índice!$A$4:$A$1000,0)),"")</f>
        <v>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v>
      </c>
      <c r="K29" s="6" t="str">
        <f aca="false">IFERROR(INDEX(Catálogo!K$4:K$1000,MATCH($A$1&amp;"|"&amp;26,Índice!$A$4:$A$1000,0)),"")</f>
        <v>qcfp</v>
      </c>
      <c r="L29" s="6" t="str">
        <f aca="false">IFERROR(INDEX(Catálogo!L$4:L$1000,MATCH($A$1&amp;"|"&amp;26,Índice!$A$4:$A$1000,0)),"")</f>
        <v>q_qcfp</v>
      </c>
      <c r="M29" s="7" t="str">
        <f aca="false">IFERROR(INDEX(Catálogo!M$4:M$1000,MATCH($A$1&amp;"|"&amp;26,Índice!$A$4:$A$1000,0)),"")</f>
        <v>https://correiaricardina-ui.github.io/questionarios/QCFP_v1.html</v>
      </c>
    </row>
    <row r="30" customFormat="false" ht="42" hidden="false" customHeight="true" outlineLevel="0" collapsed="false">
      <c r="A30" s="5" t="str">
        <f aca="false">IFERROR(INDEX(Catálogo!A$4:A$1000,MATCH($A$1&amp;"|"&amp;27,Índice!$A$4:$A$1000,0)),"")</f>
        <v/>
      </c>
      <c r="B30" s="6" t="str">
        <f aca="false">IFERROR(INDEX(Catálogo!B$4:B$1000,MATCH($A$1&amp;"|"&amp;27,Índice!$A$4:$A$1000,0)),"")</f>
        <v/>
      </c>
      <c r="C30" s="6" t="str">
        <f aca="false">IFERROR(INDEX(Catálogo!C$4:C$1000,MATCH($A$1&amp;"|"&amp;27,Índice!$A$4:$A$1000,0)),"")</f>
        <v/>
      </c>
      <c r="D30" s="6" t="str">
        <f aca="false">IFERROR(INDEX(Catálogo!D$4:D$1000,MATCH($A$1&amp;"|"&amp;27,Índice!$A$4:$A$1000,0)),"")</f>
        <v/>
      </c>
      <c r="E30" s="6" t="str">
        <f aca="false">IFERROR(INDEX(Catálogo!E$4:E$1000,MATCH($A$1&amp;"|"&amp;27,Índice!$A$4:$A$1000,0)),"")</f>
        <v/>
      </c>
      <c r="F30" s="5" t="str">
        <f aca="false">IFERROR(INDEX(Catálogo!F$4:F$1000,MATCH($A$1&amp;"|"&amp;27,Índice!$A$4:$A$1000,0)),"")</f>
        <v/>
      </c>
      <c r="G30" s="5" t="str">
        <f aca="false">IFERROR(INDEX(Catálogo!G$4:G$1000,MATCH($A$1&amp;"|"&amp;27,Índice!$A$4:$A$1000,0)),"")</f>
        <v/>
      </c>
      <c r="H30" s="5" t="str">
        <f aca="false">IFERROR(INDEX(Catálogo!H$4:H$1000,MATCH($A$1&amp;"|"&amp;27,Índice!$A$4:$A$1000,0)),"")</f>
        <v/>
      </c>
      <c r="I30" s="6" t="str">
        <f aca="false">IFERROR(INDEX(Catálogo!I$4:I$1000,MATCH($A$1&amp;"|"&amp;27,Índice!$A$4:$A$1000,0)),"")</f>
        <v/>
      </c>
      <c r="J30" s="6" t="str">
        <f aca="false">IFERROR(INDEX(Catálogo!J$4:J$1000,MATCH($A$1&amp;"|"&amp;27,Índice!$A$4:$A$1000,0)),"")</f>
        <v/>
      </c>
      <c r="K30" s="6" t="str">
        <f aca="false">IFERROR(INDEX(Catálogo!K$4:K$1000,MATCH($A$1&amp;"|"&amp;27,Índice!$A$4:$A$1000,0)),"")</f>
        <v/>
      </c>
      <c r="L30" s="6" t="str">
        <f aca="false">IFERROR(INDEX(Catálogo!L$4:L$1000,MATCH($A$1&amp;"|"&amp;27,Índice!$A$4:$A$1000,0)),"")</f>
        <v/>
      </c>
      <c r="M30" s="7" t="str">
        <f aca="false">IFERROR(INDEX(Catálogo!M$4:M$1000,MATCH($A$1&amp;"|"&amp;27,Índice!$A$4:$A$1000,0)),"")</f>
        <v/>
      </c>
    </row>
    <row r="31" customFormat="false" ht="42" hidden="false" customHeight="true" outlineLevel="0" collapsed="false">
      <c r="A31" s="5" t="str">
        <f aca="false">IFERROR(INDEX(Catálogo!A$4:A$1000,MATCH($A$1&amp;"|"&amp;28,Índice!$A$4:$A$1000,0)),"")</f>
        <v/>
      </c>
      <c r="B31" s="6" t="str">
        <f aca="false">IFERROR(INDEX(Catálogo!B$4:B$1000,MATCH($A$1&amp;"|"&amp;28,Índice!$A$4:$A$1000,0)),"")</f>
        <v/>
      </c>
      <c r="C31" s="6" t="str">
        <f aca="false">IFERROR(INDEX(Catálogo!C$4:C$1000,MATCH($A$1&amp;"|"&amp;28,Índice!$A$4:$A$1000,0)),"")</f>
        <v/>
      </c>
      <c r="D31" s="6" t="str">
        <f aca="false">IFERROR(INDEX(Catálogo!D$4:D$1000,MATCH($A$1&amp;"|"&amp;28,Índice!$A$4:$A$1000,0)),"")</f>
        <v/>
      </c>
      <c r="E31" s="6" t="str">
        <f aca="false">IFERROR(INDEX(Catálogo!E$4:E$1000,MATCH($A$1&amp;"|"&amp;28,Índice!$A$4:$A$1000,0)),"")</f>
        <v/>
      </c>
      <c r="F31" s="5" t="str">
        <f aca="false">IFERROR(INDEX(Catálogo!F$4:F$1000,MATCH($A$1&amp;"|"&amp;28,Índice!$A$4:$A$1000,0)),"")</f>
        <v/>
      </c>
      <c r="G31" s="5" t="str">
        <f aca="false">IFERROR(INDEX(Catálogo!G$4:G$1000,MATCH($A$1&amp;"|"&amp;28,Índice!$A$4:$A$1000,0)),"")</f>
        <v/>
      </c>
      <c r="H31" s="5" t="str">
        <f aca="false">IFERROR(INDEX(Catálogo!H$4:H$1000,MATCH($A$1&amp;"|"&amp;28,Índice!$A$4:$A$1000,0)),"")</f>
        <v/>
      </c>
      <c r="I31" s="6" t="str">
        <f aca="false">IFERROR(INDEX(Catálogo!I$4:I$1000,MATCH($A$1&amp;"|"&amp;28,Índice!$A$4:$A$1000,0)),"")</f>
        <v/>
      </c>
      <c r="J31" s="6" t="str">
        <f aca="false">IFERROR(INDEX(Catálogo!J$4:J$1000,MATCH($A$1&amp;"|"&amp;28,Índice!$A$4:$A$1000,0)),"")</f>
        <v/>
      </c>
      <c r="K31" s="6" t="str">
        <f aca="false">IFERROR(INDEX(Catálogo!K$4:K$1000,MATCH($A$1&amp;"|"&amp;28,Índice!$A$4:$A$1000,0)),"")</f>
        <v/>
      </c>
      <c r="L31" s="6" t="str">
        <f aca="false">IFERROR(INDEX(Catálogo!L$4:L$1000,MATCH($A$1&amp;"|"&amp;28,Índice!$A$4:$A$1000,0)),"")</f>
        <v/>
      </c>
      <c r="M31" s="7" t="str">
        <f aca="false">IFERROR(INDEX(Catálogo!M$4:M$1000,MATCH($A$1&amp;"|"&amp;28,Índice!$A$4:$A$1000,0)),"")</f>
        <v/>
      </c>
    </row>
    <row r="32" customFormat="false" ht="42" hidden="false" customHeight="true" outlineLevel="0" collapsed="false">
      <c r="A32" s="5" t="str">
        <f aca="false">IFERROR(INDEX(Catálogo!A$4:A$1000,MATCH($A$1&amp;"|"&amp;29,Índice!$A$4:$A$1000,0)),"")</f>
        <v/>
      </c>
      <c r="B32" s="6" t="str">
        <f aca="false">IFERROR(INDEX(Catálogo!B$4:B$1000,MATCH($A$1&amp;"|"&amp;29,Índice!$A$4:$A$1000,0)),"")</f>
        <v/>
      </c>
      <c r="C32" s="6" t="str">
        <f aca="false">IFERROR(INDEX(Catálogo!C$4:C$1000,MATCH($A$1&amp;"|"&amp;29,Índice!$A$4:$A$1000,0)),"")</f>
        <v/>
      </c>
      <c r="D32" s="6" t="str">
        <f aca="false">IFERROR(INDEX(Catálogo!D$4:D$1000,MATCH($A$1&amp;"|"&amp;29,Índice!$A$4:$A$1000,0)),"")</f>
        <v/>
      </c>
      <c r="E32" s="6" t="str">
        <f aca="false">IFERROR(INDEX(Catálogo!E$4:E$1000,MATCH($A$1&amp;"|"&amp;29,Índice!$A$4:$A$1000,0)),"")</f>
        <v/>
      </c>
      <c r="F32" s="5" t="str">
        <f aca="false">IFERROR(INDEX(Catálogo!F$4:F$1000,MATCH($A$1&amp;"|"&amp;29,Índice!$A$4:$A$1000,0)),"")</f>
        <v/>
      </c>
      <c r="G32" s="5" t="str">
        <f aca="false">IFERROR(INDEX(Catálogo!G$4:G$1000,MATCH($A$1&amp;"|"&amp;29,Índice!$A$4:$A$1000,0)),"")</f>
        <v/>
      </c>
      <c r="H32" s="5" t="str">
        <f aca="false">IFERROR(INDEX(Catálogo!H$4:H$1000,MATCH($A$1&amp;"|"&amp;29,Índice!$A$4:$A$1000,0)),"")</f>
        <v/>
      </c>
      <c r="I32" s="6" t="str">
        <f aca="false">IFERROR(INDEX(Catálogo!I$4:I$1000,MATCH($A$1&amp;"|"&amp;29,Índice!$A$4:$A$1000,0)),"")</f>
        <v/>
      </c>
      <c r="J32" s="6" t="str">
        <f aca="false">IFERROR(INDEX(Catálogo!J$4:J$1000,MATCH($A$1&amp;"|"&amp;29,Índice!$A$4:$A$1000,0)),"")</f>
        <v/>
      </c>
      <c r="K32" s="6" t="str">
        <f aca="false">IFERROR(INDEX(Catálogo!K$4:K$1000,MATCH($A$1&amp;"|"&amp;29,Índice!$A$4:$A$1000,0)),"")</f>
        <v/>
      </c>
      <c r="L32" s="6" t="str">
        <f aca="false">IFERROR(INDEX(Catálogo!L$4:L$1000,MATCH($A$1&amp;"|"&amp;29,Índice!$A$4:$A$1000,0)),"")</f>
        <v/>
      </c>
      <c r="M32" s="7" t="str">
        <f aca="false">IFERROR(INDEX(Catálogo!M$4:M$1000,MATCH($A$1&amp;"|"&amp;29,Índice!$A$4:$A$1000,0)),"")</f>
        <v/>
      </c>
    </row>
    <row r="33" customFormat="false" ht="42" hidden="false" customHeight="true" outlineLevel="0" collapsed="false">
      <c r="A33" s="5" t="str">
        <f aca="false">IFERROR(INDEX(Catálogo!A$4:A$1000,MATCH($A$1&amp;"|"&amp;30,Índice!$A$4:$A$1000,0)),"")</f>
        <v/>
      </c>
      <c r="B33" s="6" t="str">
        <f aca="false">IFERROR(INDEX(Catálogo!B$4:B$1000,MATCH($A$1&amp;"|"&amp;30,Índice!$A$4:$A$1000,0)),"")</f>
        <v/>
      </c>
      <c r="C33" s="6" t="str">
        <f aca="false">IFERROR(INDEX(Catálogo!C$4:C$1000,MATCH($A$1&amp;"|"&amp;30,Índice!$A$4:$A$1000,0)),"")</f>
        <v/>
      </c>
      <c r="D33" s="6" t="str">
        <f aca="false">IFERROR(INDEX(Catálogo!D$4:D$1000,MATCH($A$1&amp;"|"&amp;30,Índice!$A$4:$A$1000,0)),"")</f>
        <v/>
      </c>
      <c r="E33" s="6" t="str">
        <f aca="false">IFERROR(INDEX(Catálogo!E$4:E$1000,MATCH($A$1&amp;"|"&amp;30,Índice!$A$4:$A$1000,0)),"")</f>
        <v/>
      </c>
      <c r="F33" s="5" t="str">
        <f aca="false">IFERROR(INDEX(Catálogo!F$4:F$1000,MATCH($A$1&amp;"|"&amp;30,Índice!$A$4:$A$1000,0)),"")</f>
        <v/>
      </c>
      <c r="G33" s="5" t="str">
        <f aca="false">IFERROR(INDEX(Catálogo!G$4:G$1000,MATCH($A$1&amp;"|"&amp;30,Índice!$A$4:$A$1000,0)),"")</f>
        <v/>
      </c>
      <c r="H33" s="5" t="str">
        <f aca="false">IFERROR(INDEX(Catálogo!H$4:H$1000,MATCH($A$1&amp;"|"&amp;30,Índice!$A$4:$A$1000,0)),"")</f>
        <v/>
      </c>
      <c r="I33" s="6" t="str">
        <f aca="false">IFERROR(INDEX(Catálogo!I$4:I$1000,MATCH($A$1&amp;"|"&amp;30,Índice!$A$4:$A$1000,0)),"")</f>
        <v/>
      </c>
      <c r="J33" s="6" t="str">
        <f aca="false">IFERROR(INDEX(Catálogo!J$4:J$1000,MATCH($A$1&amp;"|"&amp;30,Índice!$A$4:$A$1000,0)),"")</f>
        <v/>
      </c>
      <c r="K33" s="6" t="str">
        <f aca="false">IFERROR(INDEX(Catálogo!K$4:K$1000,MATCH($A$1&amp;"|"&amp;30,Índice!$A$4:$A$1000,0)),"")</f>
        <v/>
      </c>
      <c r="L33" s="6" t="str">
        <f aca="false">IFERROR(INDEX(Catálogo!L$4:L$1000,MATCH($A$1&amp;"|"&amp;30,Índice!$A$4:$A$1000,0)),"")</f>
        <v/>
      </c>
      <c r="M33" s="7" t="str">
        <f aca="false">IFERROR(INDEX(Catálogo!M$4:M$1000,MATCH($A$1&amp;"|"&amp;30,Índice!$A$4:$A$1000,0)),"")</f>
        <v/>
      </c>
    </row>
    <row r="34" customFormat="false" ht="42" hidden="false" customHeight="true" outlineLevel="0" collapsed="false">
      <c r="A34" s="5" t="str">
        <f aca="false">IFERROR(INDEX(Catálogo!A$4:A$1000,MATCH($A$1&amp;"|"&amp;31,Índice!$A$4:$A$1000,0)),"")</f>
        <v/>
      </c>
      <c r="B34" s="6" t="str">
        <f aca="false">IFERROR(INDEX(Catálogo!B$4:B$1000,MATCH($A$1&amp;"|"&amp;31,Índice!$A$4:$A$1000,0)),"")</f>
        <v/>
      </c>
      <c r="C34" s="6" t="str">
        <f aca="false">IFERROR(INDEX(Catálogo!C$4:C$1000,MATCH($A$1&amp;"|"&amp;31,Índice!$A$4:$A$1000,0)),"")</f>
        <v/>
      </c>
      <c r="D34" s="6" t="str">
        <f aca="false">IFERROR(INDEX(Catálogo!D$4:D$1000,MATCH($A$1&amp;"|"&amp;31,Índice!$A$4:$A$1000,0)),"")</f>
        <v/>
      </c>
      <c r="E34" s="6" t="str">
        <f aca="false">IFERROR(INDEX(Catálogo!E$4:E$1000,MATCH($A$1&amp;"|"&amp;31,Índice!$A$4:$A$1000,0)),"")</f>
        <v/>
      </c>
      <c r="F34" s="5" t="str">
        <f aca="false">IFERROR(INDEX(Catálogo!F$4:F$1000,MATCH($A$1&amp;"|"&amp;31,Índice!$A$4:$A$1000,0)),"")</f>
        <v/>
      </c>
      <c r="G34" s="5" t="str">
        <f aca="false">IFERROR(INDEX(Catálogo!G$4:G$1000,MATCH($A$1&amp;"|"&amp;31,Índice!$A$4:$A$1000,0)),"")</f>
        <v/>
      </c>
      <c r="H34" s="5" t="str">
        <f aca="false">IFERROR(INDEX(Catálogo!H$4:H$1000,MATCH($A$1&amp;"|"&amp;31,Índice!$A$4:$A$1000,0)),"")</f>
        <v/>
      </c>
      <c r="I34" s="6" t="str">
        <f aca="false">IFERROR(INDEX(Catálogo!I$4:I$1000,MATCH($A$1&amp;"|"&amp;31,Índice!$A$4:$A$1000,0)),"")</f>
        <v/>
      </c>
      <c r="J34" s="6" t="str">
        <f aca="false">IFERROR(INDEX(Catálogo!J$4:J$1000,MATCH($A$1&amp;"|"&amp;31,Índice!$A$4:$A$1000,0)),"")</f>
        <v/>
      </c>
      <c r="K34" s="6" t="str">
        <f aca="false">IFERROR(INDEX(Catálogo!K$4:K$1000,MATCH($A$1&amp;"|"&amp;31,Índice!$A$4:$A$1000,0)),"")</f>
        <v/>
      </c>
      <c r="L34" s="6" t="str">
        <f aca="false">IFERROR(INDEX(Catálogo!L$4:L$1000,MATCH($A$1&amp;"|"&amp;31,Índice!$A$4:$A$1000,0)),"")</f>
        <v/>
      </c>
      <c r="M34" s="7" t="str">
        <f aca="false">IFERROR(INDEX(Catálogo!M$4:M$1000,MATCH($A$1&amp;"|"&amp;31,Índice!$A$4:$A$1000,0)),"")</f>
        <v/>
      </c>
    </row>
    <row r="35" customFormat="false" ht="42" hidden="false" customHeight="true" outlineLevel="0" collapsed="false">
      <c r="A35" s="5" t="str">
        <f aca="false">IFERROR(INDEX(Catálogo!A$4:A$1000,MATCH($A$1&amp;"|"&amp;32,Índice!$A$4:$A$1000,0)),"")</f>
        <v/>
      </c>
      <c r="B35" s="6" t="str">
        <f aca="false">IFERROR(INDEX(Catálogo!B$4:B$1000,MATCH($A$1&amp;"|"&amp;32,Índice!$A$4:$A$1000,0)),"")</f>
        <v/>
      </c>
      <c r="C35" s="6" t="str">
        <f aca="false">IFERROR(INDEX(Catálogo!C$4:C$1000,MATCH($A$1&amp;"|"&amp;32,Índice!$A$4:$A$1000,0)),"")</f>
        <v/>
      </c>
      <c r="D35" s="6" t="str">
        <f aca="false">IFERROR(INDEX(Catálogo!D$4:D$1000,MATCH($A$1&amp;"|"&amp;32,Índice!$A$4:$A$1000,0)),"")</f>
        <v/>
      </c>
      <c r="E35" s="6" t="str">
        <f aca="false">IFERROR(INDEX(Catálogo!E$4:E$1000,MATCH($A$1&amp;"|"&amp;32,Índice!$A$4:$A$1000,0)),"")</f>
        <v/>
      </c>
      <c r="F35" s="5" t="str">
        <f aca="false">IFERROR(INDEX(Catálogo!F$4:F$1000,MATCH($A$1&amp;"|"&amp;32,Índice!$A$4:$A$1000,0)),"")</f>
        <v/>
      </c>
      <c r="G35" s="5" t="str">
        <f aca="false">IFERROR(INDEX(Catálogo!G$4:G$1000,MATCH($A$1&amp;"|"&amp;32,Índice!$A$4:$A$1000,0)),"")</f>
        <v/>
      </c>
      <c r="H35" s="5" t="str">
        <f aca="false">IFERROR(INDEX(Catálogo!H$4:H$1000,MATCH($A$1&amp;"|"&amp;32,Índice!$A$4:$A$1000,0)),"")</f>
        <v/>
      </c>
      <c r="I35" s="6" t="str">
        <f aca="false">IFERROR(INDEX(Catálogo!I$4:I$1000,MATCH($A$1&amp;"|"&amp;32,Índice!$A$4:$A$1000,0)),"")</f>
        <v/>
      </c>
      <c r="J35" s="6" t="str">
        <f aca="false">IFERROR(INDEX(Catálogo!J$4:J$1000,MATCH($A$1&amp;"|"&amp;32,Índice!$A$4:$A$1000,0)),"")</f>
        <v/>
      </c>
      <c r="K35" s="6" t="str">
        <f aca="false">IFERROR(INDEX(Catálogo!K$4:K$1000,MATCH($A$1&amp;"|"&amp;32,Índice!$A$4:$A$1000,0)),"")</f>
        <v/>
      </c>
      <c r="L35" s="6" t="str">
        <f aca="false">IFERROR(INDEX(Catálogo!L$4:L$1000,MATCH($A$1&amp;"|"&amp;32,Índice!$A$4:$A$1000,0)),"")</f>
        <v/>
      </c>
      <c r="M35" s="7" t="str">
        <f aca="false">IFERROR(INDEX(Catálogo!M$4:M$1000,MATCH($A$1&amp;"|"&amp;32,Índice!$A$4:$A$1000,0)),"")</f>
        <v/>
      </c>
    </row>
    <row r="36" customFormat="false" ht="42" hidden="false" customHeight="true" outlineLevel="0" collapsed="false">
      <c r="A36" s="5" t="str">
        <f aca="false">IFERROR(INDEX(Catálogo!A$4:A$1000,MATCH($A$1&amp;"|"&amp;33,Índice!$A$4:$A$1000,0)),"")</f>
        <v/>
      </c>
      <c r="B36" s="6" t="str">
        <f aca="false">IFERROR(INDEX(Catálogo!B$4:B$1000,MATCH($A$1&amp;"|"&amp;33,Índice!$A$4:$A$1000,0)),"")</f>
        <v/>
      </c>
      <c r="C36" s="6" t="str">
        <f aca="false">IFERROR(INDEX(Catálogo!C$4:C$1000,MATCH($A$1&amp;"|"&amp;33,Índice!$A$4:$A$1000,0)),"")</f>
        <v/>
      </c>
      <c r="D36" s="6" t="str">
        <f aca="false">IFERROR(INDEX(Catálogo!D$4:D$1000,MATCH($A$1&amp;"|"&amp;33,Índice!$A$4:$A$1000,0)),"")</f>
        <v/>
      </c>
      <c r="E36" s="6" t="str">
        <f aca="false">IFERROR(INDEX(Catálogo!E$4:E$1000,MATCH($A$1&amp;"|"&amp;33,Índice!$A$4:$A$1000,0)),"")</f>
        <v/>
      </c>
      <c r="F36" s="5" t="str">
        <f aca="false">IFERROR(INDEX(Catálogo!F$4:F$1000,MATCH($A$1&amp;"|"&amp;33,Índice!$A$4:$A$1000,0)),"")</f>
        <v/>
      </c>
      <c r="G36" s="5" t="str">
        <f aca="false">IFERROR(INDEX(Catálogo!G$4:G$1000,MATCH($A$1&amp;"|"&amp;33,Índice!$A$4:$A$1000,0)),"")</f>
        <v/>
      </c>
      <c r="H36" s="5" t="str">
        <f aca="false">IFERROR(INDEX(Catálogo!H$4:H$1000,MATCH($A$1&amp;"|"&amp;33,Índice!$A$4:$A$1000,0)),"")</f>
        <v/>
      </c>
      <c r="I36" s="6" t="str">
        <f aca="false">IFERROR(INDEX(Catálogo!I$4:I$1000,MATCH($A$1&amp;"|"&amp;33,Índice!$A$4:$A$1000,0)),"")</f>
        <v/>
      </c>
      <c r="J36" s="6" t="str">
        <f aca="false">IFERROR(INDEX(Catálogo!J$4:J$1000,MATCH($A$1&amp;"|"&amp;33,Índice!$A$4:$A$1000,0)),"")</f>
        <v/>
      </c>
      <c r="K36" s="6" t="str">
        <f aca="false">IFERROR(INDEX(Catálogo!K$4:K$1000,MATCH($A$1&amp;"|"&amp;33,Índice!$A$4:$A$1000,0)),"")</f>
        <v/>
      </c>
      <c r="L36" s="6" t="str">
        <f aca="false">IFERROR(INDEX(Catálogo!L$4:L$1000,MATCH($A$1&amp;"|"&amp;33,Índice!$A$4:$A$1000,0)),"")</f>
        <v/>
      </c>
      <c r="M36" s="7" t="str">
        <f aca="false">IFERROR(INDEX(Catálogo!M$4:M$1000,MATCH($A$1&amp;"|"&amp;33,Índice!$A$4:$A$1000,0)),"")</f>
        <v/>
      </c>
    </row>
    <row r="37" customFormat="false" ht="42" hidden="false" customHeight="true" outlineLevel="0" collapsed="false">
      <c r="A37" s="5" t="str">
        <f aca="false">IFERROR(INDEX(Catálogo!A$4:A$1000,MATCH($A$1&amp;"|"&amp;34,Índice!$A$4:$A$1000,0)),"")</f>
        <v/>
      </c>
      <c r="B37" s="6" t="str">
        <f aca="false">IFERROR(INDEX(Catálogo!B$4:B$1000,MATCH($A$1&amp;"|"&amp;34,Índice!$A$4:$A$1000,0)),"")</f>
        <v/>
      </c>
      <c r="C37" s="6" t="str">
        <f aca="false">IFERROR(INDEX(Catálogo!C$4:C$1000,MATCH($A$1&amp;"|"&amp;34,Índice!$A$4:$A$1000,0)),"")</f>
        <v/>
      </c>
      <c r="D37" s="6" t="str">
        <f aca="false">IFERROR(INDEX(Catálogo!D$4:D$1000,MATCH($A$1&amp;"|"&amp;34,Índice!$A$4:$A$1000,0)),"")</f>
        <v/>
      </c>
      <c r="E37" s="6" t="str">
        <f aca="false">IFERROR(INDEX(Catálogo!E$4:E$1000,MATCH($A$1&amp;"|"&amp;34,Índice!$A$4:$A$1000,0)),"")</f>
        <v/>
      </c>
      <c r="F37" s="5" t="str">
        <f aca="false">IFERROR(INDEX(Catálogo!F$4:F$1000,MATCH($A$1&amp;"|"&amp;34,Índice!$A$4:$A$1000,0)),"")</f>
        <v/>
      </c>
      <c r="G37" s="5" t="str">
        <f aca="false">IFERROR(INDEX(Catálogo!G$4:G$1000,MATCH($A$1&amp;"|"&amp;34,Índice!$A$4:$A$1000,0)),"")</f>
        <v/>
      </c>
      <c r="H37" s="5" t="str">
        <f aca="false">IFERROR(INDEX(Catálogo!H$4:H$1000,MATCH($A$1&amp;"|"&amp;34,Índice!$A$4:$A$1000,0)),"")</f>
        <v/>
      </c>
      <c r="I37" s="6" t="str">
        <f aca="false">IFERROR(INDEX(Catálogo!I$4:I$1000,MATCH($A$1&amp;"|"&amp;34,Índice!$A$4:$A$1000,0)),"")</f>
        <v/>
      </c>
      <c r="J37" s="6" t="str">
        <f aca="false">IFERROR(INDEX(Catálogo!J$4:J$1000,MATCH($A$1&amp;"|"&amp;34,Índice!$A$4:$A$1000,0)),"")</f>
        <v/>
      </c>
      <c r="K37" s="6" t="str">
        <f aca="false">IFERROR(INDEX(Catálogo!K$4:K$1000,MATCH($A$1&amp;"|"&amp;34,Índice!$A$4:$A$1000,0)),"")</f>
        <v/>
      </c>
      <c r="L37" s="6" t="str">
        <f aca="false">IFERROR(INDEX(Catálogo!L$4:L$1000,MATCH($A$1&amp;"|"&amp;34,Índice!$A$4:$A$1000,0)),"")</f>
        <v/>
      </c>
      <c r="M37" s="7" t="str">
        <f aca="false">IFERROR(INDEX(Catálogo!M$4:M$1000,MATCH($A$1&amp;"|"&amp;34,Índice!$A$4:$A$1000,0)),"")</f>
        <v/>
      </c>
    </row>
  </sheetData>
  <autoFilter ref="A3:M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397</v>
      </c>
      <c r="I1" s="17" t="str">
        <f aca="false">COUNTIF(Catálogo!$C$4:$C$1000,$A$1)&amp;IF(COUNTIF(Catálogo!$C$4:$C$1000,$A$1)=1," instrumento nesta área"," instrumentos nesta área")</f>
        <v>12 instrumentos nesta área</v>
      </c>
    </row>
    <row r="2" customFormat="false" ht="15" hidden="false" customHeight="true" outlineLevel="0" collapsed="false">
      <c r="A2" s="18" t="s">
        <v>1331</v>
      </c>
      <c r="I2" s="19" t="str">
        <f aca="false">IF(COUNTIF(Catálogo!$C$4:$C$1000,$A$1)&gt;20,"⚠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56</v>
      </c>
      <c r="B4" s="6" t="str">
        <f aca="false">IFERROR(INDEX(Catálogo!B$4:B$1000,MATCH($A$1&amp;"|"&amp;1,Índice!$A$4:$A$1000,0)),"")</f>
        <v>EAFE</v>
      </c>
      <c r="C4" s="6" t="str">
        <f aca="false">IFERROR(INDEX(Catálogo!C$4:C$1000,MATCH($A$1&amp;"|"&amp;1,Índice!$A$4:$A$1000,0)),"")</f>
        <v>Escola, Motivação &amp; Aprendizagem</v>
      </c>
      <c r="D4" s="6" t="str">
        <f aca="false">IFERROR(INDEX(Catálogo!D$4:D$1000,MATCH($A$1&amp;"|"&amp;1,Índice!$A$4:$A$1000,0)),"")</f>
        <v>Paciente</v>
      </c>
      <c r="E4" s="6" t="str">
        <f aca="false">IFERROR(INDEX(Catálogo!E$4:E$1000,MATCH($A$1&amp;"|"&amp;1,Índice!$A$4:$A$1000,0)),"")</f>
        <v>8–18 anos</v>
      </c>
      <c r="F4" s="5" t="n">
        <f aca="false">IFERROR(INDEX(Catálogo!F$4:F$1000,MATCH($A$1&amp;"|"&amp;1,Índice!$A$4:$A$1000,0)),"")</f>
        <v>8</v>
      </c>
      <c r="G4" s="5" t="n">
        <f aca="false">IFERROR(INDEX(Catálogo!G$4:G$1000,MATCH($A$1&amp;"|"&amp;1,Índice!$A$4:$A$1000,0)),"")</f>
        <v>17.9</v>
      </c>
      <c r="H4" s="5" t="n">
        <f aca="false">IFERROR(INDEX(Catálogo!H$4:H$1000,MATCH($A$1&amp;"|"&amp;1,Índice!$A$4:$A$1000,0)),"")</f>
        <v>5</v>
      </c>
      <c r="I4" s="6" t="str">
        <f aca="false">IFERROR(INDEX(Catálogo!I$4:I$1000,MATCH($A$1&amp;"|"&amp;1,Índice!$A$4:$A$1000,0)),"")</f>
        <v>Entrevista de Análise Funcional do Estudo — avalia dificuldades de regulação emocional no estudo</v>
      </c>
      <c r="J4" s="6" t="str">
        <f aca="false">IFERROR(INDEX(Catálogo!J$4:J$1000,MATCH($A$1&amp;"|"&amp;1,Índice!$A$4:$A$1000,0)),"")</f>
        <v>Défice Executivo (DE); Desmotivação Reativa (DR); Evitamento Emocional (EE); Dependência de Regulação Externa (DRE); Auto-Limitação Protectora (ALP)</v>
      </c>
      <c r="K4" s="6" t="str">
        <f aca="false">IFERROR(INDEX(Catálogo!K$4:K$1000,MATCH($A$1&amp;"|"&amp;1,Índice!$A$4:$A$1000,0)),"")</f>
        <v>eafe</v>
      </c>
      <c r="L4" s="6" t="str">
        <f aca="false">IFERROR(INDEX(Catálogo!L$4:L$1000,MATCH($A$1&amp;"|"&amp;1,Índice!$A$4:$A$1000,0)),"")</f>
        <v>q_eafe</v>
      </c>
      <c r="M4" s="7" t="str">
        <f aca="false">IFERROR(INDEX(Catálogo!M$4:M$1000,MATCH($A$1&amp;"|"&amp;1,Índice!$A$4:$A$1000,0)),"")</f>
        <v>https://correiaricardina-ui.github.io/questionarios/EAFE_v2.html</v>
      </c>
    </row>
    <row r="5" customFormat="false" ht="42" hidden="false" customHeight="true" outlineLevel="0" collapsed="false">
      <c r="A5" s="5" t="n">
        <f aca="false">IFERROR(INDEX(Catálogo!A$4:A$1000,MATCH($A$1&amp;"|"&amp;2,Índice!$A$4:$A$1000,0)),"")</f>
        <v>96</v>
      </c>
      <c r="B5" s="6" t="str">
        <f aca="false">IFERROR(INDEX(Catálogo!B$4:B$1000,MATCH($A$1&amp;"|"&amp;2,Índice!$A$4:$A$1000,0)),"")</f>
        <v>MBI-SS — Escala de Burnout para Estudantes</v>
      </c>
      <c r="C5" s="6" t="str">
        <f aca="false">IFERROR(INDEX(Catálogo!C$4:C$1000,MATCH($A$1&amp;"|"&amp;2,Índice!$A$4:$A$1000,0)),"")</f>
        <v>Escola, Motivação &amp; Aprendizagem</v>
      </c>
      <c r="D5" s="6" t="str">
        <f aca="false">IFERROR(INDEX(Catálogo!D$4:D$1000,MATCH($A$1&amp;"|"&amp;2,Índice!$A$4:$A$1000,0)),"")</f>
        <v>Paciente</v>
      </c>
      <c r="E5" s="6" t="str">
        <f aca="false">IFERROR(INDEX(Catálogo!E$4:E$1000,MATCH($A$1&amp;"|"&amp;2,Índice!$A$4:$A$1000,0)),"")</f>
        <v>17+ anos</v>
      </c>
      <c r="F5" s="5" t="n">
        <f aca="false">IFERROR(INDEX(Catálogo!F$4:F$1000,MATCH($A$1&amp;"|"&amp;2,Índice!$A$4:$A$1000,0)),"")</f>
        <v>17</v>
      </c>
      <c r="G5" s="5" t="n">
        <f aca="false">IFERROR(INDEX(Catálogo!G$4:G$1000,MATCH($A$1&amp;"|"&amp;2,Índice!$A$4:$A$1000,0)),"")</f>
        <v>99</v>
      </c>
      <c r="H5" s="5" t="n">
        <f aca="false">IFERROR(INDEX(Catálogo!H$4:H$1000,MATCH($A$1&amp;"|"&amp;2,Índice!$A$4:$A$1000,0)),"")</f>
        <v>3</v>
      </c>
      <c r="I5" s="6" t="str">
        <f aca="false">IFERROR(INDEX(Catálogo!I$4:I$1000,MATCH($A$1&amp;"|"&amp;2,Índice!$A$4:$A$1000,0)),"")</f>
        <v>Avaliar burnout académico: exaustão emocional, descrença e eficácia (Maroco &amp; Tecedeiro, 2009)</v>
      </c>
      <c r="J5" s="6" t="str">
        <f aca="false">IFERROR(INDEX(Catálogo!J$4:J$1000,MATCH($A$1&amp;"|"&amp;2,Índice!$A$4:$A$1000,0)),"")</f>
        <v>Exaustão Emocional; Descrença; Eficácia Académica</v>
      </c>
      <c r="K5" s="6" t="str">
        <f aca="false">IFERROR(INDEX(Catálogo!K$4:K$1000,MATCH($A$1&amp;"|"&amp;2,Índice!$A$4:$A$1000,0)),"")</f>
        <v>mbiss</v>
      </c>
      <c r="L5" s="6" t="str">
        <f aca="false">IFERROR(INDEX(Catálogo!L$4:L$1000,MATCH($A$1&amp;"|"&amp;2,Índice!$A$4:$A$1000,0)),"")</f>
        <v>q_mbiss</v>
      </c>
      <c r="M5" s="7" t="str">
        <f aca="false">IFERROR(INDEX(Catálogo!M$4:M$1000,MATCH($A$1&amp;"|"&amp;2,Índice!$A$4:$A$1000,0)),"")</f>
        <v>https://correiaricardina-ui.github.io/questionarios/MBI-SS_v1.html</v>
      </c>
    </row>
    <row r="6" customFormat="false" ht="42" hidden="false" customHeight="true" outlineLevel="0" collapsed="false">
      <c r="A6" s="5" t="n">
        <f aca="false">IFERROR(INDEX(Catálogo!A$4:A$1000,MATCH($A$1&amp;"|"&amp;3,Índice!$A$4:$A$1000,0)),"")</f>
        <v>106</v>
      </c>
      <c r="B6" s="6" t="str">
        <f aca="false">IFERROR(INDEX(Catálogo!B$4:B$1000,MATCH($A$1&amp;"|"&amp;3,Índice!$A$4:$A$1000,0)),"")</f>
        <v>PALS — Aluno (2.º e 3.º ciclo)</v>
      </c>
      <c r="C6" s="6" t="str">
        <f aca="false">IFERROR(INDEX(Catálogo!C$4:C$1000,MATCH($A$1&amp;"|"&amp;3,Índice!$A$4:$A$1000,0)),"")</f>
        <v>Escola, Motivação &amp; Aprendizagem</v>
      </c>
      <c r="D6" s="6" t="str">
        <f aca="false">IFERROR(INDEX(Catálogo!D$4:D$1000,MATCH($A$1&amp;"|"&amp;3,Índice!$A$4:$A$1000,0)),"")</f>
        <v>Paciente</v>
      </c>
      <c r="E6" s="6" t="str">
        <f aca="false">IFERROR(INDEX(Catálogo!E$4:E$1000,MATCH($A$1&amp;"|"&amp;3,Índice!$A$4:$A$1000,0)),"")</f>
        <v>10–14 anos</v>
      </c>
      <c r="F6" s="5" t="n">
        <f aca="false">IFERROR(INDEX(Catálogo!F$4:F$1000,MATCH($A$1&amp;"|"&amp;3,Índice!$A$4:$A$1000,0)),"")</f>
        <v>10</v>
      </c>
      <c r="G6" s="5" t="n">
        <f aca="false">IFERROR(INDEX(Catálogo!G$4:G$1000,MATCH($A$1&amp;"|"&amp;3,Índice!$A$4:$A$1000,0)),"")</f>
        <v>13.9</v>
      </c>
      <c r="H6" s="5" t="n">
        <f aca="false">IFERROR(INDEX(Catálogo!H$4:H$1000,MATCH($A$1&amp;"|"&amp;3,Índice!$A$4:$A$1000,0)),"")</f>
        <v>10</v>
      </c>
      <c r="I6" s="6" t="str">
        <f aca="false">IFERROR(INDEX(Catálogo!I$4:I$1000,MATCH($A$1&amp;"|"&amp;3,Índice!$A$4:$A$1000,0)),"")</f>
        <v>Avaliar padrões adaptativos/maladaptativos de motivação académica, eficácia, estratégias e clima familiar — versão adaptada à pré-adolescência (Midgley et al., 2000)</v>
      </c>
      <c r="J6" s="6" t="str">
        <f aca="false">IFERROR(INDEX(Catálogo!J$4:J$1000,MATCH($A$1&amp;"|"&amp;3,Índice!$A$4:$A$1000,0)),"")</f>
        <v>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v>
      </c>
      <c r="K6" s="6" t="str">
        <f aca="false">IFERROR(INDEX(Catálogo!K$4:K$1000,MATCH($A$1&amp;"|"&amp;3,Índice!$A$4:$A$1000,0)),"")</f>
        <v>palsstudent23c</v>
      </c>
      <c r="L6" s="6" t="str">
        <f aca="false">IFERROR(INDEX(Catálogo!L$4:L$1000,MATCH($A$1&amp;"|"&amp;3,Índice!$A$4:$A$1000,0)),"")</f>
        <v>q_pals_student_23c</v>
      </c>
      <c r="M6" s="7" t="str">
        <f aca="false">IFERROR(INDEX(Catálogo!M$4:M$1000,MATCH($A$1&amp;"|"&amp;3,Índice!$A$4:$A$1000,0)),"")</f>
        <v>https://correiaricardina-ui.github.io/questionarios/PALS_Student_2-3ciclo_v1.html</v>
      </c>
    </row>
    <row r="7" customFormat="false" ht="42" hidden="false" customHeight="true" outlineLevel="0" collapsed="false">
      <c r="A7" s="5" t="n">
        <f aca="false">IFERROR(INDEX(Catálogo!A$4:A$1000,MATCH($A$1&amp;"|"&amp;4,Índice!$A$4:$A$1000,0)),"")</f>
        <v>107</v>
      </c>
      <c r="B7" s="6" t="str">
        <f aca="false">IFERROR(INDEX(Catálogo!B$4:B$1000,MATCH($A$1&amp;"|"&amp;4,Índice!$A$4:$A$1000,0)),"")</f>
        <v>PALS — Aluno (Secundário)</v>
      </c>
      <c r="C7" s="6" t="str">
        <f aca="false">IFERROR(INDEX(Catálogo!C$4:C$1000,MATCH($A$1&amp;"|"&amp;4,Índice!$A$4:$A$1000,0)),"")</f>
        <v>Escola, Motivação &amp; Aprendizagem</v>
      </c>
      <c r="D7" s="6" t="str">
        <f aca="false">IFERROR(INDEX(Catálogo!D$4:D$1000,MATCH($A$1&amp;"|"&amp;4,Índice!$A$4:$A$1000,0)),"")</f>
        <v>Paciente</v>
      </c>
      <c r="E7" s="6" t="str">
        <f aca="false">IFERROR(INDEX(Catálogo!E$4:E$1000,MATCH($A$1&amp;"|"&amp;4,Índice!$A$4:$A$1000,0)),"")</f>
        <v>14–18 anos</v>
      </c>
      <c r="F7" s="5" t="n">
        <f aca="false">IFERROR(INDEX(Catálogo!F$4:F$1000,MATCH($A$1&amp;"|"&amp;4,Índice!$A$4:$A$1000,0)),"")</f>
        <v>14</v>
      </c>
      <c r="G7" s="5" t="n">
        <f aca="false">IFERROR(INDEX(Catálogo!G$4:G$1000,MATCH($A$1&amp;"|"&amp;4,Índice!$A$4:$A$1000,0)),"")</f>
        <v>17.9</v>
      </c>
      <c r="H7" s="5" t="n">
        <f aca="false">IFERROR(INDEX(Catálogo!H$4:H$1000,MATCH($A$1&amp;"|"&amp;4,Índice!$A$4:$A$1000,0)),"")</f>
        <v>11</v>
      </c>
      <c r="I7" s="6" t="str">
        <f aca="false">IFERROR(INDEX(Catálogo!I$4:I$1000,MATCH($A$1&amp;"|"&amp;4,Índice!$A$4:$A$1000,0)),"")</f>
        <v>Avaliar padrões adaptativos/maladaptativos de motivação académica, eficácia, estratégias e clima familiar — inclui foco vocacional (Midgley et al., 2000)</v>
      </c>
      <c r="J7" s="6" t="str">
        <f aca="false">IFERROR(INDEX(Catálogo!J$4:J$1000,MATCH($A$1&amp;"|"&amp;4,Índice!$A$4:$A$1000,0)),"")</f>
        <v>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v>
      </c>
      <c r="K7" s="6" t="str">
        <f aca="false">IFERROR(INDEX(Catálogo!K$4:K$1000,MATCH($A$1&amp;"|"&amp;4,Índice!$A$4:$A$1000,0)),"")</f>
        <v>palsstudentsec</v>
      </c>
      <c r="L7" s="6" t="str">
        <f aca="false">IFERROR(INDEX(Catálogo!L$4:L$1000,MATCH($A$1&amp;"|"&amp;4,Índice!$A$4:$A$1000,0)),"")</f>
        <v>q_pals_student_sec</v>
      </c>
      <c r="M7" s="7" t="str">
        <f aca="false">IFERROR(INDEX(Catálogo!M$4:M$1000,MATCH($A$1&amp;"|"&amp;4,Índice!$A$4:$A$1000,0)),"")</f>
        <v>https://correiaricardina-ui.github.io/questionarios/PALS_Student_Secundario_v1.html</v>
      </c>
    </row>
    <row r="8" customFormat="false" ht="42" hidden="false" customHeight="true" outlineLevel="0" collapsed="false">
      <c r="A8" s="5" t="n">
        <f aca="false">IFERROR(INDEX(Catálogo!A$4:A$1000,MATCH($A$1&amp;"|"&amp;5,Índice!$A$4:$A$1000,0)),"")</f>
        <v>108</v>
      </c>
      <c r="B8" s="6" t="str">
        <f aca="false">IFERROR(INDEX(Catálogo!B$4:B$1000,MATCH($A$1&amp;"|"&amp;5,Índice!$A$4:$A$1000,0)),"")</f>
        <v>PALS — Aluno 2.º/3.º Ciclo (Reduzido)</v>
      </c>
      <c r="C8" s="6" t="str">
        <f aca="false">IFERROR(INDEX(Catálogo!C$4:C$1000,MATCH($A$1&amp;"|"&amp;5,Índice!$A$4:$A$1000,0)),"")</f>
        <v>Escola, Motivação &amp; Aprendizagem</v>
      </c>
      <c r="D8" s="6" t="str">
        <f aca="false">IFERROR(INDEX(Catálogo!D$4:D$1000,MATCH($A$1&amp;"|"&amp;5,Índice!$A$4:$A$1000,0)),"")</f>
        <v>Paciente</v>
      </c>
      <c r="E8" s="6" t="str">
        <f aca="false">IFERROR(INDEX(Catálogo!E$4:E$1000,MATCH($A$1&amp;"|"&amp;5,Índice!$A$4:$A$1000,0)),"")</f>
        <v>10–14 anos</v>
      </c>
      <c r="F8" s="5" t="n">
        <f aca="false">IFERROR(INDEX(Catálogo!F$4:F$1000,MATCH($A$1&amp;"|"&amp;5,Índice!$A$4:$A$1000,0)),"")</f>
        <v>10</v>
      </c>
      <c r="G8" s="5" t="n">
        <f aca="false">IFERROR(INDEX(Catálogo!G$4:G$1000,MATCH($A$1&amp;"|"&amp;5,Índice!$A$4:$A$1000,0)),"")</f>
        <v>13.9</v>
      </c>
      <c r="H8" s="5" t="n">
        <f aca="false">IFERROR(INDEX(Catálogo!H$4:H$1000,MATCH($A$1&amp;"|"&amp;5,Índice!$A$4:$A$1000,0)),"")</f>
        <v>10</v>
      </c>
      <c r="I8" s="6" t="str">
        <f aca="false">IFERROR(INDEX(Catálogo!I$4:I$1000,MATCH($A$1&amp;"|"&amp;5,Índice!$A$4:$A$1000,0)),"")</f>
        <v>Versão breve (46 itens) do PALS Aluno 2.º/3.º ciclo — mesmas 18 subescalas, 5 índices e 7 perfis da versão completa, linguagem adaptada à pré-adolescência (Midgley et al., 2000)</v>
      </c>
      <c r="J8" s="6" t="str">
        <f aca="false">IFERROR(INDEX(Catálogo!J$4:J$1000,MATCH($A$1&amp;"|"&amp;5,Índice!$A$4:$A$1000,0)),"")</f>
        <v>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v>
      </c>
      <c r="K8" s="6" t="str">
        <f aca="false">IFERROR(INDEX(Catálogo!K$4:K$1000,MATCH($A$1&amp;"|"&amp;5,Índice!$A$4:$A$1000,0)),"")</f>
        <v>palsstudent23cred</v>
      </c>
      <c r="L8" s="6" t="str">
        <f aca="false">IFERROR(INDEX(Catálogo!L$4:L$1000,MATCH($A$1&amp;"|"&amp;5,Índice!$A$4:$A$1000,0)),"")</f>
        <v>q_pals_student_23c_red</v>
      </c>
      <c r="M8" s="7" t="str">
        <f aca="false">IFERROR(INDEX(Catálogo!M$4:M$1000,MATCH($A$1&amp;"|"&amp;5,Índice!$A$4:$A$1000,0)),"")</f>
        <v>https://correiaricardina-ui.github.io/questionarios/PALS_Student_2-3ciclo_Reduzido_v1.html</v>
      </c>
    </row>
    <row r="9" customFormat="false" ht="42" hidden="false" customHeight="true" outlineLevel="0" collapsed="false">
      <c r="A9" s="5" t="n">
        <f aca="false">IFERROR(INDEX(Catálogo!A$4:A$1000,MATCH($A$1&amp;"|"&amp;6,Índice!$A$4:$A$1000,0)),"")</f>
        <v>109</v>
      </c>
      <c r="B9" s="6" t="str">
        <f aca="false">IFERROR(INDEX(Catálogo!B$4:B$1000,MATCH($A$1&amp;"|"&amp;6,Índice!$A$4:$A$1000,0)),"")</f>
        <v>PALS — Aluno Secundário (Reduzido)</v>
      </c>
      <c r="C9" s="6" t="str">
        <f aca="false">IFERROR(INDEX(Catálogo!C$4:C$1000,MATCH($A$1&amp;"|"&amp;6,Índice!$A$4:$A$1000,0)),"")</f>
        <v>Escola, Motivação &amp; Aprendizagem</v>
      </c>
      <c r="D9" s="6" t="str">
        <f aca="false">IFERROR(INDEX(Catálogo!D$4:D$1000,MATCH($A$1&amp;"|"&amp;6,Índice!$A$4:$A$1000,0)),"")</f>
        <v>Paciente</v>
      </c>
      <c r="E9" s="6" t="str">
        <f aca="false">IFERROR(INDEX(Catálogo!E$4:E$1000,MATCH($A$1&amp;"|"&amp;6,Índice!$A$4:$A$1000,0)),"")</f>
        <v>14–18 anos</v>
      </c>
      <c r="F9" s="5" t="n">
        <f aca="false">IFERROR(INDEX(Catálogo!F$4:F$1000,MATCH($A$1&amp;"|"&amp;6,Índice!$A$4:$A$1000,0)),"")</f>
        <v>14</v>
      </c>
      <c r="G9" s="5" t="n">
        <f aca="false">IFERROR(INDEX(Catálogo!G$4:G$1000,MATCH($A$1&amp;"|"&amp;6,Índice!$A$4:$A$1000,0)),"")</f>
        <v>17.9</v>
      </c>
      <c r="H9" s="5" t="n">
        <f aca="false">IFERROR(INDEX(Catálogo!H$4:H$1000,MATCH($A$1&amp;"|"&amp;6,Índice!$A$4:$A$1000,0)),"")</f>
        <v>11</v>
      </c>
      <c r="I9" s="6" t="str">
        <f aca="false">IFERROR(INDEX(Catálogo!I$4:I$1000,MATCH($A$1&amp;"|"&amp;6,Índice!$A$4:$A$1000,0)),"")</f>
        <v>Versão breve (46 itens) do PALS Aluno Secundário — mesmas 18 subescalas, 5 índices e 8 perfis da versão completa, inclui foco vocacional (Midgley et al., 2000)</v>
      </c>
      <c r="J9" s="6" t="str">
        <f aca="false">IFERROR(INDEX(Catálogo!J$4:J$1000,MATCH($A$1&amp;"|"&amp;6,Índice!$A$4:$A$1000,0)),"")</f>
        <v>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v>
      </c>
      <c r="K9" s="6" t="str">
        <f aca="false">IFERROR(INDEX(Catálogo!K$4:K$1000,MATCH($A$1&amp;"|"&amp;6,Índice!$A$4:$A$1000,0)),"")</f>
        <v>palsstudentsecred</v>
      </c>
      <c r="L9" s="6" t="str">
        <f aca="false">IFERROR(INDEX(Catálogo!L$4:L$1000,MATCH($A$1&amp;"|"&amp;6,Índice!$A$4:$A$1000,0)),"")</f>
        <v>q_pals_student_sec_red</v>
      </c>
      <c r="M9" s="7" t="str">
        <f aca="false">IFERROR(INDEX(Catálogo!M$4:M$1000,MATCH($A$1&amp;"|"&amp;6,Índice!$A$4:$A$1000,0)),"")</f>
        <v>https://correiaricardina-ui.github.io/questionarios/PALS_Student_Secundario_Reduzido_v1.html</v>
      </c>
    </row>
    <row r="10" customFormat="false" ht="42" hidden="false" customHeight="true" outlineLevel="0" collapsed="false">
      <c r="A10" s="5" t="n">
        <f aca="false">IFERROR(INDEX(Catálogo!A$4:A$1000,MATCH($A$1&amp;"|"&amp;7,Índice!$A$4:$A$1000,0)),"")</f>
        <v>110</v>
      </c>
      <c r="B10" s="6" t="str">
        <f aca="false">IFERROR(INDEX(Catálogo!B$4:B$1000,MATCH($A$1&amp;"|"&amp;7,Índice!$A$4:$A$1000,0)),"")</f>
        <v>PALS — Parent</v>
      </c>
      <c r="C10" s="6" t="str">
        <f aca="false">IFERROR(INDEX(Catálogo!C$4:C$1000,MATCH($A$1&amp;"|"&amp;7,Índice!$A$4:$A$1000,0)),"")</f>
        <v>Escola, Motivação &amp; Aprendizagem</v>
      </c>
      <c r="D10" s="6" t="str">
        <f aca="false">IFERROR(INDEX(Catálogo!D$4:D$1000,MATCH($A$1&amp;"|"&amp;7,Índice!$A$4:$A$1000,0)),"")</f>
        <v>Mãe, Pai, Enc. Educação</v>
      </c>
      <c r="E10" s="6" t="str">
        <f aca="false">IFERROR(INDEX(Catálogo!E$4:E$1000,MATCH($A$1&amp;"|"&amp;7,Índice!$A$4:$A$1000,0)),"")</f>
        <v>6–18 anos</v>
      </c>
      <c r="F10" s="5" t="n">
        <f aca="false">IFERROR(INDEX(Catálogo!F$4:F$1000,MATCH($A$1&amp;"|"&amp;7,Índice!$A$4:$A$1000,0)),"")</f>
        <v>6</v>
      </c>
      <c r="G10" s="5" t="n">
        <f aca="false">IFERROR(INDEX(Catálogo!G$4:G$1000,MATCH($A$1&amp;"|"&amp;7,Índice!$A$4:$A$1000,0)),"")</f>
        <v>17.9</v>
      </c>
      <c r="H10" s="5" t="n">
        <f aca="false">IFERROR(INDEX(Catálogo!H$4:H$1000,MATCH($A$1&amp;"|"&amp;7,Índice!$A$4:$A$1000,0)),"")</f>
        <v>15</v>
      </c>
      <c r="I10" s="6" t="str">
        <f aca="false">IFERROR(INDEX(Catálogo!I$4:I$1000,MATCH($A$1&amp;"|"&amp;7,Índice!$A$4:$A$1000,0)),"")</f>
        <v>Mapear orientações motivacionais parentais, pressão academica e clima familiar de eficácia/afeto face à escola (Midgley et al., 2000)</v>
      </c>
      <c r="J10" s="6" t="str">
        <f aca="false">IFERROR(INDEX(Catálogo!J$4:J$1000,MATCH($A$1&amp;"|"&amp;7,Índice!$A$4:$A$1000,0)),"")</f>
        <v>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v>
      </c>
      <c r="K10" s="6" t="str">
        <f aca="false">IFERROR(INDEX(Catálogo!K$4:K$1000,MATCH($A$1&amp;"|"&amp;7,Índice!$A$4:$A$1000,0)),"")</f>
        <v>palsparent</v>
      </c>
      <c r="L10" s="6" t="str">
        <f aca="false">IFERROR(INDEX(Catálogo!L$4:L$1000,MATCH($A$1&amp;"|"&amp;7,Índice!$A$4:$A$1000,0)),"")</f>
        <v>q_pals_parent</v>
      </c>
      <c r="M10" s="7" t="str">
        <f aca="false">IFERROR(INDEX(Catálogo!M$4:M$1000,MATCH($A$1&amp;"|"&amp;7,Índice!$A$4:$A$1000,0)),"")</f>
        <v>https://correiaricardina-ui.github.io/questionarios/PALS_Parent_v1.html</v>
      </c>
    </row>
    <row r="11" customFormat="false" ht="42" hidden="false" customHeight="true" outlineLevel="0" collapsed="false">
      <c r="A11" s="5" t="n">
        <f aca="false">IFERROR(INDEX(Catálogo!A$4:A$1000,MATCH($A$1&amp;"|"&amp;8,Índice!$A$4:$A$1000,0)),"")</f>
        <v>111</v>
      </c>
      <c r="B11" s="6" t="str">
        <f aca="false">IFERROR(INDEX(Catálogo!B$4:B$1000,MATCH($A$1&amp;"|"&amp;8,Índice!$A$4:$A$1000,0)),"")</f>
        <v>PALS — Parent (Reduzido)</v>
      </c>
      <c r="C11" s="6" t="str">
        <f aca="false">IFERROR(INDEX(Catálogo!C$4:C$1000,MATCH($A$1&amp;"|"&amp;8,Índice!$A$4:$A$1000,0)),"")</f>
        <v>Escola, Motivação &amp; Aprendizagem</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15</v>
      </c>
      <c r="I11" s="6" t="str">
        <f aca="false">IFERROR(INDEX(Catálogo!I$4:I$1000,MATCH($A$1&amp;"|"&amp;8,Índice!$A$4:$A$1000,0)),"")</f>
        <v>Versão breve (21 itens) do PALS Parent — mesmas 8 subescalas, 9 índices clínicos e 7 perfis da versão completa, com menor tempo de administração (Midgley et al., 2000)</v>
      </c>
      <c r="J11" s="6" t="str">
        <f aca="false">IFERROR(INDEX(Catálogo!J$4:J$1000,MATCH($A$1&amp;"|"&amp;8,Índice!$A$4:$A$1000,0)),"")</f>
        <v>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v>
      </c>
      <c r="K11" s="6" t="str">
        <f aca="false">IFERROR(INDEX(Catálogo!K$4:K$1000,MATCH($A$1&amp;"|"&amp;8,Índice!$A$4:$A$1000,0)),"")</f>
        <v>palsparentred</v>
      </c>
      <c r="L11" s="6" t="str">
        <f aca="false">IFERROR(INDEX(Catálogo!L$4:L$1000,MATCH($A$1&amp;"|"&amp;8,Índice!$A$4:$A$1000,0)),"")</f>
        <v>q_pals_parent_red</v>
      </c>
      <c r="M11" s="7" t="str">
        <f aca="false">IFERROR(INDEX(Catálogo!M$4:M$1000,MATCH($A$1&amp;"|"&amp;8,Índice!$A$4:$A$1000,0)),"")</f>
        <v>https://correiaricardina-ui.github.io/questionarios/PALS_Parent_Reduzido_v1.html</v>
      </c>
    </row>
    <row r="12" customFormat="false" ht="42" hidden="false" customHeight="true" outlineLevel="0" collapsed="false">
      <c r="A12" s="5" t="n">
        <f aca="false">IFERROR(INDEX(Catálogo!A$4:A$1000,MATCH($A$1&amp;"|"&amp;9,Índice!$A$4:$A$1000,0)),"")</f>
        <v>112</v>
      </c>
      <c r="B12" s="6" t="str">
        <f aca="false">IFERROR(INDEX(Catálogo!B$4:B$1000,MATCH($A$1&amp;"|"&amp;9,Índice!$A$4:$A$1000,0)),"")</f>
        <v>PALS — Teacher</v>
      </c>
      <c r="C12" s="6" t="str">
        <f aca="false">IFERROR(INDEX(Catálogo!C$4:C$1000,MATCH($A$1&amp;"|"&amp;9,Índice!$A$4:$A$1000,0)),"")</f>
        <v>Escola, Motivação &amp; Aprendizagem</v>
      </c>
      <c r="D12" s="6" t="str">
        <f aca="false">IFERROR(INDEX(Catálogo!D$4:D$1000,MATCH($A$1&amp;"|"&amp;9,Índice!$A$4:$A$1000,0)),"")</f>
        <v>Professor(a)</v>
      </c>
      <c r="E12" s="6" t="str">
        <f aca="false">IFERROR(INDEX(Catálogo!E$4:E$1000,MATCH($A$1&amp;"|"&amp;9,Índice!$A$4:$A$1000,0)),"")</f>
        <v>6–18 anos</v>
      </c>
      <c r="F12" s="5" t="n">
        <f aca="false">IFERROR(INDEX(Catálogo!F$4:F$1000,MATCH($A$1&amp;"|"&amp;9,Índice!$A$4:$A$1000,0)),"")</f>
        <v>6</v>
      </c>
      <c r="G12" s="5" t="n">
        <f aca="false">IFERROR(INDEX(Catálogo!G$4:G$1000,MATCH($A$1&amp;"|"&amp;9,Índice!$A$4:$A$1000,0)),"")</f>
        <v>17.9</v>
      </c>
      <c r="H12" s="5" t="n">
        <f aca="false">IFERROR(INDEX(Catálogo!H$4:H$1000,MATCH($A$1&amp;"|"&amp;9,Índice!$A$4:$A$1000,0)),"")</f>
        <v>11</v>
      </c>
      <c r="I12" s="6" t="str">
        <f aca="false">IFERROR(INDEX(Catálogo!I$4:I$1000,MATCH($A$1&amp;"|"&amp;9,Índice!$A$4:$A$1000,0)),"")</f>
        <v>Mapear estruturas de meta da sala, abordagens à instrução e eficácia/afeto docente (Midgley et al., 2000)</v>
      </c>
      <c r="J12" s="6" t="str">
        <f aca="false">IFERROR(INDEX(Catálogo!J$4:J$1000,MATCH($A$1&amp;"|"&amp;9,Índice!$A$4:$A$1000,0)),"")</f>
        <v>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v>
      </c>
      <c r="K12" s="6" t="str">
        <f aca="false">IFERROR(INDEX(Catálogo!K$4:K$1000,MATCH($A$1&amp;"|"&amp;9,Índice!$A$4:$A$1000,0)),"")</f>
        <v>palsteacher</v>
      </c>
      <c r="L12" s="6" t="str">
        <f aca="false">IFERROR(INDEX(Catálogo!L$4:L$1000,MATCH($A$1&amp;"|"&amp;9,Índice!$A$4:$A$1000,0)),"")</f>
        <v>q_pals_teacher</v>
      </c>
      <c r="M12" s="7" t="str">
        <f aca="false">IFERROR(INDEX(Catálogo!M$4:M$1000,MATCH($A$1&amp;"|"&amp;9,Índice!$A$4:$A$1000,0)),"")</f>
        <v>https://correiaricardina-ui.github.io/questionarios/PALS_Teacher_v1.html</v>
      </c>
    </row>
    <row r="13" customFormat="false" ht="42" hidden="false" customHeight="true" outlineLevel="0" collapsed="false">
      <c r="A13" s="5" t="n">
        <f aca="false">IFERROR(INDEX(Catálogo!A$4:A$1000,MATCH($A$1&amp;"|"&amp;10,Índice!$A$4:$A$1000,0)),"")</f>
        <v>113</v>
      </c>
      <c r="B13" s="6" t="str">
        <f aca="false">IFERROR(INDEX(Catálogo!B$4:B$1000,MATCH($A$1&amp;"|"&amp;10,Índice!$A$4:$A$1000,0)),"")</f>
        <v>PALS — Teacher (Reduzido)</v>
      </c>
      <c r="C13" s="6" t="str">
        <f aca="false">IFERROR(INDEX(Catálogo!C$4:C$1000,MATCH($A$1&amp;"|"&amp;10,Índice!$A$4:$A$1000,0)),"")</f>
        <v>Escola, Motivação &amp; Aprendizagem</v>
      </c>
      <c r="D13" s="6" t="str">
        <f aca="false">IFERROR(INDEX(Catálogo!D$4:D$1000,MATCH($A$1&amp;"|"&amp;10,Índice!$A$4:$A$1000,0)),"")</f>
        <v>Professor(a)</v>
      </c>
      <c r="E13" s="6" t="str">
        <f aca="false">IFERROR(INDEX(Catálogo!E$4:E$1000,MATCH($A$1&amp;"|"&amp;10,Índice!$A$4:$A$1000,0)),"")</f>
        <v>6–18 anos</v>
      </c>
      <c r="F13" s="5" t="n">
        <f aca="false">IFERROR(INDEX(Catálogo!F$4:F$1000,MATCH($A$1&amp;"|"&amp;10,Índice!$A$4:$A$1000,0)),"")</f>
        <v>6</v>
      </c>
      <c r="G13" s="5" t="n">
        <f aca="false">IFERROR(INDEX(Catálogo!G$4:G$1000,MATCH($A$1&amp;"|"&amp;10,Índice!$A$4:$A$1000,0)),"")</f>
        <v>17.9</v>
      </c>
      <c r="H13" s="5" t="n">
        <f aca="false">IFERROR(INDEX(Catálogo!H$4:H$1000,MATCH($A$1&amp;"|"&amp;10,Índice!$A$4:$A$1000,0)),"")</f>
        <v>11</v>
      </c>
      <c r="I13" s="6" t="str">
        <f aca="false">IFERROR(INDEX(Catálogo!I$4:I$1000,MATCH($A$1&amp;"|"&amp;10,Índice!$A$4:$A$1000,0)),"")</f>
        <v>Versão breve (20 itens) do PALS Teacher — mesmas 7 subescalas, 5 índices e 6 perfis da versão completa (Midgley et al., 2000)</v>
      </c>
      <c r="J13" s="6" t="str">
        <f aca="false">IFERROR(INDEX(Catálogo!J$4:J$1000,MATCH($A$1&amp;"|"&amp;10,Índice!$A$4:$A$1000,0)),"")</f>
        <v>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v>
      </c>
      <c r="K13" s="6" t="str">
        <f aca="false">IFERROR(INDEX(Catálogo!K$4:K$1000,MATCH($A$1&amp;"|"&amp;10,Índice!$A$4:$A$1000,0)),"")</f>
        <v>palsteacherred</v>
      </c>
      <c r="L13" s="6" t="str">
        <f aca="false">IFERROR(INDEX(Catálogo!L$4:L$1000,MATCH($A$1&amp;"|"&amp;10,Índice!$A$4:$A$1000,0)),"")</f>
        <v>q_pals_teacher_red</v>
      </c>
      <c r="M13" s="7" t="str">
        <f aca="false">IFERROR(INDEX(Catálogo!M$4:M$1000,MATCH($A$1&amp;"|"&amp;10,Índice!$A$4:$A$1000,0)),"")</f>
        <v>https://correiaricardina-ui.github.io/questionarios/PALS_Teacher_Reduzido_v1.html</v>
      </c>
    </row>
    <row r="14" customFormat="false" ht="42" hidden="false" customHeight="true" outlineLevel="0" collapsed="false">
      <c r="A14" s="5" t="n">
        <f aca="false">IFERROR(INDEX(Catálogo!A$4:A$1000,MATCH($A$1&amp;"|"&amp;11,Índice!$A$4:$A$1000,0)),"")</f>
        <v>136</v>
      </c>
      <c r="B14" s="6" t="str">
        <f aca="false">IFERROR(INDEX(Catálogo!B$4:B$1000,MATCH($A$1&amp;"|"&amp;11,Índice!$A$4:$A$1000,0)),"")</f>
        <v>SEQ-C — Autoeficácia para Crianças</v>
      </c>
      <c r="C14" s="6" t="str">
        <f aca="false">IFERROR(INDEX(Catálogo!C$4:C$1000,MATCH($A$1&amp;"|"&amp;11,Índice!$A$4:$A$1000,0)),"")</f>
        <v>Escola, Motivação &amp; Aprendizagem</v>
      </c>
      <c r="D14" s="6" t="str">
        <f aca="false">IFERROR(INDEX(Catálogo!D$4:D$1000,MATCH($A$1&amp;"|"&amp;11,Índice!$A$4:$A$1000,0)),"")</f>
        <v>Paciente, Jovem avaliado</v>
      </c>
      <c r="E14" s="6" t="str">
        <f aca="false">IFERROR(INDEX(Catálogo!E$4:E$1000,MATCH($A$1&amp;"|"&amp;11,Índice!$A$4:$A$1000,0)),"")</f>
        <v>7.º–12.º ano</v>
      </c>
      <c r="F14" s="5" t="n">
        <f aca="false">IFERROR(INDEX(Catálogo!F$4:F$1000,MATCH($A$1&amp;"|"&amp;11,Índice!$A$4:$A$1000,0)),"")</f>
        <v>11</v>
      </c>
      <c r="G14" s="5" t="n">
        <f aca="false">IFERROR(INDEX(Catálogo!G$4:G$1000,MATCH($A$1&amp;"|"&amp;11,Índice!$A$4:$A$1000,0)),"")</f>
        <v>17.9</v>
      </c>
      <c r="H14" s="5" t="n">
        <f aca="false">IFERROR(INDEX(Catálogo!H$4:H$1000,MATCH($A$1&amp;"|"&amp;11,Índice!$A$4:$A$1000,0)),"")</f>
        <v>4</v>
      </c>
      <c r="I14" s="6" t="str">
        <f aca="false">IFERROR(INDEX(Catálogo!I$4:I$1000,MATCH($A$1&amp;"|"&amp;11,Índice!$A$4:$A$1000,0)),"")</f>
        <v>Avalia crenças de autoeficácia em três domínios: académico, social e emocional (Nogueira, 2003)</v>
      </c>
      <c r="J14" s="6" t="str">
        <f aca="false">IFERROR(INDEX(Catálogo!J$4:J$1000,MATCH($A$1&amp;"|"&amp;11,Índice!$A$4:$A$1000,0)),"")</f>
        <v>AE Académica; AE Social; AE Emocional; AE Global</v>
      </c>
      <c r="K14" s="6" t="str">
        <f aca="false">IFERROR(INDEX(Catálogo!K$4:K$1000,MATCH($A$1&amp;"|"&amp;11,Índice!$A$4:$A$1000,0)),"")</f>
        <v>seqc</v>
      </c>
      <c r="L14" s="6" t="str">
        <f aca="false">IFERROR(INDEX(Catálogo!L$4:L$1000,MATCH($A$1&amp;"|"&amp;11,Índice!$A$4:$A$1000,0)),"")</f>
        <v>q_seqc</v>
      </c>
      <c r="M14" s="7" t="str">
        <f aca="false">IFERROR(INDEX(Catálogo!M$4:M$1000,MATCH($A$1&amp;"|"&amp;11,Índice!$A$4:$A$1000,0)),"")</f>
        <v>https://correiaricardina-ui.github.io/questionarios/SEQC_v2.html</v>
      </c>
    </row>
    <row r="15" customFormat="false" ht="42" hidden="false" customHeight="true" outlineLevel="0" collapsed="false">
      <c r="A15" s="5" t="n">
        <f aca="false">IFERROR(INDEX(Catálogo!A$4:A$1000,MATCH($A$1&amp;"|"&amp;12,Índice!$A$4:$A$1000,0)),"")</f>
        <v>138</v>
      </c>
      <c r="B15" s="6" t="str">
        <f aca="false">IFERROR(INDEX(Catálogo!B$4:B$1000,MATCH($A$1&amp;"|"&amp;12,Índice!$A$4:$A$1000,0)),"")</f>
        <v>Sociograma · Mapa Social</v>
      </c>
      <c r="C15" s="6" t="str">
        <f aca="false">IFERROR(INDEX(Catálogo!C$4:C$1000,MATCH($A$1&amp;"|"&amp;12,Índice!$A$4:$A$1000,0)),"")</f>
        <v>Escola, Motivação &amp; Aprendizagem</v>
      </c>
      <c r="D15" s="6" t="str">
        <f aca="false">IFERROR(INDEX(Catálogo!D$4:D$1000,MATCH($A$1&amp;"|"&amp;12,Índice!$A$4:$A$1000,0)),"")</f>
        <v>Criança/Adolescente, Pais, Mãe, Pai, Enc. Educação, Professor, Diretor de Turma</v>
      </c>
      <c r="E15" s="6" t="str">
        <f aca="false">IFERROR(INDEX(Catálogo!E$4:E$1000,MATCH($A$1&amp;"|"&amp;12,Índice!$A$4:$A$1000,0)),"")</f>
        <v>6–18 anos</v>
      </c>
      <c r="F15" s="5" t="n">
        <f aca="false">IFERROR(INDEX(Catálogo!F$4:F$1000,MATCH($A$1&amp;"|"&amp;12,Índice!$A$4:$A$1000,0)),"")</f>
        <v>6</v>
      </c>
      <c r="G15" s="5" t="n">
        <f aca="false">IFERROR(INDEX(Catálogo!G$4:G$1000,MATCH($A$1&amp;"|"&amp;12,Índice!$A$4:$A$1000,0)),"")</f>
        <v>17.9</v>
      </c>
      <c r="H15" s="5" t="n">
        <f aca="false">IFERROR(INDEX(Catálogo!H$4:H$1000,MATCH($A$1&amp;"|"&amp;12,Índice!$A$4:$A$1000,0)),"")</f>
        <v>6</v>
      </c>
      <c r="I15" s="6" t="str">
        <f aca="false">IFERROR(INDEX(Catálogo!I$4:I$1000,MATCH($A$1&amp;"|"&amp;12,Índice!$A$4:$A$1000,0)),"")</f>
        <v>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v>
      </c>
      <c r="J15" s="6" t="str">
        <f aca="false">IFERROR(INDEX(Catálogo!J$4:J$1000,MATCH($A$1&amp;"|"&amp;12,Índice!$A$4:$A$1000,0)),"")</f>
        <v>Apoio emocional; Pertença e escolha mútua; Distância/Exclusão; Self vs Other; Mapa ecológico; Adultos de referência</v>
      </c>
      <c r="K15" s="6" t="str">
        <f aca="false">IFERROR(INDEX(Catálogo!K$4:K$1000,MATCH($A$1&amp;"|"&amp;12,Índice!$A$4:$A$1000,0)),"")</f>
        <v>sociograma</v>
      </c>
      <c r="L15" s="6" t="str">
        <f aca="false">IFERROR(INDEX(Catálogo!L$4:L$1000,MATCH($A$1&amp;"|"&amp;12,Índice!$A$4:$A$1000,0)),"")</f>
        <v>q_sociograma</v>
      </c>
      <c r="M15" s="7" t="str">
        <f aca="false">IFERROR(INDEX(Catálogo!M$4:M$1000,MATCH($A$1&amp;"|"&amp;12,Índice!$A$4:$A$1000,0)),"")</f>
        <v>https://correiaricardina-ui.github.io/questionarios/SOCIOGRAMA_RC_v1.html</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sheetData>
  <autoFilter ref="A3:M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424</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60</v>
      </c>
      <c r="B4" s="6" t="str">
        <f aca="false">IFERROR(INDEX(Catálogo!B$4:B$1000,MATCH($A$1&amp;"|"&amp;1,Índice!$A$4:$A$1000,0)),"")</f>
        <v>EMP-F — Perfecionismo (Frost)</v>
      </c>
      <c r="C4" s="6" t="str">
        <f aca="false">IFERROR(INDEX(Catálogo!C$4:C$1000,MATCH($A$1&amp;"|"&amp;1,Índice!$A$4:$A$1000,0)),"")</f>
        <v>Personalidade &amp; Esquemas</v>
      </c>
      <c r="D4" s="6" t="str">
        <f aca="false">IFERROR(INDEX(Catálogo!D$4:D$1000,MATCH($A$1&amp;"|"&amp;1,Índice!$A$4:$A$1000,0)),"")</f>
        <v>Paciente, Jovem avaliado</v>
      </c>
      <c r="E4" s="6" t="str">
        <f aca="false">IFERROR(INDEX(Catálogo!E$4:E$1000,MATCH($A$1&amp;"|"&amp;1,Índice!$A$4:$A$1000,0)),"")</f>
        <v>Adolescentes / Adultos (≥ 12 anos)</v>
      </c>
      <c r="F4" s="5" t="n">
        <f aca="false">IFERROR(INDEX(Catálogo!F$4:F$1000,MATCH($A$1&amp;"|"&amp;1,Índice!$A$4:$A$1000,0)),"")</f>
        <v>12</v>
      </c>
      <c r="G4" s="5" t="n">
        <f aca="false">IFERROR(INDEX(Catálogo!G$4:G$1000,MATCH($A$1&amp;"|"&amp;1,Índice!$A$4:$A$1000,0)),"")</f>
        <v>99</v>
      </c>
      <c r="H4" s="5" t="n">
        <f aca="false">IFERROR(INDEX(Catálogo!H$4:H$1000,MATCH($A$1&amp;"|"&amp;1,Índice!$A$4:$A$1000,0)),"")</f>
        <v>6</v>
      </c>
      <c r="I4" s="6" t="str">
        <f aca="false">IFERROR(INDEX(Catálogo!I$4:I$1000,MATCH($A$1&amp;"|"&amp;1,Índice!$A$4:$A$1000,0)),"")</f>
        <v>Avalia perfecionismo em seis dimensões (Frost et al., 1990) — preocupação com erros, dúvidas sobre ações, expectativas parentais, críticas parentais, padrões pessoais e organização; versão reduzida de 24 itens</v>
      </c>
      <c r="J4" s="6" t="str">
        <f aca="false">IFERROR(INDEX(Catálogo!J$4:J$1000,MATCH($A$1&amp;"|"&amp;1,Índice!$A$4:$A$1000,0)),"")</f>
        <v>CM — Preocupações com Erros; DA — Dúvidas sobre Ações; PE — Expectativas Parentais; PC — Críticas Parentais; PS — Padrões Pessoais; O — Organização</v>
      </c>
      <c r="K4" s="6" t="str">
        <f aca="false">IFERROR(INDEX(Catálogo!K$4:K$1000,MATCH($A$1&amp;"|"&amp;1,Índice!$A$4:$A$1000,0)),"")</f>
        <v>emp_f</v>
      </c>
      <c r="L4" s="6" t="str">
        <f aca="false">IFERROR(INDEX(Catálogo!L$4:L$1000,MATCH($A$1&amp;"|"&amp;1,Índice!$A$4:$A$1000,0)),"")</f>
        <v>q_emp_f</v>
      </c>
      <c r="M4" s="7" t="str">
        <f aca="false">IFERROR(INDEX(Catálogo!M$4:M$1000,MATCH($A$1&amp;"|"&amp;1,Índice!$A$4:$A$1000,0)),"")</f>
        <v>https://correiaricardina-ui.github.io/questionarios/EMP_F_v1.html</v>
      </c>
    </row>
    <row r="5" customFormat="false" ht="42" hidden="false" customHeight="true" outlineLevel="0" collapsed="false">
      <c r="A5" s="5" t="n">
        <f aca="false">IFERROR(INDEX(Catálogo!A$4:A$1000,MATCH($A$1&amp;"|"&amp;2,Índice!$A$4:$A$1000,0)),"")</f>
        <v>61</v>
      </c>
      <c r="B5" s="6" t="str">
        <f aca="false">IFERROR(INDEX(Catálogo!B$4:B$1000,MATCH($A$1&amp;"|"&amp;2,Índice!$A$4:$A$1000,0)),"")</f>
        <v>EMP-H&amp;F — Perfecionismo (Hewitt &amp; Flett)</v>
      </c>
      <c r="C5" s="6" t="str">
        <f aca="false">IFERROR(INDEX(Catálogo!C$4:C$1000,MATCH($A$1&amp;"|"&amp;2,Índice!$A$4:$A$1000,0)),"")</f>
        <v>Personalidade &amp; Esquemas</v>
      </c>
      <c r="D5" s="6" t="str">
        <f aca="false">IFERROR(INDEX(Catálogo!D$4:D$1000,MATCH($A$1&amp;"|"&amp;2,Índice!$A$4:$A$1000,0)),"")</f>
        <v>Paciente, Jovem avaliado</v>
      </c>
      <c r="E5" s="6" t="str">
        <f aca="false">IFERROR(INDEX(Catálogo!E$4:E$1000,MATCH($A$1&amp;"|"&amp;2,Índice!$A$4:$A$1000,0)),"")</f>
        <v>Adolescentes / Adultos (≥ 12 anos)</v>
      </c>
      <c r="F5" s="5" t="n">
        <f aca="false">IFERROR(INDEX(Catálogo!F$4:F$1000,MATCH($A$1&amp;"|"&amp;2,Índice!$A$4:$A$1000,0)),"")</f>
        <v>12</v>
      </c>
      <c r="G5" s="5" t="n">
        <f aca="false">IFERROR(INDEX(Catálogo!G$4:G$1000,MATCH($A$1&amp;"|"&amp;2,Índice!$A$4:$A$1000,0)),"")</f>
        <v>99</v>
      </c>
      <c r="H5" s="5" t="n">
        <f aca="false">IFERROR(INDEX(Catálogo!H$4:H$1000,MATCH($A$1&amp;"|"&amp;2,Índice!$A$4:$A$1000,0)),"")</f>
        <v>4</v>
      </c>
      <c r="I5" s="6" t="str">
        <f aca="false">IFERROR(INDEX(Catálogo!I$4:I$1000,MATCH($A$1&amp;"|"&amp;2,Índice!$A$4:$A$1000,0)),"")</f>
        <v>Avalia perfecionismo em três dimensões — auto-orientado (PAO), socialmente prescrito (PSP) e orientado para os outros (POO); versão reduzida de 32 itens (Hewitt &amp; Flett, 1991)</v>
      </c>
      <c r="J5" s="6" t="str">
        <f aca="false">IFERROR(INDEX(Catálogo!J$4:J$1000,MATCH($A$1&amp;"|"&amp;2,Índice!$A$4:$A$1000,0)),"")</f>
        <v>PAO — Auto-Orientado; PSP — Socialmente Prescrito; POO — Orientado para Outros; Total EMP-H&amp;F</v>
      </c>
      <c r="K5" s="6" t="str">
        <f aca="false">IFERROR(INDEX(Catálogo!K$4:K$1000,MATCH($A$1&amp;"|"&amp;2,Índice!$A$4:$A$1000,0)),"")</f>
        <v>emp_hf</v>
      </c>
      <c r="L5" s="6" t="str">
        <f aca="false">IFERROR(INDEX(Catálogo!L$4:L$1000,MATCH($A$1&amp;"|"&amp;2,Índice!$A$4:$A$1000,0)),"")</f>
        <v>q_emp_hf</v>
      </c>
      <c r="M5" s="7" t="str">
        <f aca="false">IFERROR(INDEX(Catálogo!M$4:M$1000,MATCH($A$1&amp;"|"&amp;2,Índice!$A$4:$A$1000,0)),"")</f>
        <v>https://correiaricardina-ui.github.io/questionarios/EMP_HF_v1.html</v>
      </c>
    </row>
    <row r="6" customFormat="false" ht="42" hidden="false" customHeight="true" outlineLevel="0" collapsed="false">
      <c r="A6" s="5" t="n">
        <f aca="false">IFERROR(INDEX(Catálogo!A$4:A$1000,MATCH($A$1&amp;"|"&amp;3,Índice!$A$4:$A$1000,0)),"")</f>
        <v>87</v>
      </c>
      <c r="B6" s="6" t="str">
        <f aca="false">IFERROR(INDEX(Catálogo!B$4:B$1000,MATCH($A$1&amp;"|"&amp;3,Índice!$A$4:$A$1000,0)),"")</f>
        <v>JTCI — Inventário Júnior de Temperamento e Caráter</v>
      </c>
      <c r="C6" s="6" t="str">
        <f aca="false">IFERROR(INDEX(Catálogo!C$4:C$1000,MATCH($A$1&amp;"|"&amp;3,Índice!$A$4:$A$1000,0)),"")</f>
        <v>Personalidade &amp; Esquemas</v>
      </c>
      <c r="D6" s="6" t="str">
        <f aca="false">IFERROR(INDEX(Catálogo!D$4:D$1000,MATCH($A$1&amp;"|"&amp;3,Índice!$A$4:$A$1000,0)),"")</f>
        <v>Paciente</v>
      </c>
      <c r="E6" s="6" t="str">
        <f aca="false">IFERROR(INDEX(Catálogo!E$4:E$1000,MATCH($A$1&amp;"|"&amp;3,Índice!$A$4:$A$1000,0)),"")</f>
        <v>9–18 anos</v>
      </c>
      <c r="F6" s="5" t="n">
        <f aca="false">IFERROR(INDEX(Catálogo!F$4:F$1000,MATCH($A$1&amp;"|"&amp;3,Índice!$A$4:$A$1000,0)),"")</f>
        <v>9</v>
      </c>
      <c r="G6" s="5" t="n">
        <f aca="false">IFERROR(INDEX(Catálogo!G$4:G$1000,MATCH($A$1&amp;"|"&amp;3,Índice!$A$4:$A$1000,0)),"")</f>
        <v>17.9</v>
      </c>
      <c r="H6" s="5" t="n">
        <f aca="false">IFERROR(INDEX(Catálogo!H$4:H$1000,MATCH($A$1&amp;"|"&amp;3,Índice!$A$4:$A$1000,0)),"")</f>
        <v>6</v>
      </c>
      <c r="I6" s="6" t="str">
        <f aca="false">IFERROR(INDEX(Catálogo!I$4:I$1000,MATCH($A$1&amp;"|"&amp;3,Índice!$A$4:$A$1000,0)),"")</f>
        <v>Avalia temperamento (NS, HA, RD, P) e caráter (SD, CO) — 92 itens, autorrelato (Mondoni 2010 · Moreira et al. 2012)</v>
      </c>
      <c r="J6" s="6" t="str">
        <f aca="false">IFERROR(INDEX(Catálogo!J$4:J$1000,MATCH($A$1&amp;"|"&amp;3,Índice!$A$4:$A$1000,0)),"")</f>
        <v>Procura de Novidade (NS); Evitamento do Dano (HA); Dependência da Recompensa (RD); Persistência (P); Autodirecionamento (SD); Cooperação (CO)</v>
      </c>
      <c r="K6" s="6" t="str">
        <f aca="false">IFERROR(INDEX(Catálogo!K$4:K$1000,MATCH($A$1&amp;"|"&amp;3,Índice!$A$4:$A$1000,0)),"")</f>
        <v>jtci92</v>
      </c>
      <c r="L6" s="6" t="str">
        <f aca="false">IFERROR(INDEX(Catálogo!L$4:L$1000,MATCH($A$1&amp;"|"&amp;3,Índice!$A$4:$A$1000,0)),"")</f>
        <v>q_jtci92</v>
      </c>
      <c r="M6" s="7" t="str">
        <f aca="false">IFERROR(INDEX(Catálogo!M$4:M$1000,MATCH($A$1&amp;"|"&amp;3,Índice!$A$4:$A$1000,0)),"")</f>
        <v>https://correiaricardina-ui.github.io/questionarios/JTCI_92.html</v>
      </c>
    </row>
    <row r="7" customFormat="false" ht="42" hidden="false" customHeight="true" outlineLevel="0" collapsed="false">
      <c r="A7" s="5" t="n">
        <f aca="false">IFERROR(INDEX(Catálogo!A$4:A$1000,MATCH($A$1&amp;"|"&amp;4,Índice!$A$4:$A$1000,0)),"")</f>
        <v>101</v>
      </c>
      <c r="B7" s="6" t="str">
        <f aca="false">IFERROR(INDEX(Catálogo!B$4:B$1000,MATCH($A$1&amp;"|"&amp;4,Índice!$A$4:$A$1000,0)),"")</f>
        <v>NEO PI-R — Inventário de Personalidade NEO Revisto</v>
      </c>
      <c r="C7" s="6" t="str">
        <f aca="false">IFERROR(INDEX(Catálogo!C$4:C$1000,MATCH($A$1&amp;"|"&amp;4,Índice!$A$4:$A$1000,0)),"")</f>
        <v>Personalidade &amp; Esquemas</v>
      </c>
      <c r="D7" s="6" t="str">
        <f aca="false">IFERROR(INDEX(Catálogo!D$4:D$1000,MATCH($A$1&amp;"|"&amp;4,Índice!$A$4:$A$1000,0)),"")</f>
        <v>Paciente</v>
      </c>
      <c r="E7" s="6" t="str">
        <f aca="false">IFERROR(INDEX(Catálogo!E$4:E$1000,MATCH($A$1&amp;"|"&amp;4,Índice!$A$4:$A$1000,0)),"")</f>
        <v>17+ anos</v>
      </c>
      <c r="F7" s="5" t="n">
        <f aca="false">IFERROR(INDEX(Catálogo!F$4:F$1000,MATCH($A$1&amp;"|"&amp;4,Índice!$A$4:$A$1000,0)),"")</f>
        <v>17</v>
      </c>
      <c r="G7" s="5" t="n">
        <f aca="false">IFERROR(INDEX(Catálogo!G$4:G$1000,MATCH($A$1&amp;"|"&amp;4,Índice!$A$4:$A$1000,0)),"")</f>
        <v>99</v>
      </c>
      <c r="H7" s="5" t="n">
        <f aca="false">IFERROR(INDEX(Catálogo!H$4:H$1000,MATCH($A$1&amp;"|"&amp;4,Índice!$A$4:$A$1000,0)),"")</f>
        <v>5</v>
      </c>
      <c r="I7" s="6" t="str">
        <f aca="false">IFERROR(INDEX(Catálogo!I$4:I$1000,MATCH($A$1&amp;"|"&amp;4,Índice!$A$4:$A$1000,0)),"")</f>
        <v>Avaliação dos 5 grandes domínios de personalidade (N, E, O, A, C) e 30 facetas — 240 itens (Costa &amp; McCrae 1992 · Lima &amp; Simões 1997)</v>
      </c>
      <c r="J7" s="6" t="str">
        <f aca="false">IFERROR(INDEX(Catálogo!J$4:J$1000,MATCH($A$1&amp;"|"&amp;4,Índice!$A$4:$A$1000,0)),"")</f>
        <v>Neuroticismo; Extroversão; Abertura à Experiência; Amabilidade; Conscienciosidade</v>
      </c>
      <c r="K7" s="6" t="str">
        <f aca="false">IFERROR(INDEX(Catálogo!K$4:K$1000,MATCH($A$1&amp;"|"&amp;4,Índice!$A$4:$A$1000,0)),"")</f>
        <v>neopir</v>
      </c>
      <c r="L7" s="6" t="str">
        <f aca="false">IFERROR(INDEX(Catálogo!L$4:L$1000,MATCH($A$1&amp;"|"&amp;4,Índice!$A$4:$A$1000,0)),"")</f>
        <v>q_neopir</v>
      </c>
      <c r="M7" s="7" t="str">
        <f aca="false">IFERROR(INDEX(Catálogo!M$4:M$1000,MATCH($A$1&amp;"|"&amp;4,Índice!$A$4:$A$1000,0)),"")</f>
        <v>https://correiaricardina-ui.github.io/questionarios/NEO_PIR_v1.html</v>
      </c>
    </row>
    <row r="8" customFormat="false" ht="42" hidden="false" customHeight="true" outlineLevel="0" collapsed="false">
      <c r="A8" s="5" t="n">
        <f aca="false">IFERROR(INDEX(Catálogo!A$4:A$1000,MATCH($A$1&amp;"|"&amp;5,Índice!$A$4:$A$1000,0)),"")</f>
        <v>104</v>
      </c>
      <c r="B8" s="6" t="str">
        <f aca="false">IFERROR(INDEX(Catálogo!B$4:B$1000,MATCH($A$1&amp;"|"&amp;5,Índice!$A$4:$A$1000,0)),"")</f>
        <v>PAI — Adultos</v>
      </c>
      <c r="C8" s="6" t="str">
        <f aca="false">IFERROR(INDEX(Catálogo!C$4:C$1000,MATCH($A$1&amp;"|"&amp;5,Índice!$A$4:$A$1000,0)),"")</f>
        <v>Personalidade &amp; Esquemas</v>
      </c>
      <c r="D8" s="6" t="str">
        <f aca="false">IFERROR(INDEX(Catálogo!D$4:D$1000,MATCH($A$1&amp;"|"&amp;5,Índice!$A$4:$A$1000,0)),"")</f>
        <v>Paciente</v>
      </c>
      <c r="E8" s="6" t="str">
        <f aca="false">IFERROR(INDEX(Catálogo!E$4:E$1000,MATCH($A$1&amp;"|"&amp;5,Índice!$A$4:$A$1000,0)),"")</f>
        <v>18+ anos</v>
      </c>
      <c r="F8" s="5" t="n">
        <f aca="false">IFERROR(INDEX(Catálogo!F$4:F$1000,MATCH($A$1&amp;"|"&amp;5,Índice!$A$4:$A$1000,0)),"")</f>
        <v>18</v>
      </c>
      <c r="G8" s="5" t="n">
        <f aca="false">IFERROR(INDEX(Catálogo!G$4:G$1000,MATCH($A$1&amp;"|"&amp;5,Índice!$A$4:$A$1000,0)),"")</f>
        <v>99</v>
      </c>
      <c r="H8" s="5" t="n">
        <f aca="false">IFERROR(INDEX(Catálogo!H$4:H$1000,MATCH($A$1&amp;"|"&amp;5,Índice!$A$4:$A$1000,0)),"")</f>
        <v>18</v>
      </c>
      <c r="I8" s="6" t="str">
        <f aca="false">IFERROR(INDEX(Catálogo!I$4:I$1000,MATCH($A$1&amp;"|"&amp;5,Índice!$A$4:$A$1000,0)),"")</f>
        <v>Inventário de Avaliação da Personalidade — Adultos (344 itens, 22 escalas, normas PT Paulino et al. 2024)</v>
      </c>
      <c r="J8" s="6" t="str">
        <f aca="false">IFERROR(INDEX(Catálogo!J$4:J$1000,MATCH($A$1&amp;"|"&amp;5,Índice!$A$4:$A$1000,0)),"")</f>
        <v>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v>
      </c>
      <c r="K8" s="6" t="str">
        <f aca="false">IFERROR(INDEX(Catálogo!K$4:K$1000,MATCH($A$1&amp;"|"&amp;5,Índice!$A$4:$A$1000,0)),"")</f>
        <v>pai</v>
      </c>
      <c r="L8" s="6" t="str">
        <f aca="false">IFERROR(INDEX(Catálogo!L$4:L$1000,MATCH($A$1&amp;"|"&amp;5,Índice!$A$4:$A$1000,0)),"")</f>
        <v>q_pai_adult</v>
      </c>
      <c r="M8" s="7" t="str">
        <f aca="false">IFERROR(INDEX(Catálogo!M$4:M$1000,MATCH($A$1&amp;"|"&amp;5,Índice!$A$4:$A$1000,0)),"")</f>
        <v>https://correiaricardina-ui.github.io/questionarios/PAI_adult_final.html</v>
      </c>
    </row>
    <row r="9" customFormat="false" ht="42" hidden="false" customHeight="true" outlineLevel="0" collapsed="false">
      <c r="A9" s="5" t="n">
        <f aca="false">IFERROR(INDEX(Catálogo!A$4:A$1000,MATCH($A$1&amp;"|"&amp;6,Índice!$A$4:$A$1000,0)),"")</f>
        <v>105</v>
      </c>
      <c r="B9" s="6" t="str">
        <f aca="false">IFERROR(INDEX(Catálogo!B$4:B$1000,MATCH($A$1&amp;"|"&amp;6,Índice!$A$4:$A$1000,0)),"")</f>
        <v>PAI-A</v>
      </c>
      <c r="C9" s="6" t="str">
        <f aca="false">IFERROR(INDEX(Catálogo!C$4:C$1000,MATCH($A$1&amp;"|"&amp;6,Índice!$A$4:$A$1000,0)),"")</f>
        <v>Personalidade &amp; Esquemas</v>
      </c>
      <c r="D9" s="6" t="str">
        <f aca="false">IFERROR(INDEX(Catálogo!D$4:D$1000,MATCH($A$1&amp;"|"&amp;6,Índice!$A$4:$A$1000,0)),"")</f>
        <v>Paciente</v>
      </c>
      <c r="E9" s="6" t="str">
        <f aca="false">IFERROR(INDEX(Catálogo!E$4:E$1000,MATCH($A$1&amp;"|"&amp;6,Índice!$A$4:$A$1000,0)),"")</f>
        <v>12–18 anos</v>
      </c>
      <c r="F9" s="5" t="n">
        <f aca="false">IFERROR(INDEX(Catálogo!F$4:F$1000,MATCH($A$1&amp;"|"&amp;6,Índice!$A$4:$A$1000,0)),"")</f>
        <v>12</v>
      </c>
      <c r="G9" s="5" t="n">
        <f aca="false">IFERROR(INDEX(Catálogo!G$4:G$1000,MATCH($A$1&amp;"|"&amp;6,Índice!$A$4:$A$1000,0)),"")</f>
        <v>17.9</v>
      </c>
      <c r="H9" s="5" t="n">
        <f aca="false">IFERROR(INDEX(Catálogo!H$4:H$1000,MATCH($A$1&amp;"|"&amp;6,Índice!$A$4:$A$1000,0)),"")</f>
        <v>19</v>
      </c>
      <c r="I9" s="6" t="str">
        <f aca="false">IFERROR(INDEX(Catálogo!I$4:I$1000,MATCH($A$1&amp;"|"&amp;6,Índice!$A$4:$A$1000,0)),"")</f>
        <v>Inventário de Avaliação da Personalidade — Adolescente (316 itens, 19 escalas, Morey 2007)</v>
      </c>
      <c r="J9" s="6" t="str">
        <f aca="false">IFERROR(INDEX(Catálogo!J$4:J$1000,MATCH($A$1&amp;"|"&amp;6,Índice!$A$4:$A$1000,0)),"")</f>
        <v>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v>
      </c>
      <c r="K9" s="6" t="str">
        <f aca="false">IFERROR(INDEX(Catálogo!K$4:K$1000,MATCH($A$1&amp;"|"&amp;6,Índice!$A$4:$A$1000,0)),"")</f>
        <v>paia</v>
      </c>
      <c r="L9" s="6" t="str">
        <f aca="false">IFERROR(INDEX(Catálogo!L$4:L$1000,MATCH($A$1&amp;"|"&amp;6,Índice!$A$4:$A$1000,0)),"")</f>
        <v>q_pai_a</v>
      </c>
      <c r="M9" s="7" t="str">
        <f aca="false">IFERROR(INDEX(Catálogo!M$4:M$1000,MATCH($A$1&amp;"|"&amp;6,Índice!$A$4:$A$1000,0)),"")</f>
        <v>https://correiaricardina-ui.github.io/questionarios/PAI_A_final.html</v>
      </c>
    </row>
    <row r="10" customFormat="false" ht="42" hidden="false" customHeight="true" outlineLevel="0" collapsed="false">
      <c r="A10" s="5" t="n">
        <f aca="false">IFERROR(INDEX(Catálogo!A$4:A$1000,MATCH($A$1&amp;"|"&amp;7,Índice!$A$4:$A$1000,0)),"")</f>
        <v>122</v>
      </c>
      <c r="B10" s="6" t="str">
        <f aca="false">IFERROR(INDEX(Catálogo!B$4:B$1000,MATCH($A$1&amp;"|"&amp;7,Índice!$A$4:$A$1000,0)),"")</f>
        <v>QEA — Esquemas para Adolescentes</v>
      </c>
      <c r="C10" s="6" t="str">
        <f aca="false">IFERROR(INDEX(Catálogo!C$4:C$1000,MATCH($A$1&amp;"|"&amp;7,Índice!$A$4:$A$1000,0)),"")</f>
        <v>Personalidade &amp; Esquemas</v>
      </c>
      <c r="D10" s="6" t="str">
        <f aca="false">IFERROR(INDEX(Catálogo!D$4:D$1000,MATCH($A$1&amp;"|"&amp;7,Índice!$A$4:$A$1000,0)),"")</f>
        <v>Paciente, Jovem avaliado</v>
      </c>
      <c r="E10" s="6" t="str">
        <f aca="false">IFERROR(INDEX(Catálogo!E$4:E$1000,MATCH($A$1&amp;"|"&amp;7,Índice!$A$4:$A$1000,0)),"")</f>
        <v>10–25 anos</v>
      </c>
      <c r="F10" s="5" t="n">
        <f aca="false">IFERROR(INDEX(Catálogo!F$4:F$1000,MATCH($A$1&amp;"|"&amp;7,Índice!$A$4:$A$1000,0)),"")</f>
        <v>10</v>
      </c>
      <c r="G10" s="5" t="n">
        <f aca="false">IFERROR(INDEX(Catálogo!G$4:G$1000,MATCH($A$1&amp;"|"&amp;7,Índice!$A$4:$A$1000,0)),"")</f>
        <v>24.9</v>
      </c>
      <c r="H10" s="5" t="n">
        <f aca="false">IFERROR(INDEX(Catálogo!H$4:H$1000,MATCH($A$1&amp;"|"&amp;7,Índice!$A$4:$A$1000,0)),"")</f>
        <v>22</v>
      </c>
      <c r="I10" s="6" t="str">
        <f aca="false">IFERROR(INDEX(Catálogo!I$4:I$1000,MATCH($A$1&amp;"|"&amp;7,Índice!$A$4:$A$1000,0)),"")</f>
        <v>Avalia 18 esquemas precoces mal-adaptativos em adolescentes — auto-relato (Santos, Rijo &amp; Pinto-Gouveia, 2009); ponto de corte clínico: média ≥ 3,5</v>
      </c>
      <c r="J10" s="6" t="str">
        <f aca="false">IFERROR(INDEX(Catálogo!J$4:J$1000,MATCH($A$1&amp;"|"&amp;7,Índice!$A$4:$A$1000,0)),"")</f>
        <v>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v>
      </c>
      <c r="K10" s="6" t="str">
        <f aca="false">IFERROR(INDEX(Catálogo!K$4:K$1000,MATCH($A$1&amp;"|"&amp;7,Índice!$A$4:$A$1000,0)),"")</f>
        <v>qea</v>
      </c>
      <c r="L10" s="6" t="str">
        <f aca="false">IFERROR(INDEX(Catálogo!L$4:L$1000,MATCH($A$1&amp;"|"&amp;7,Índice!$A$4:$A$1000,0)),"")</f>
        <v>q_qea</v>
      </c>
      <c r="M10" s="7" t="str">
        <f aca="false">IFERROR(INDEX(Catálogo!M$4:M$1000,MATCH($A$1&amp;"|"&amp;7,Índice!$A$4:$A$1000,0)),"")</f>
        <v>https://correiaricardina-ui.github.io/questionarios/QEA_questionario.html</v>
      </c>
    </row>
    <row r="11" customFormat="false" ht="42" hidden="false" customHeight="true" outlineLevel="0" collapsed="false">
      <c r="A11" s="5" t="n">
        <f aca="false">IFERROR(INDEX(Catálogo!A$4:A$1000,MATCH($A$1&amp;"|"&amp;8,Índice!$A$4:$A$1000,0)),"")</f>
        <v>172</v>
      </c>
      <c r="B11" s="6" t="str">
        <f aca="false">IFERROR(INDEX(Catálogo!B$4:B$1000,MATCH($A$1&amp;"|"&amp;8,Índice!$A$4:$A$1000,0)),"")</f>
        <v>CAPS-22 — Escala de Perfecionismo de Crianças e Adolescentes (Autorrelato)</v>
      </c>
      <c r="C11" s="6" t="str">
        <f aca="false">IFERROR(INDEX(Catálogo!C$4:C$1000,MATCH($A$1&amp;"|"&amp;8,Índice!$A$4:$A$1000,0)),"")</f>
        <v>Personalidade &amp; Esquemas</v>
      </c>
      <c r="D11" s="6" t="str">
        <f aca="false">IFERROR(INDEX(Catálogo!D$4:D$1000,MATCH($A$1&amp;"|"&amp;8,Índice!$A$4:$A$1000,0)),"")</f>
        <v>Paciente</v>
      </c>
      <c r="E11" s="6" t="str">
        <f aca="false">IFERROR(INDEX(Catálogo!E$4:E$1000,MATCH($A$1&amp;"|"&amp;8,Índice!$A$4:$A$1000,0)),"")</f>
        <v>6–18 anos</v>
      </c>
      <c r="F11" s="5" t="n">
        <f aca="false">IFERROR(INDEX(Catálogo!F$4:F$1000,MATCH($A$1&amp;"|"&amp;8,Índice!$A$4:$A$1000,0)),"")</f>
        <v>6</v>
      </c>
      <c r="G11" s="5" t="n">
        <f aca="false">IFERROR(INDEX(Catálogo!G$4:G$1000,MATCH($A$1&amp;"|"&amp;8,Índice!$A$4:$A$1000,0)),"")</f>
        <v>18</v>
      </c>
      <c r="H11" s="5" t="n">
        <f aca="false">IFERROR(INDEX(Catálogo!H$4:H$1000,MATCH($A$1&amp;"|"&amp;8,Índice!$A$4:$A$1000,0)),"")</f>
        <v>11</v>
      </c>
      <c r="I11" s="6" t="str">
        <f aca="false">IFERROR(INDEX(Catálogo!I$4:I$1000,MATCH($A$1&amp;"|"&amp;8,Índice!$A$4:$A$1000,0)),"")</f>
        <v>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v>
      </c>
      <c r="J11" s="6" t="str">
        <f aca="false">IFERROR(INDEX(Catálogo!J$4:J$1000,MATCH($A$1&amp;"|"&amp;8,Índice!$A$4:$A$1000,0)),"")</f>
        <v>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v>
      </c>
      <c r="K11" s="6" t="str">
        <f aca="false">IFERROR(INDEX(Catálogo!K$4:K$1000,MATCH($A$1&amp;"|"&amp;8,Índice!$A$4:$A$1000,0)),"")</f>
        <v>caps22</v>
      </c>
      <c r="L11" s="6" t="str">
        <f aca="false">IFERROR(INDEX(Catálogo!L$4:L$1000,MATCH($A$1&amp;"|"&amp;8,Índice!$A$4:$A$1000,0)),"")</f>
        <v>q_caps22</v>
      </c>
      <c r="M11" s="7" t="str">
        <f aca="false">IFERROR(INDEX(Catálogo!M$4:M$1000,MATCH($A$1&amp;"|"&amp;8,Índice!$A$4:$A$1000,0)),"")</f>
        <v>https://correiaricardina-ui.github.io/questionarios/CAPS22_Crianca_v1.html</v>
      </c>
    </row>
    <row r="12" customFormat="false" ht="42" hidden="false" customHeight="true" outlineLevel="0" collapsed="false">
      <c r="A12" s="5" t="n">
        <f aca="false">IFERROR(INDEX(Catálogo!A$4:A$1000,MATCH($A$1&amp;"|"&amp;9,Índice!$A$4:$A$1000,0)),"")</f>
        <v>173</v>
      </c>
      <c r="B12" s="6" t="str">
        <f aca="false">IFERROR(INDEX(Catálogo!B$4:B$1000,MATCH($A$1&amp;"|"&amp;9,Índice!$A$4:$A$1000,0)),"")</f>
        <v>CAPS-PR — Perfecionismo da Criança (Heterorrelato Parental)</v>
      </c>
      <c r="C12" s="6" t="str">
        <f aca="false">IFERROR(INDEX(Catálogo!C$4:C$1000,MATCH($A$1&amp;"|"&amp;9,Índice!$A$4:$A$1000,0)),"")</f>
        <v>Personalidade &amp; Esquemas</v>
      </c>
      <c r="D12" s="6" t="str">
        <f aca="false">IFERROR(INDEX(Catálogo!D$4:D$1000,MATCH($A$1&amp;"|"&amp;9,Índice!$A$4:$A$1000,0)),"")</f>
        <v>Mãe, Pai, Enc. Educação</v>
      </c>
      <c r="E12" s="6" t="str">
        <f aca="false">IFERROR(INDEX(Catálogo!E$4:E$1000,MATCH($A$1&amp;"|"&amp;9,Índice!$A$4:$A$1000,0)),"")</f>
        <v>4–18 anos</v>
      </c>
      <c r="F12" s="5" t="n">
        <f aca="false">IFERROR(INDEX(Catálogo!F$4:F$1000,MATCH($A$1&amp;"|"&amp;9,Índice!$A$4:$A$1000,0)),"")</f>
        <v>4</v>
      </c>
      <c r="G12" s="5" t="n">
        <f aca="false">IFERROR(INDEX(Catálogo!G$4:G$1000,MATCH($A$1&amp;"|"&amp;9,Índice!$A$4:$A$1000,0)),"")</f>
        <v>18</v>
      </c>
      <c r="H12" s="5" t="n">
        <f aca="false">IFERROR(INDEX(Catálogo!H$4:H$1000,MATCH($A$1&amp;"|"&amp;9,Índice!$A$4:$A$1000,0)),"")</f>
        <v>5</v>
      </c>
      <c r="I12" s="6" t="str">
        <f aca="false">IFERROR(INDEX(Catálogo!I$4:I$1000,MATCH($A$1&amp;"|"&amp;9,Índice!$A$4:$A$1000,0)),"")</f>
        <v>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v>
      </c>
      <c r="J12" s="6" t="str">
        <f aca="false">IFERROR(INDEX(Catálogo!J$4:J$1000,MATCH($A$1&amp;"|"&amp;9,Índice!$A$4:$A$1000,0)),"")</f>
        <v>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v>
      </c>
      <c r="K12" s="6" t="str">
        <f aca="false">IFERROR(INDEX(Catálogo!K$4:K$1000,MATCH($A$1&amp;"|"&amp;9,Índice!$A$4:$A$1000,0)),"")</f>
        <v>caps_pr</v>
      </c>
      <c r="L12" s="6" t="str">
        <f aca="false">IFERROR(INDEX(Catálogo!L$4:L$1000,MATCH($A$1&amp;"|"&amp;9,Índice!$A$4:$A$1000,0)),"")</f>
        <v>q_caps_pr</v>
      </c>
      <c r="M12" s="7" t="str">
        <f aca="false">IFERROR(INDEX(Catálogo!M$4:M$1000,MATCH($A$1&amp;"|"&amp;9,Índice!$A$4:$A$1000,0)),"")</f>
        <v>https://correiaricardina-ui.github.io/questionarios/CAPS_PR_Pais_v1.html</v>
      </c>
    </row>
    <row r="13" customFormat="false" ht="42" hidden="false" customHeight="true" outlineLevel="0" collapsed="false">
      <c r="A13" s="5" t="n">
        <f aca="false">IFERROR(INDEX(Catálogo!A$4:A$1000,MATCH($A$1&amp;"|"&amp;10,Índice!$A$4:$A$1000,0)),"")</f>
        <v>195</v>
      </c>
      <c r="B13" s="6" t="str">
        <f aca="false">IFERROR(INDEX(Catálogo!B$4:B$1000,MATCH($A$1&amp;"|"&amp;10,Índice!$A$4:$A$1000,0)),"")</f>
        <v>GRET-RC — Grelha de Resposta ao Erro e à Tarefa</v>
      </c>
      <c r="C13" s="6" t="str">
        <f aca="false">IFERROR(INDEX(Catálogo!C$4:C$1000,MATCH($A$1&amp;"|"&amp;10,Índice!$A$4:$A$1000,0)),"")</f>
        <v>Personalidade &amp; Esquemas</v>
      </c>
      <c r="D13" s="6" t="str">
        <f aca="false">IFERROR(INDEX(Catálogo!D$4:D$1000,MATCH($A$1&amp;"|"&amp;10,Índice!$A$4:$A$1000,0)),"")</f>
        <v>Aplicador clínico</v>
      </c>
      <c r="E13" s="6" t="str">
        <f aca="false">IFERROR(INDEX(Catálogo!E$4:E$1000,MATCH($A$1&amp;"|"&amp;10,Índice!$A$4:$A$1000,0)),"")</f>
        <v>4–18 anos</v>
      </c>
      <c r="F13" s="5" t="n">
        <f aca="false">IFERROR(INDEX(Catálogo!F$4:F$1000,MATCH($A$1&amp;"|"&amp;10,Índice!$A$4:$A$1000,0)),"")</f>
        <v>4</v>
      </c>
      <c r="G13" s="5" t="n">
        <f aca="false">IFERROR(INDEX(Catálogo!G$4:G$1000,MATCH($A$1&amp;"|"&amp;10,Índice!$A$4:$A$1000,0)),"")</f>
        <v>18</v>
      </c>
      <c r="H13" s="5" t="n">
        <f aca="false">IFERROR(INDEX(Catálogo!H$4:H$1000,MATCH($A$1&amp;"|"&amp;10,Índice!$A$4:$A$1000,0)),"")</f>
        <v>14</v>
      </c>
      <c r="I13" s="6" t="str">
        <f aca="false">IFERROR(INDEX(Catálogo!I$4:I$1000,MATCH($A$1&amp;"|"&amp;10,Índice!$A$4:$A$1000,0)),"")</f>
        <v>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v>
      </c>
      <c r="J13" s="6" t="str">
        <f aca="false">IFERROR(INDEX(Catálogo!J$4:J$1000,MATCH($A$1&amp;"|"&amp;10,Índice!$A$4:$A$1000,0)),"")</f>
        <v>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v>
      </c>
      <c r="K13" s="6" t="str">
        <f aca="false">IFERROR(INDEX(Catálogo!K$4:K$1000,MATCH($A$1&amp;"|"&amp;10,Índice!$A$4:$A$1000,0)),"")</f>
        <v>gret_rc</v>
      </c>
      <c r="L13" s="6" t="str">
        <f aca="false">IFERROR(INDEX(Catálogo!L$4:L$1000,MATCH($A$1&amp;"|"&amp;10,Índice!$A$4:$A$1000,0)),"")</f>
        <v>q_gret_rc</v>
      </c>
      <c r="M13" s="7" t="str">
        <f aca="false">IFERROR(INDEX(Catálogo!M$4:M$1000,MATCH($A$1&amp;"|"&amp;10,Índice!$A$4:$A$1000,0)),"")</f>
        <v>https://correiaricardina-ui.github.io/questionarios/GRET_RC_v1.html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438</v>
      </c>
      <c r="I1" s="17" t="str">
        <f aca="false">COUNTIF(Catálogo!$C$4:$C$1000,$A$1)&amp;IF(COUNTIF(Catálogo!$C$4:$C$1000,$A$1)=1," instrumento nesta área"," instrumentos nesta área")</f>
        <v>6 instrumentos nesta área</v>
      </c>
    </row>
    <row r="2" customFormat="false" ht="15" hidden="false" customHeight="true" outlineLevel="0" collapsed="false">
      <c r="A2" s="18" t="s">
        <v>1331</v>
      </c>
      <c r="I2" s="19" t="str">
        <f aca="false">IF(COUNTIF(Catálogo!$C$4:$C$1000,$A$1)&gt;14,"⚠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62</v>
      </c>
      <c r="B4" s="6" t="str">
        <f aca="false">IFERROR(INDEX(Catálogo!B$4:B$1000,MATCH($A$1&amp;"|"&amp;1,Índice!$A$4:$A$1000,0)),"")</f>
        <v>EPCAS-PE — Escala Pictórica de Competência Percebida e Aceitação Social</v>
      </c>
      <c r="C4" s="6" t="str">
        <f aca="false">IFERROR(INDEX(Catálogo!C$4:C$1000,MATCH($A$1&amp;"|"&amp;1,Índice!$A$4:$A$1000,0)),"")</f>
        <v>Autoconceito &amp; Autoestima</v>
      </c>
      <c r="D4" s="6" t="str">
        <f aca="false">IFERROR(INDEX(Catálogo!D$4:D$1000,MATCH($A$1&amp;"|"&amp;1,Índice!$A$4:$A$1000,0)),"")</f>
        <v>Psicóloga</v>
      </c>
      <c r="E4" s="6" t="str">
        <f aca="false">IFERROR(INDEX(Catálogo!E$4:E$1000,MATCH($A$1&amp;"|"&amp;1,Índice!$A$4:$A$1000,0)),"")</f>
        <v>4–7 anos (pré-escolar e 1.º/2.º ano)</v>
      </c>
      <c r="F4" s="5" t="n">
        <f aca="false">IFERROR(INDEX(Catálogo!F$4:F$1000,MATCH($A$1&amp;"|"&amp;1,Índice!$A$4:$A$1000,0)),"")</f>
        <v>0.3</v>
      </c>
      <c r="G4" s="5" t="n">
        <f aca="false">IFERROR(INDEX(Catálogo!G$4:G$1000,MATCH($A$1&amp;"|"&amp;1,Índice!$A$4:$A$1000,0)),"")</f>
        <v>0.6</v>
      </c>
      <c r="H4" s="5" t="n">
        <f aca="false">IFERROR(INDEX(Catálogo!H$4:H$1000,MATCH($A$1&amp;"|"&amp;1,Índice!$A$4:$A$1000,0)),"")</f>
        <v>7</v>
      </c>
      <c r="I4" s="6" t="str">
        <f aca="false">IFERROR(INDEX(Catálogo!I$4:I$1000,MATCH($A$1&amp;"|"&amp;1,Índice!$A$4:$A$1000,0)),"")</f>
        <v>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v>
      </c>
      <c r="J4" s="6" t="str">
        <f aca="false">IFERROR(INDEX(Catálogo!J$4:J$1000,MATCH($A$1&amp;"|"&amp;1,Índice!$A$4:$A$1000,0)),"")</f>
        <v>Competência Cognitiva; Competência Física; Aceitação pelos Pares; Aceitação Parental; Aparência Física; Competência Geral; Aceitação Social</v>
      </c>
      <c r="K4" s="6" t="str">
        <f aca="false">IFERROR(INDEX(Catálogo!K$4:K$1000,MATCH($A$1&amp;"|"&amp;1,Índice!$A$4:$A$1000,0)),"")</f>
        <v>epcas_pe</v>
      </c>
      <c r="L4" s="6" t="str">
        <f aca="false">IFERROR(INDEX(Catálogo!L$4:L$1000,MATCH($A$1&amp;"|"&amp;1,Índice!$A$4:$A$1000,0)),"")</f>
        <v>q_epcas_pe</v>
      </c>
      <c r="M4" s="7" t="str">
        <f aca="false">IFERROR(INDEX(Catálogo!M$4:M$1000,MATCH($A$1&amp;"|"&amp;1,Índice!$A$4:$A$1000,0)),"")</f>
        <v>https://correiaricardina-ui.github.io/questionarios/EPCAS_PE_v1.html</v>
      </c>
    </row>
    <row r="5" customFormat="false" ht="42" hidden="false" customHeight="true" outlineLevel="0" collapsed="false">
      <c r="A5" s="5" t="n">
        <f aca="false">IFERROR(INDEX(Catálogo!A$4:A$1000,MATCH($A$1&amp;"|"&amp;2,Índice!$A$4:$A$1000,0)),"")</f>
        <v>141</v>
      </c>
      <c r="B5" s="6" t="str">
        <f aca="false">IFERROR(INDEX(Catálogo!B$4:B$1000,MATCH($A$1&amp;"|"&amp;2,Índice!$A$4:$A$1000,0)),"")</f>
        <v>SPPA — Como é que eu sou? + Importância (Adolescentes)</v>
      </c>
      <c r="C5" s="6" t="str">
        <f aca="false">IFERROR(INDEX(Catálogo!C$4:C$1000,MATCH($A$1&amp;"|"&amp;2,Índice!$A$4:$A$1000,0)),"")</f>
        <v>Autoconceito &amp; Autoestima</v>
      </c>
      <c r="D5" s="6" t="str">
        <f aca="false">IFERROR(INDEX(Catálogo!D$4:D$1000,MATCH($A$1&amp;"|"&amp;2,Índice!$A$4:$A$1000,0)),"")</f>
        <v>Filho(a)</v>
      </c>
      <c r="E5" s="6" t="str">
        <f aca="false">IFERROR(INDEX(Catálogo!E$4:E$1000,MATCH($A$1&amp;"|"&amp;2,Índice!$A$4:$A$1000,0)),"")</f>
        <v>13–18 anos</v>
      </c>
      <c r="F5" s="5" t="n">
        <f aca="false">IFERROR(INDEX(Catálogo!F$4:F$1000,MATCH($A$1&amp;"|"&amp;2,Índice!$A$4:$A$1000,0)),"")</f>
        <v>1.1</v>
      </c>
      <c r="G5" s="5" t="n">
        <f aca="false">IFERROR(INDEX(Catálogo!G$4:G$1000,MATCH($A$1&amp;"|"&amp;2,Índice!$A$4:$A$1000,0)),"")</f>
        <v>1.5</v>
      </c>
      <c r="H5" s="5" t="n">
        <f aca="false">IFERROR(INDEX(Catálogo!H$4:H$1000,MATCH($A$1&amp;"|"&amp;2,Índice!$A$4:$A$1000,0)),"")</f>
        <v>11</v>
      </c>
      <c r="I5" s="6" t="str">
        <f aca="false">IFERROR(INDEX(Catálogo!I$4:I$1000,MATCH($A$1&amp;"|"&amp;2,Índice!$A$4:$A$1000,0)),"")</f>
        <v>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v>
      </c>
      <c r="J5" s="6" t="str">
        <f aca="false">IFERROR(INDEX(Catálogo!J$4:J$1000,MATCH($A$1&amp;"|"&amp;2,Índice!$A$4:$A$1000,0)),"")</f>
        <v>Escolar; Social; Atlética; Aparência Física; Laboral; Romântica; Comportamento; Amizades Íntimas; Autoestima Global; Importância por área; Discrepâncias C−I</v>
      </c>
      <c r="K5" s="6" t="str">
        <f aca="false">IFERROR(INDEX(Catálogo!K$4:K$1000,MATCH($A$1&amp;"|"&amp;2,Índice!$A$4:$A$1000,0)),"")</f>
        <v>sppa</v>
      </c>
      <c r="L5" s="6" t="str">
        <f aca="false">IFERROR(INDEX(Catálogo!L$4:L$1000,MATCH($A$1&amp;"|"&amp;2,Índice!$A$4:$A$1000,0)),"")</f>
        <v>q_sppa</v>
      </c>
      <c r="M5" s="7" t="str">
        <f aca="false">IFERROR(INDEX(Catálogo!M$4:M$1000,MATCH($A$1&amp;"|"&amp;2,Índice!$A$4:$A$1000,0)),"")</f>
        <v>https://correiaricardina-ui.github.io/questionarios/SPPA.html</v>
      </c>
    </row>
    <row r="6" customFormat="false" ht="42" hidden="false" customHeight="true" outlineLevel="0" collapsed="false">
      <c r="A6" s="5" t="n">
        <f aca="false">IFERROR(INDEX(Catálogo!A$4:A$1000,MATCH($A$1&amp;"|"&amp;3,Índice!$A$4:$A$1000,0)),"")</f>
        <v>142</v>
      </c>
      <c r="B6" s="6" t="str">
        <f aca="false">IFERROR(INDEX(Catálogo!B$4:B$1000,MATCH($A$1&amp;"|"&amp;3,Índice!$A$4:$A$1000,0)),"")</f>
        <v>SPPC — Como é que eu sou + Importância (Crianças)</v>
      </c>
      <c r="C6" s="6" t="str">
        <f aca="false">IFERROR(INDEX(Catálogo!C$4:C$1000,MATCH($A$1&amp;"|"&amp;3,Índice!$A$4:$A$1000,0)),"")</f>
        <v>Autoconceito &amp; Autoestima</v>
      </c>
      <c r="D6" s="6" t="str">
        <f aca="false">IFERROR(INDEX(Catálogo!D$4:D$1000,MATCH($A$1&amp;"|"&amp;3,Índice!$A$4:$A$1000,0)),"")</f>
        <v>Filho(a)</v>
      </c>
      <c r="E6" s="6" t="str">
        <f aca="false">IFERROR(INDEX(Catálogo!E$4:E$1000,MATCH($A$1&amp;"|"&amp;3,Índice!$A$4:$A$1000,0)),"")</f>
        <v>3.º–8.º ano (normas 9–14 anos)</v>
      </c>
      <c r="F6" s="5" t="n">
        <f aca="false">IFERROR(INDEX(Catálogo!F$4:F$1000,MATCH($A$1&amp;"|"&amp;3,Índice!$A$4:$A$1000,0)),"")</f>
        <v>0.7</v>
      </c>
      <c r="G6" s="5" t="n">
        <f aca="false">IFERROR(INDEX(Catálogo!G$4:G$1000,MATCH($A$1&amp;"|"&amp;3,Índice!$A$4:$A$1000,0)),"")</f>
        <v>1.2</v>
      </c>
      <c r="H6" s="5" t="n">
        <f aca="false">IFERROR(INDEX(Catálogo!H$4:H$1000,MATCH($A$1&amp;"|"&amp;3,Índice!$A$4:$A$1000,0)),"")</f>
        <v>9</v>
      </c>
      <c r="I6" s="6" t="str">
        <f aca="false">IFERROR(INDEX(Catálogo!I$4:I$1000,MATCH($A$1&amp;"|"&amp;3,Índice!$A$4:$A$1000,0)),"")</f>
        <v>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v>
      </c>
      <c r="J6" s="6" t="str">
        <f aca="false">IFERROR(INDEX(Catálogo!J$4:J$1000,MATCH($A$1&amp;"|"&amp;3,Índice!$A$4:$A$1000,0)),"")</f>
        <v>Competência Escolar; Competência Social; Competência Desportiva; Aparência Física; Comportamento; Autoestima Global; Importância por área; Discrepâncias C−I; Comparação criança–professor</v>
      </c>
      <c r="K6" s="6" t="str">
        <f aca="false">IFERROR(INDEX(Catálogo!K$4:K$1000,MATCH($A$1&amp;"|"&amp;3,Índice!$A$4:$A$1000,0)),"")</f>
        <v>sppc</v>
      </c>
      <c r="L6" s="6" t="str">
        <f aca="false">IFERROR(INDEX(Catálogo!L$4:L$1000,MATCH($A$1&amp;"|"&amp;3,Índice!$A$4:$A$1000,0)),"")</f>
        <v>q_sppc</v>
      </c>
      <c r="M6" s="7" t="str">
        <f aca="false">IFERROR(INDEX(Catálogo!M$4:M$1000,MATCH($A$1&amp;"|"&amp;3,Índice!$A$4:$A$1000,0)),"")</f>
        <v>https://correiaricardina-ui.github.io/questionarios/SPPC_Bateria.html</v>
      </c>
    </row>
    <row r="7" customFormat="false" ht="42" hidden="false" customHeight="true" outlineLevel="0" collapsed="false">
      <c r="A7" s="5" t="n">
        <f aca="false">IFERROR(INDEX(Catálogo!A$4:A$1000,MATCH($A$1&amp;"|"&amp;4,Índice!$A$4:$A$1000,0)),"")</f>
        <v>143</v>
      </c>
      <c r="B7" s="6" t="str">
        <f aca="false">IFERROR(INDEX(Catálogo!B$4:B$1000,MATCH($A$1&amp;"|"&amp;4,Índice!$A$4:$A$1000,0)),"")</f>
        <v>SPPC — Escala de Avaliação do Professor (Crianças)</v>
      </c>
      <c r="C7" s="6" t="str">
        <f aca="false">IFERROR(INDEX(Catálogo!C$4:C$1000,MATCH($A$1&amp;"|"&amp;4,Índice!$A$4:$A$1000,0)),"")</f>
        <v>Autoconceito &amp; Autoestima</v>
      </c>
      <c r="D7" s="6" t="str">
        <f aca="false">IFERROR(INDEX(Catálogo!D$4:D$1000,MATCH($A$1&amp;"|"&amp;4,Índice!$A$4:$A$1000,0)),"")</f>
        <v>Professor(a)</v>
      </c>
      <c r="E7" s="6" t="str">
        <f aca="false">IFERROR(INDEX(Catálogo!E$4:E$1000,MATCH($A$1&amp;"|"&amp;4,Índice!$A$4:$A$1000,0)),"")</f>
        <v>3.º–8.º ano</v>
      </c>
      <c r="F7" s="5" t="n">
        <f aca="false">IFERROR(INDEX(Catálogo!F$4:F$1000,MATCH($A$1&amp;"|"&amp;4,Índice!$A$4:$A$1000,0)),"")</f>
        <v>0.7</v>
      </c>
      <c r="G7" s="5" t="n">
        <f aca="false">IFERROR(INDEX(Catálogo!G$4:G$1000,MATCH($A$1&amp;"|"&amp;4,Índice!$A$4:$A$1000,0)),"")</f>
        <v>1.2</v>
      </c>
      <c r="H7" s="5" t="n">
        <f aca="false">IFERROR(INDEX(Catálogo!H$4:H$1000,MATCH($A$1&amp;"|"&amp;4,Índice!$A$4:$A$1000,0)),"")</f>
        <v>6</v>
      </c>
      <c r="I7" s="6" t="str">
        <f aca="false">IFERROR(INDEX(Catálogo!I$4:I$1000,MATCH($A$1&amp;"|"&amp;4,Índice!$A$4:$A$1000,0)),"")</f>
        <v>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v>
      </c>
      <c r="J7" s="6" t="str">
        <f aca="false">IFERROR(INDEX(Catálogo!J$4:J$1000,MATCH($A$1&amp;"|"&amp;4,Índice!$A$4:$A$1000,0)),"")</f>
        <v>Competência Escolar; Competência Social; Competência Desportiva; Aparência Física; Comportamento; Comparação criança–professor</v>
      </c>
      <c r="K7" s="6" t="str">
        <f aca="false">IFERROR(INDEX(Catálogo!K$4:K$1000,MATCH($A$1&amp;"|"&amp;4,Índice!$A$4:$A$1000,0)),"")</f>
        <v>sppc_professor</v>
      </c>
      <c r="L7" s="6" t="str">
        <f aca="false">IFERROR(INDEX(Catálogo!L$4:L$1000,MATCH($A$1&amp;"|"&amp;4,Índice!$A$4:$A$1000,0)),"")</f>
        <v>q_sppc_professor</v>
      </c>
      <c r="M7" s="7" t="str">
        <f aca="false">IFERROR(INDEX(Catálogo!M$4:M$1000,MATCH($A$1&amp;"|"&amp;4,Índice!$A$4:$A$1000,0)),"")</f>
        <v>https://correiaricardina-ui.github.io/questionarios/SPPC_Professor.html</v>
      </c>
    </row>
    <row r="8" customFormat="false" ht="42" hidden="false" customHeight="true" outlineLevel="0" collapsed="false">
      <c r="A8" s="5" t="n">
        <f aca="false">IFERROR(INDEX(Catálogo!A$4:A$1000,MATCH($A$1&amp;"|"&amp;5,Índice!$A$4:$A$1000,0)),"")</f>
        <v>144</v>
      </c>
      <c r="B8" s="6" t="str">
        <f aca="false">IFERROR(INDEX(Catálogo!B$4:B$1000,MATCH($A$1&amp;"|"&amp;5,Índice!$A$4:$A$1000,0)),"")</f>
        <v>SPPCS — Perfil de Autoperceção para Estudantes Universitários</v>
      </c>
      <c r="C8" s="6" t="str">
        <f aca="false">IFERROR(INDEX(Catálogo!C$4:C$1000,MATCH($A$1&amp;"|"&amp;5,Índice!$A$4:$A$1000,0)),"")</f>
        <v>Autoconceito &amp; Autoestima</v>
      </c>
      <c r="D8" s="6" t="str">
        <f aca="false">IFERROR(INDEX(Catálogo!D$4:D$1000,MATCH($A$1&amp;"|"&amp;5,Índice!$A$4:$A$1000,0)),"")</f>
        <v>Paciente</v>
      </c>
      <c r="E8" s="6" t="str">
        <f aca="false">IFERROR(INDEX(Catálogo!E$4:E$1000,MATCH($A$1&amp;"|"&amp;5,Índice!$A$4:$A$1000,0)),"")</f>
        <v>Ensino superior (17–23 anos)</v>
      </c>
      <c r="F8" s="5" t="n">
        <f aca="false">IFERROR(INDEX(Catálogo!F$4:F$1000,MATCH($A$1&amp;"|"&amp;5,Índice!$A$4:$A$1000,0)),"")</f>
        <v>1.4</v>
      </c>
      <c r="G8" s="5" t="n">
        <f aca="false">IFERROR(INDEX(Catálogo!G$4:G$1000,MATCH($A$1&amp;"|"&amp;5,Índice!$A$4:$A$1000,0)),"")</f>
        <v>2.5</v>
      </c>
      <c r="H8" s="5" t="n">
        <f aca="false">IFERROR(INDEX(Catálogo!H$4:H$1000,MATCH($A$1&amp;"|"&amp;5,Índice!$A$4:$A$1000,0)),"")</f>
        <v>16</v>
      </c>
      <c r="I8" s="6" t="str">
        <f aca="false">IFERROR(INDEX(Catálogo!I$4:I$1000,MATCH($A$1&amp;"|"&amp;5,Índice!$A$4:$A$1000,0)),"")</f>
        <v>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v>
      </c>
      <c r="J8" s="6" t="str">
        <f aca="false">IFERROR(INDEX(Catálogo!J$4:J$1000,MATCH($A$1&amp;"|"&amp;5,Índice!$A$4:$A$1000,0)),"")</f>
        <v>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v>
      </c>
      <c r="K8" s="6" t="str">
        <f aca="false">IFERROR(INDEX(Catálogo!K$4:K$1000,MATCH($A$1&amp;"|"&amp;5,Índice!$A$4:$A$1000,0)),"")</f>
        <v>sppcs</v>
      </c>
      <c r="L8" s="6" t="str">
        <f aca="false">IFERROR(INDEX(Catálogo!L$4:L$1000,MATCH($A$1&amp;"|"&amp;5,Índice!$A$4:$A$1000,0)),"")</f>
        <v>q_sppcs</v>
      </c>
      <c r="M8" s="7" t="str">
        <f aca="false">IFERROR(INDEX(Catálogo!M$4:M$1000,MATCH($A$1&amp;"|"&amp;5,Índice!$A$4:$A$1000,0)),"")</f>
        <v>https://correiaricardina-ui.github.io/questionarios/SPPCS_v1.html</v>
      </c>
    </row>
    <row r="9" customFormat="false" ht="42" hidden="false" customHeight="true" outlineLevel="0" collapsed="false">
      <c r="A9" s="5" t="n">
        <f aca="false">IFERROR(INDEX(Catálogo!A$4:A$1000,MATCH($A$1&amp;"|"&amp;6,Índice!$A$4:$A$1000,0)),"")</f>
        <v>145</v>
      </c>
      <c r="B9" s="6" t="str">
        <f aca="false">IFERROR(INDEX(Catálogo!B$4:B$1000,MATCH($A$1&amp;"|"&amp;6,Índice!$A$4:$A$1000,0)),"")</f>
        <v>SPP-LD — Como Eu Sou + Importância (DAE)</v>
      </c>
      <c r="C9" s="6" t="str">
        <f aca="false">IFERROR(INDEX(Catálogo!C$4:C$1000,MATCH($A$1&amp;"|"&amp;6,Índice!$A$4:$A$1000,0)),"")</f>
        <v>Autoconceito &amp; Autoestima</v>
      </c>
      <c r="D9" s="6" t="str">
        <f aca="false">IFERROR(INDEX(Catálogo!D$4:D$1000,MATCH($A$1&amp;"|"&amp;6,Índice!$A$4:$A$1000,0)),"")</f>
        <v>Filho(a)</v>
      </c>
      <c r="E9" s="6" t="str">
        <f aca="false">IFERROR(INDEX(Catálogo!E$4:E$1000,MATCH($A$1&amp;"|"&amp;6,Índice!$A$4:$A$1000,0)),"")</f>
        <v>3.º–8.º ano (8–15 anos)</v>
      </c>
      <c r="F9" s="5" t="n">
        <f aca="false">IFERROR(INDEX(Catálogo!F$4:F$1000,MATCH($A$1&amp;"|"&amp;6,Índice!$A$4:$A$1000,0)),"")</f>
        <v>0.7</v>
      </c>
      <c r="G9" s="5" t="n">
        <f aca="false">IFERROR(INDEX(Catálogo!G$4:G$1000,MATCH($A$1&amp;"|"&amp;6,Índice!$A$4:$A$1000,0)),"")</f>
        <v>1.2</v>
      </c>
      <c r="H9" s="5" t="n">
        <f aca="false">IFERROR(INDEX(Catálogo!H$4:H$1000,MATCH($A$1&amp;"|"&amp;6,Índice!$A$4:$A$1000,0)),"")</f>
        <v>13</v>
      </c>
      <c r="I9" s="6" t="str">
        <f aca="false">IFERROR(INDEX(Catálogo!I$4:I$1000,MATCH($A$1&amp;"|"&amp;6,Índice!$A$4:$A$1000,0)),"")</f>
        <v>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v>
      </c>
      <c r="J9" s="6" t="str">
        <f aca="false">IFERROR(INDEX(Catálogo!J$4:J$1000,MATCH($A$1&amp;"|"&amp;6,Índice!$A$4:$A$1000,0)),"")</f>
        <v>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v>
      </c>
      <c r="K9" s="6" t="str">
        <f aca="false">IFERROR(INDEX(Catálogo!K$4:K$1000,MATCH($A$1&amp;"|"&amp;6,Índice!$A$4:$A$1000,0)),"")</f>
        <v>sppld</v>
      </c>
      <c r="L9" s="6" t="str">
        <f aca="false">IFERROR(INDEX(Catálogo!L$4:L$1000,MATCH($A$1&amp;"|"&amp;6,Índice!$A$4:$A$1000,0)),"")</f>
        <v>q_sppld</v>
      </c>
      <c r="M9" s="7" t="str">
        <f aca="false">IFERROR(INDEX(Catálogo!M$4:M$1000,MATCH($A$1&amp;"|"&amp;6,Índice!$A$4:$A$1000,0)),"")</f>
        <v>https://correiaricardina-ui.github.io/questionarios/SPPLD_Bateria.html</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sheetData>
  <autoFilter ref="A3:M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115</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v>
      </c>
      <c r="B4" s="6" t="str">
        <f aca="false">IFERROR(INDEX(Catálogo!B$4:B$1000,MATCH($A$1&amp;"|"&amp;1,Índice!$A$4:$A$1000,0)),"")</f>
        <v>BAS-3 — Bateria de Socialização</v>
      </c>
      <c r="C4" s="6" t="str">
        <f aca="false">IFERROR(INDEX(Catálogo!C$4:C$1000,MATCH($A$1&amp;"|"&amp;1,Índice!$A$4:$A$1000,0)),"")</f>
        <v>Competências Sociais &amp; Assertividade</v>
      </c>
      <c r="D4" s="6" t="str">
        <f aca="false">IFERROR(INDEX(Catálogo!D$4:D$1000,MATCH($A$1&amp;"|"&amp;1,Índice!$A$4:$A$1000,0)),"")</f>
        <v>Paciente</v>
      </c>
      <c r="E4" s="6" t="str">
        <f aca="false">IFERROR(INDEX(Catálogo!E$4:E$1000,MATCH($A$1&amp;"|"&amp;1,Índice!$A$4:$A$1000,0)),"")</f>
        <v>11–18 anos</v>
      </c>
      <c r="F4" s="5" t="n">
        <f aca="false">IFERROR(INDEX(Catálogo!F$4:F$1000,MATCH($A$1&amp;"|"&amp;1,Índice!$A$4:$A$1000,0)),"")</f>
        <v>11</v>
      </c>
      <c r="G4" s="5" t="n">
        <f aca="false">IFERROR(INDEX(Catálogo!G$4:G$1000,MATCH($A$1&amp;"|"&amp;1,Índice!$A$4:$A$1000,0)),"")</f>
        <v>17.9</v>
      </c>
      <c r="H4" s="5" t="n">
        <f aca="false">IFERROR(INDEX(Catálogo!H$4:H$1000,MATCH($A$1&amp;"|"&amp;1,Índice!$A$4:$A$1000,0)),"")</f>
        <v>6</v>
      </c>
      <c r="I4" s="6" t="str">
        <f aca="false">IFERROR(INDEX(Catálogo!I$4:I$1000,MATCH($A$1&amp;"|"&amp;1,Índice!$A$4:$A$1000,0)),"")</f>
        <v>Avaliar competências sociais — auto-avaliação (Silva Moreno &amp; Martorell Pallás, 1989/1995; adapt. CEGOC-TEA, 2005)</v>
      </c>
      <c r="J4" s="6" t="str">
        <f aca="false">IFERROR(INDEX(Catálogo!J$4:J$1000,MATCH($A$1&amp;"|"&amp;1,Índice!$A$4:$A$1000,0)),"")</f>
        <v>Consideração pelos outros (Co); Auto-controlo nas relações sociais (Ac); Isolamento social (Is); Ansiedade social/Timidez (At); Liderança (Li); Sinceridade (S)</v>
      </c>
      <c r="K4" s="6" t="str">
        <f aca="false">IFERROR(INDEX(Catálogo!K$4:K$1000,MATCH($A$1&amp;"|"&amp;1,Índice!$A$4:$A$1000,0)),"")</f>
        <v>bas3</v>
      </c>
      <c r="L4" s="6" t="str">
        <f aca="false">IFERROR(INDEX(Catálogo!L$4:L$1000,MATCH($A$1&amp;"|"&amp;1,Índice!$A$4:$A$1000,0)),"")</f>
        <v>q_bas3</v>
      </c>
      <c r="M4" s="7" t="str">
        <f aca="false">IFERROR(INDEX(Catálogo!M$4:M$1000,MATCH($A$1&amp;"|"&amp;1,Índice!$A$4:$A$1000,0)),"")</f>
        <v>https://correiaricardina-ui.github.io/questionarios/BAS3_v1.html</v>
      </c>
    </row>
    <row r="5" customFormat="false" ht="42" hidden="false" customHeight="true" outlineLevel="0" collapsed="false">
      <c r="A5" s="5" t="n">
        <f aca="false">IFERROR(INDEX(Catálogo!A$4:A$1000,MATCH($A$1&amp;"|"&amp;2,Índice!$A$4:$A$1000,0)),"")</f>
        <v>23</v>
      </c>
      <c r="B5" s="6" t="str">
        <f aca="false">IFERROR(INDEX(Catálogo!B$4:B$1000,MATCH($A$1&amp;"|"&amp;2,Índice!$A$4:$A$1000,0)),"")</f>
        <v>CABS — Comportamento Assertivo (Autorrelato)</v>
      </c>
      <c r="C5" s="6" t="str">
        <f aca="false">IFERROR(INDEX(Catálogo!C$4:C$1000,MATCH($A$1&amp;"|"&amp;2,Índice!$A$4:$A$1000,0)),"")</f>
        <v>Competências Sociais &amp; Assertividade</v>
      </c>
      <c r="D5" s="6" t="str">
        <f aca="false">IFERROR(INDEX(Catálogo!D$4:D$1000,MATCH($A$1&amp;"|"&amp;2,Índice!$A$4:$A$1000,0)),"")</f>
        <v>Filho(a)</v>
      </c>
      <c r="E5" s="6" t="str">
        <f aca="false">IFERROR(INDEX(Catálogo!E$4:E$1000,MATCH($A$1&amp;"|"&amp;2,Índice!$A$4:$A$1000,0)),"")</f>
        <v>8–18 anos</v>
      </c>
      <c r="F5" s="5" t="n">
        <f aca="false">IFERROR(INDEX(Catálogo!F$4:F$1000,MATCH($A$1&amp;"|"&amp;2,Índice!$A$4:$A$1000,0)),"")</f>
        <v>0.7</v>
      </c>
      <c r="G5" s="5" t="n">
        <f aca="false">IFERROR(INDEX(Catálogo!G$4:G$1000,MATCH($A$1&amp;"|"&amp;2,Índice!$A$4:$A$1000,0)),"")</f>
        <v>1.5</v>
      </c>
      <c r="H5" s="5" t="n">
        <f aca="false">IFERROR(INDEX(Catálogo!H$4:H$1000,MATCH($A$1&amp;"|"&amp;2,Índice!$A$4:$A$1000,0)),"")</f>
        <v>4</v>
      </c>
      <c r="I5" s="6" t="str">
        <f aca="false">IFERROR(INDEX(Catálogo!I$4:I$1000,MATCH($A$1&amp;"|"&amp;2,Índice!$A$4:$A$1000,0)),"")</f>
        <v>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v>
      </c>
      <c r="J5" s="6" t="str">
        <f aca="false">IFERROR(INDEX(Catálogo!J$4:J$1000,MATCH($A$1&amp;"|"&amp;2,Índice!$A$4:$A$1000,0)),"")</f>
        <v>Perfil Passivo; Perfil Agressivo; Score Total de Não Assertividade; Respostas Assertivas</v>
      </c>
      <c r="K5" s="6" t="str">
        <f aca="false">IFERROR(INDEX(Catálogo!K$4:K$1000,MATCH($A$1&amp;"|"&amp;2,Índice!$A$4:$A$1000,0)),"")</f>
        <v>cabs_auto</v>
      </c>
      <c r="L5" s="6" t="str">
        <f aca="false">IFERROR(INDEX(Catálogo!L$4:L$1000,MATCH($A$1&amp;"|"&amp;2,Índice!$A$4:$A$1000,0)),"")</f>
        <v>q_cabs_auto</v>
      </c>
      <c r="M5" s="7" t="str">
        <f aca="false">IFERROR(INDEX(Catálogo!M$4:M$1000,MATCH($A$1&amp;"|"&amp;2,Índice!$A$4:$A$1000,0)),"")</f>
        <v>https://correiaricardina-ui.github.io/questionarios/CABS_Autorrelato.html</v>
      </c>
    </row>
    <row r="6" customFormat="false" ht="42" hidden="false" customHeight="true" outlineLevel="0" collapsed="false">
      <c r="A6" s="5" t="n">
        <f aca="false">IFERROR(INDEX(Catálogo!A$4:A$1000,MATCH($A$1&amp;"|"&amp;3,Índice!$A$4:$A$1000,0)),"")</f>
        <v>24</v>
      </c>
      <c r="B6" s="6" t="str">
        <f aca="false">IFERROR(INDEX(Catálogo!B$4:B$1000,MATCH($A$1&amp;"|"&amp;3,Índice!$A$4:$A$1000,0)),"")</f>
        <v>CABS — Comportamento Assertivo (Heterorrelato)</v>
      </c>
      <c r="C6" s="6" t="str">
        <f aca="false">IFERROR(INDEX(Catálogo!C$4:C$1000,MATCH($A$1&amp;"|"&amp;3,Índice!$A$4:$A$1000,0)),"")</f>
        <v>Competências Sociais &amp; Assertividade</v>
      </c>
      <c r="D6" s="6" t="str">
        <f aca="false">IFERROR(INDEX(Catálogo!D$4:D$1000,MATCH($A$1&amp;"|"&amp;3,Índice!$A$4:$A$1000,0)),"")</f>
        <v>Mãe, Pai, Enc. Educação</v>
      </c>
      <c r="E6" s="6" t="str">
        <f aca="false">IFERROR(INDEX(Catálogo!E$4:E$1000,MATCH($A$1&amp;"|"&amp;3,Índice!$A$4:$A$1000,0)),"")</f>
        <v>4–18 anos</v>
      </c>
      <c r="F6" s="5" t="n">
        <f aca="false">IFERROR(INDEX(Catálogo!F$4:F$1000,MATCH($A$1&amp;"|"&amp;3,Índice!$A$4:$A$1000,0)),"")</f>
        <v>0.3</v>
      </c>
      <c r="G6" s="5" t="n">
        <f aca="false">IFERROR(INDEX(Catálogo!G$4:G$1000,MATCH($A$1&amp;"|"&amp;3,Índice!$A$4:$A$1000,0)),"")</f>
        <v>1.5</v>
      </c>
      <c r="H6" s="5" t="n">
        <f aca="false">IFERROR(INDEX(Catálogo!H$4:H$1000,MATCH($A$1&amp;"|"&amp;3,Índice!$A$4:$A$1000,0)),"")</f>
        <v>4</v>
      </c>
      <c r="I6" s="6" t="str">
        <f aca="false">IFERROR(INDEX(Catálogo!I$4:I$1000,MATCH($A$1&amp;"|"&amp;3,Índice!$A$4:$A$1000,0)),"")</f>
        <v>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v>
      </c>
      <c r="J6" s="6" t="str">
        <f aca="false">IFERROR(INDEX(Catálogo!J$4:J$1000,MATCH($A$1&amp;"|"&amp;3,Índice!$A$4:$A$1000,0)),"")</f>
        <v>Perfil Passivo; Perfil Agressivo; Score Total de Não Assertividade; Respostas Assertivas</v>
      </c>
      <c r="K6" s="6" t="str">
        <f aca="false">IFERROR(INDEX(Catálogo!K$4:K$1000,MATCH($A$1&amp;"|"&amp;3,Índice!$A$4:$A$1000,0)),"")</f>
        <v>cabs_hetero</v>
      </c>
      <c r="L6" s="6" t="str">
        <f aca="false">IFERROR(INDEX(Catálogo!L$4:L$1000,MATCH($A$1&amp;"|"&amp;3,Índice!$A$4:$A$1000,0)),"")</f>
        <v>q_cabs_hetero</v>
      </c>
      <c r="M6" s="7" t="str">
        <f aca="false">IFERROR(INDEX(Catálogo!M$4:M$1000,MATCH($A$1&amp;"|"&amp;3,Índice!$A$4:$A$1000,0)),"")</f>
        <v>https://correiaricardina-ui.github.io/questionarios/CABS_Heterorrelato.html</v>
      </c>
    </row>
    <row r="7" customFormat="false" ht="42" hidden="false" customHeight="true" outlineLevel="0" collapsed="false">
      <c r="A7" s="5" t="n">
        <f aca="false">IFERROR(INDEX(Catálogo!A$4:A$1000,MATCH($A$1&amp;"|"&amp;4,Índice!$A$4:$A$1000,0)),"")</f>
        <v>118</v>
      </c>
      <c r="B7" s="6" t="str">
        <f aca="false">IFERROR(INDEX(Catálogo!B$4:B$1000,MATCH($A$1&amp;"|"&amp;4,Índice!$A$4:$A$1000,0)),"")</f>
        <v>QACSE-C — Competências Socioemocionais (Complementar à BAS-3)</v>
      </c>
      <c r="C7" s="6" t="str">
        <f aca="false">IFERROR(INDEX(Catálogo!C$4:C$1000,MATCH($A$1&amp;"|"&amp;4,Índice!$A$4:$A$1000,0)),"")</f>
        <v>Competências Sociais &amp; Assertividade</v>
      </c>
      <c r="D7" s="6" t="str">
        <f aca="false">IFERROR(INDEX(Catálogo!D$4:D$1000,MATCH($A$1&amp;"|"&amp;4,Índice!$A$4:$A$1000,0)),"")</f>
        <v>Paciente</v>
      </c>
      <c r="E7" s="6" t="str">
        <f aca="false">IFERROR(INDEX(Catálogo!E$4:E$1000,MATCH($A$1&amp;"|"&amp;4,Índice!$A$4:$A$1000,0)),"")</f>
        <v>10–17 anos</v>
      </c>
      <c r="F7" s="5" t="n">
        <f aca="false">IFERROR(INDEX(Catálogo!F$4:F$1000,MATCH($A$1&amp;"|"&amp;4,Índice!$A$4:$A$1000,0)),"")</f>
        <v>10</v>
      </c>
      <c r="G7" s="5" t="n">
        <f aca="false">IFERROR(INDEX(Catálogo!G$4:G$1000,MATCH($A$1&amp;"|"&amp;4,Índice!$A$4:$A$1000,0)),"")</f>
        <v>17.9</v>
      </c>
      <c r="H7" s="5" t="n">
        <f aca="false">IFERROR(INDEX(Catálogo!H$4:H$1000,MATCH($A$1&amp;"|"&amp;4,Índice!$A$4:$A$1000,0)),"")</f>
        <v>5</v>
      </c>
      <c r="I7" s="6" t="str">
        <f aca="false">IFERROR(INDEX(Catálogo!I$4:I$1000,MATCH($A$1&amp;"|"&amp;4,Índice!$A$4:$A$1000,0)),"")</f>
        <v>Cobrir as cinco dimensões CASEL ausentes da BAS-3 — auto-relato, complementar (Coelho &amp; Sousa, 2016)</v>
      </c>
      <c r="J7" s="6" t="str">
        <f aca="false">IFERROR(INDEX(Catálogo!J$4:J$1000,MATCH($A$1&amp;"|"&amp;4,Índice!$A$4:$A$1000,0)),"")</f>
        <v>Autoconsciência Emocional (ACE); Regulação Emocional (RE); Tomada de Perspetiva (TP); Resolução Assertiva de Conflitos (RAC); Tomada de Decisão Responsável (TDR)</v>
      </c>
      <c r="K7" s="6" t="str">
        <f aca="false">IFERROR(INDEX(Catálogo!K$4:K$1000,MATCH($A$1&amp;"|"&amp;4,Índice!$A$4:$A$1000,0)),"")</f>
        <v>qacse_c</v>
      </c>
      <c r="L7" s="6" t="str">
        <f aca="false">IFERROR(INDEX(Catálogo!L$4:L$1000,MATCH($A$1&amp;"|"&amp;4,Índice!$A$4:$A$1000,0)),"")</f>
        <v>q_qacse_c</v>
      </c>
      <c r="M7" s="7" t="str">
        <f aca="false">IFERROR(INDEX(Catálogo!M$4:M$1000,MATCH($A$1&amp;"|"&amp;4,Índice!$A$4:$A$1000,0)),"")</f>
        <v>https://correiaricardina-ui.github.io/questionarios/QACSE_C_v1.html</v>
      </c>
    </row>
    <row r="8" customFormat="false" ht="42" hidden="false" customHeight="true" outlineLevel="0" collapsed="false">
      <c r="A8" s="5" t="n">
        <f aca="false">IFERROR(INDEX(Catálogo!A$4:A$1000,MATCH($A$1&amp;"|"&amp;5,Índice!$A$4:$A$1000,0)),"")</f>
        <v>119</v>
      </c>
      <c r="B8" s="6" t="str">
        <f aca="false">IFERROR(INDEX(Catálogo!B$4:B$1000,MATCH($A$1&amp;"|"&amp;5,Índice!$A$4:$A$1000,0)),"")</f>
        <v>QACSE-R — Competências Socioemocionais (reduzida)</v>
      </c>
      <c r="C8" s="6" t="str">
        <f aca="false">IFERROR(INDEX(Catálogo!C$4:C$1000,MATCH($A$1&amp;"|"&amp;5,Índice!$A$4:$A$1000,0)),"")</f>
        <v>Competências Sociais &amp; Assertividade</v>
      </c>
      <c r="D8" s="6" t="str">
        <f aca="false">IFERROR(INDEX(Catálogo!D$4:D$1000,MATCH($A$1&amp;"|"&amp;5,Índice!$A$4:$A$1000,0)),"")</f>
        <v>Paciente</v>
      </c>
      <c r="E8" s="6" t="str">
        <f aca="false">IFERROR(INDEX(Catálogo!E$4:E$1000,MATCH($A$1&amp;"|"&amp;5,Índice!$A$4:$A$1000,0)),"")</f>
        <v>10–16 anos</v>
      </c>
      <c r="F8" s="5" t="n">
        <f aca="false">IFERROR(INDEX(Catálogo!F$4:F$1000,MATCH($A$1&amp;"|"&amp;5,Índice!$A$4:$A$1000,0)),"")</f>
        <v>10</v>
      </c>
      <c r="G8" s="5" t="n">
        <f aca="false">IFERROR(INDEX(Catálogo!G$4:G$1000,MATCH($A$1&amp;"|"&amp;5,Índice!$A$4:$A$1000,0)),"")</f>
        <v>15.9</v>
      </c>
      <c r="H8" s="5" t="n">
        <f aca="false">IFERROR(INDEX(Catálogo!H$4:H$1000,MATCH($A$1&amp;"|"&amp;5,Índice!$A$4:$A$1000,0)),"")</f>
        <v>4</v>
      </c>
      <c r="I8" s="6" t="str">
        <f aca="false">IFERROR(INDEX(Catálogo!I$4:I$1000,MATCH($A$1&amp;"|"&amp;5,Índice!$A$4:$A$1000,0)),"")</f>
        <v>Avaliar competências socioemocionais — auto-relato, versão reduzida (Coelho &amp; Sousa, 2020)</v>
      </c>
      <c r="J8" s="6" t="str">
        <f aca="false">IFERROR(INDEX(Catálogo!J$4:J$1000,MATCH($A$1&amp;"|"&amp;5,Índice!$A$4:$A$1000,0)),"")</f>
        <v>Autocontrolo (AC); Competências Relacionais (CR); Isolamento Social (IS); Ansiedade Social (AS)</v>
      </c>
      <c r="K8" s="6" t="str">
        <f aca="false">IFERROR(INDEX(Catálogo!K$4:K$1000,MATCH($A$1&amp;"|"&amp;5,Índice!$A$4:$A$1000,0)),"")</f>
        <v>qacse_r</v>
      </c>
      <c r="L8" s="6" t="str">
        <f aca="false">IFERROR(INDEX(Catálogo!L$4:L$1000,MATCH($A$1&amp;"|"&amp;5,Índice!$A$4:$A$1000,0)),"")</f>
        <v>q_qacse_r</v>
      </c>
      <c r="M8" s="7" t="str">
        <f aca="false">IFERROR(INDEX(Catálogo!M$4:M$1000,MATCH($A$1&amp;"|"&amp;5,Índice!$A$4:$A$1000,0)),"")</f>
        <v>https://correiaricardina-ui.github.io/questionarios/QACSE_R_v1.html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546</v>
      </c>
      <c r="I1" s="17" t="str">
        <f aca="false">COUNTIF(Catálogo!$C$4:$C$1000,$A$1)&amp;IF(COUNTIF(Catálogo!$C$4:$C$1000,$A$1)=1," instrumento nesta área"," instrumentos nesta área")</f>
        <v>7 instrumentos nesta área</v>
      </c>
    </row>
    <row r="2" customFormat="false" ht="15" hidden="false" customHeight="true" outlineLevel="0" collapsed="false">
      <c r="A2" s="18" t="s">
        <v>1331</v>
      </c>
      <c r="I2" s="19" t="str">
        <f aca="false">IF(COUNTIF(Catálogo!$C$4:$C$1000,$A$1)&gt;15,"⚠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78</v>
      </c>
      <c r="B4" s="6" t="str">
        <f aca="false">IFERROR(INDEX(Catálogo!B$4:B$1000,MATCH($A$1&amp;"|"&amp;1,Índice!$A$4:$A$1000,0)),"")</f>
        <v>IIM — Adolescentes/Adultos</v>
      </c>
      <c r="C4" s="6" t="str">
        <f aca="false">IFERROR(INDEX(Catálogo!C$4:C$1000,MATCH($A$1&amp;"|"&amp;1,Índice!$A$4:$A$1000,0)),"")</f>
        <v>Orientação Vocacional &amp; Inteligências</v>
      </c>
      <c r="D4" s="6" t="str">
        <f aca="false">IFERROR(INDEX(Catálogo!D$4:D$1000,MATCH($A$1&amp;"|"&amp;1,Índice!$A$4:$A$1000,0)),"")</f>
        <v>Paciente</v>
      </c>
      <c r="E4" s="6" t="str">
        <f aca="false">IFERROR(INDEX(Catálogo!E$4:E$1000,MATCH($A$1&amp;"|"&amp;1,Índice!$A$4:$A$1000,0)),"")</f>
        <v>≥ 13 anos</v>
      </c>
      <c r="F4" s="5" t="n">
        <f aca="false">IFERROR(INDEX(Catálogo!F$4:F$1000,MATCH($A$1&amp;"|"&amp;1,Índice!$A$4:$A$1000,0)),"")</f>
        <v>13</v>
      </c>
      <c r="G4" s="5" t="n">
        <f aca="false">IFERROR(INDEX(Catálogo!G$4:G$1000,MATCH($A$1&amp;"|"&amp;1,Índice!$A$4:$A$1000,0)),"")</f>
        <v>99</v>
      </c>
      <c r="H4" s="5" t="n">
        <f aca="false">IFERROR(INDEX(Catálogo!H$4:H$1000,MATCH($A$1&amp;"|"&amp;1,Índice!$A$4:$A$1000,0)),"")</f>
        <v>16</v>
      </c>
      <c r="I4" s="6" t="str">
        <f aca="false">IFERROR(INDEX(Catálogo!I$4:I$1000,MATCH($A$1&amp;"|"&amp;1,Índice!$A$4:$A$1000,0)),"")</f>
        <v>Auto-relato adolescente/adulto de preferências e competências por inteligência (Gardner, 1983/1995). Aplicação clínica em orientação vocacional, autoconhecimento e identificação de domínios de eleição. Avalia AUTO-PERCEÇÃO — NÃO substitui provas de aptidão.</v>
      </c>
      <c r="J4" s="6" t="str">
        <f aca="false">IFERROR(INDEX(Catálogo!J$4:J$1000,MATCH($A$1&amp;"|"&amp;1,Índice!$A$4:$A$1000,0)),"")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4" s="6" t="str">
        <f aca="false">IFERROR(INDEX(Catálogo!K$4:K$1000,MATCH($A$1&amp;"|"&amp;1,Índice!$A$4:$A$1000,0)),"")</f>
        <v>iimadoladultos</v>
      </c>
      <c r="L4" s="6" t="str">
        <f aca="false">IFERROR(INDEX(Catálogo!L$4:L$1000,MATCH($A$1&amp;"|"&amp;1,Índice!$A$4:$A$1000,0)),"")</f>
        <v>q_iim_adoladultos</v>
      </c>
      <c r="M4" s="7" t="str">
        <f aca="false">IFERROR(INDEX(Catálogo!M$4:M$1000,MATCH($A$1&amp;"|"&amp;1,Índice!$A$4:$A$1000,0)),"")</f>
        <v>https://correiaricardina-ui.github.io/questionarios/IIM_AdolAdultos_v1.html</v>
      </c>
    </row>
    <row r="5" customFormat="false" ht="42" hidden="false" customHeight="true" outlineLevel="0" collapsed="false">
      <c r="A5" s="5" t="n">
        <f aca="false">IFERROR(INDEX(Catálogo!A$4:A$1000,MATCH($A$1&amp;"|"&amp;2,Índice!$A$4:$A$1000,0)),"")</f>
        <v>79</v>
      </c>
      <c r="B5" s="6" t="str">
        <f aca="false">IFERROR(INDEX(Catálogo!B$4:B$1000,MATCH($A$1&amp;"|"&amp;2,Índice!$A$4:$A$1000,0)),"")</f>
        <v>IIM — Crianças</v>
      </c>
      <c r="C5" s="6" t="str">
        <f aca="false">IFERROR(INDEX(Catálogo!C$4:C$1000,MATCH($A$1&amp;"|"&amp;2,Índice!$A$4:$A$1000,0)),"")</f>
        <v>Orientação Vocacional &amp; Inteligências</v>
      </c>
      <c r="D5" s="6" t="str">
        <f aca="false">IFERROR(INDEX(Catálogo!D$4:D$1000,MATCH($A$1&amp;"|"&amp;2,Índice!$A$4:$A$1000,0)),"")</f>
        <v>Paciente</v>
      </c>
      <c r="E5" s="6" t="str">
        <f aca="false">IFERROR(INDEX(Catálogo!E$4:E$1000,MATCH($A$1&amp;"|"&amp;2,Índice!$A$4:$A$1000,0)),"")</f>
        <v>8–12 anos</v>
      </c>
      <c r="F5" s="5" t="n">
        <f aca="false">IFERROR(INDEX(Catálogo!F$4:F$1000,MATCH($A$1&amp;"|"&amp;2,Índice!$A$4:$A$1000,0)),"")</f>
        <v>8</v>
      </c>
      <c r="G5" s="5" t="n">
        <f aca="false">IFERROR(INDEX(Catálogo!G$4:G$1000,MATCH($A$1&amp;"|"&amp;2,Índice!$A$4:$A$1000,0)),"")</f>
        <v>12.9</v>
      </c>
      <c r="H5" s="5" t="n">
        <f aca="false">IFERROR(INDEX(Catálogo!H$4:H$1000,MATCH($A$1&amp;"|"&amp;2,Índice!$A$4:$A$1000,0)),"")</f>
        <v>16</v>
      </c>
      <c r="I5" s="6" t="str">
        <f aca="false">IFERROR(INDEX(Catálogo!I$4:I$1000,MATCH($A$1&amp;"|"&amp;2,Índice!$A$4:$A$1000,0)),"")</f>
        <v>Auto-relato infantil de preferências e competências por inteligência (Gardner, 1983/1995). Linguagem adaptada à criança. Avalia AUTO-PERCEÇÃO — não capacidade real medida. Orientação para autoconhecimento e identificação de áreas de força.</v>
      </c>
      <c r="J5" s="6" t="str">
        <f aca="false">IFERROR(INDEX(Catálogo!J$4:J$1000,MATCH($A$1&amp;"|"&amp;2,Índice!$A$4:$A$1000,0)),"")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5" s="6" t="str">
        <f aca="false">IFERROR(INDEX(Catálogo!K$4:K$1000,MATCH($A$1&amp;"|"&amp;2,Índice!$A$4:$A$1000,0)),"")</f>
        <v>iimcriancas</v>
      </c>
      <c r="L5" s="6" t="str">
        <f aca="false">IFERROR(INDEX(Catálogo!L$4:L$1000,MATCH($A$1&amp;"|"&amp;2,Índice!$A$4:$A$1000,0)),"")</f>
        <v>q_iim_criancas</v>
      </c>
      <c r="M5" s="7" t="str">
        <f aca="false">IFERROR(INDEX(Catálogo!M$4:M$1000,MATCH($A$1&amp;"|"&amp;2,Índice!$A$4:$A$1000,0)),"")</f>
        <v>https://correiaricardina-ui.github.io/questionarios/IIM_Criancas_v1.html</v>
      </c>
    </row>
    <row r="6" customFormat="false" ht="42" hidden="false" customHeight="true" outlineLevel="0" collapsed="false">
      <c r="A6" s="5" t="n">
        <f aca="false">IFERROR(INDEX(Catálogo!A$4:A$1000,MATCH($A$1&amp;"|"&amp;3,Índice!$A$4:$A$1000,0)),"")</f>
        <v>80</v>
      </c>
      <c r="B6" s="6" t="str">
        <f aca="false">IFERROR(INDEX(Catálogo!B$4:B$1000,MATCH($A$1&amp;"|"&amp;3,Índice!$A$4:$A$1000,0)),"")</f>
        <v>IIM — Heterorrelato</v>
      </c>
      <c r="C6" s="6" t="str">
        <f aca="false">IFERROR(INDEX(Catálogo!C$4:C$1000,MATCH($A$1&amp;"|"&amp;3,Índice!$A$4:$A$1000,0)),"")</f>
        <v>Orientação Vocacional &amp; Inteligências</v>
      </c>
      <c r="D6" s="6" t="str">
        <f aca="false">IFERROR(INDEX(Catálogo!D$4:D$1000,MATCH($A$1&amp;"|"&amp;3,Índice!$A$4:$A$1000,0)),"")</f>
        <v>Mãe, Pai, Enc. Educação, Professor(a), Diretor(a) de Turma</v>
      </c>
      <c r="E6" s="6" t="str">
        <f aca="false">IFERROR(INDEX(Catálogo!E$4:E$1000,MATCH($A$1&amp;"|"&amp;3,Índice!$A$4:$A$1000,0)),"")</f>
        <v>6–18 anos</v>
      </c>
      <c r="F6" s="5" t="n">
        <f aca="false">IFERROR(INDEX(Catálogo!F$4:F$1000,MATCH($A$1&amp;"|"&amp;3,Índice!$A$4:$A$1000,0)),"")</f>
        <v>6</v>
      </c>
      <c r="G6" s="5" t="n">
        <f aca="false">IFERROR(INDEX(Catálogo!G$4:G$1000,MATCH($A$1&amp;"|"&amp;3,Índice!$A$4:$A$1000,0)),"")</f>
        <v>17.9</v>
      </c>
      <c r="H6" s="5" t="n">
        <f aca="false">IFERROR(INDEX(Catálogo!H$4:H$1000,MATCH($A$1&amp;"|"&amp;3,Índice!$A$4:$A$1000,0)),"")</f>
        <v>16</v>
      </c>
      <c r="I6" s="6" t="str">
        <f aca="false">IFERROR(INDEX(Catálogo!I$4:I$1000,MATCH($A$1&amp;"|"&amp;3,Índice!$A$4:$A$1000,0)),"")</f>
        <v>Mapear o perfil de auto-perceção de preferências e competências por inteligência (Gardner, 1983/1995) — versão preenchida por pais/professores. Orientação vocacional, autoconhecimento e identificação de áreas de força. NÃO substitui WISC-V/BAEM/MAT.</v>
      </c>
      <c r="J6" s="6" t="str">
        <f aca="false">IFERROR(INDEX(Catálogo!J$4:J$1000,MATCH($A$1&amp;"|"&amp;3,Índice!$A$4:$A$1000,0)),"")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6" s="6" t="str">
        <f aca="false">IFERROR(INDEX(Catálogo!K$4:K$1000,MATCH($A$1&amp;"|"&amp;3,Índice!$A$4:$A$1000,0)),"")</f>
        <v>iimhetero</v>
      </c>
      <c r="L6" s="6" t="str">
        <f aca="false">IFERROR(INDEX(Catálogo!L$4:L$1000,MATCH($A$1&amp;"|"&amp;3,Índice!$A$4:$A$1000,0)),"")</f>
        <v>q_iim_hetero</v>
      </c>
      <c r="M6" s="7" t="str">
        <f aca="false">IFERROR(INDEX(Catálogo!M$4:M$1000,MATCH($A$1&amp;"|"&amp;3,Índice!$A$4:$A$1000,0)),"")</f>
        <v>https://correiaricardina-ui.github.io/questionarios/IIM_Heterorrelato_v1.html</v>
      </c>
    </row>
    <row r="7" customFormat="false" ht="42" hidden="false" customHeight="true" outlineLevel="0" collapsed="false">
      <c r="A7" s="5" t="n">
        <f aca="false">IFERROR(INDEX(Catálogo!A$4:A$1000,MATCH($A$1&amp;"|"&amp;4,Índice!$A$4:$A$1000,0)),"")</f>
        <v>81</v>
      </c>
      <c r="B7" s="6" t="str">
        <f aca="false">IFERROR(INDEX(Catálogo!B$4:B$1000,MATCH($A$1&amp;"|"&amp;4,Índice!$A$4:$A$1000,0)),"")</f>
        <v>IMC-C — Inventário de Maturidade na Carreira (Forma C)</v>
      </c>
      <c r="C7" s="6" t="str">
        <f aca="false">IFERROR(INDEX(Catálogo!C$4:C$1000,MATCH($A$1&amp;"|"&amp;4,Índice!$A$4:$A$1000,0)),"")</f>
        <v>Orientação Vocacional &amp; Inteligências</v>
      </c>
      <c r="D7" s="6" t="str">
        <f aca="false">IFERROR(INDEX(Catálogo!D$4:D$1000,MATCH($A$1&amp;"|"&amp;4,Índice!$A$4:$A$1000,0)),"")</f>
        <v>Jovem avaliado, Paciente</v>
      </c>
      <c r="E7" s="6" t="str">
        <f aca="false">IFERROR(INDEX(Catálogo!E$4:E$1000,MATCH($A$1&amp;"|"&amp;4,Índice!$A$4:$A$1000,0)),"")</f>
        <v>Ensino Secundário</v>
      </c>
      <c r="F7" s="5" t="n">
        <f aca="false">IFERROR(INDEX(Catálogo!F$4:F$1000,MATCH($A$1&amp;"|"&amp;4,Índice!$A$4:$A$1000,0)),"")</f>
        <v>14</v>
      </c>
      <c r="G7" s="5" t="n">
        <f aca="false">IFERROR(INDEX(Catálogo!G$4:G$1000,MATCH($A$1&amp;"|"&amp;4,Índice!$A$4:$A$1000,0)),"")</f>
        <v>99</v>
      </c>
      <c r="H7" s="5" t="n">
        <f aca="false">IFERROR(INDEX(Catálogo!H$4:H$1000,MATCH($A$1&amp;"|"&amp;4,Índice!$A$4:$A$1000,0)),"")</f>
        <v>5</v>
      </c>
      <c r="I7" s="6" t="str">
        <f aca="false">IFERROR(INDEX(Catálogo!I$4:I$1000,MATCH($A$1&amp;"|"&amp;4,Índice!$A$4:$A$1000,0)),"")</f>
        <v>Avaliar a maturidade/adaptabilidade vocacional: prontidão para decisões de carreira</v>
      </c>
      <c r="J7" s="6" t="str">
        <f aca="false">IFERROR(INDEX(Catálogo!J$4:J$1000,MATCH($A$1&amp;"|"&amp;4,Índice!$A$4:$A$1000,0)),"")</f>
        <v>Preocupação; Curiosidade; Confiança; Consulta/Controlo; Escala Total</v>
      </c>
      <c r="K7" s="6" t="str">
        <f aca="false">IFERROR(INDEX(Catálogo!K$4:K$1000,MATCH($A$1&amp;"|"&amp;4,Índice!$A$4:$A$1000,0)),"")</f>
        <v>imc_c</v>
      </c>
      <c r="L7" s="6" t="str">
        <f aca="false">IFERROR(INDEX(Catálogo!L$4:L$1000,MATCH($A$1&amp;"|"&amp;4,Índice!$A$4:$A$1000,0)),"")</f>
        <v>q_imc_c</v>
      </c>
      <c r="M7" s="7" t="str">
        <f aca="false">IFERROR(INDEX(Catálogo!M$4:M$1000,MATCH($A$1&amp;"|"&amp;4,Índice!$A$4:$A$1000,0)),"")</f>
        <v>https://correiaricardina-ui.github.io/questionarios/IMC_C.html</v>
      </c>
    </row>
    <row r="8" customFormat="false" ht="42" hidden="false" customHeight="true" outlineLevel="0" collapsed="false">
      <c r="A8" s="5" t="n">
        <f aca="false">IFERROR(INDEX(Catálogo!A$4:A$1000,MATCH($A$1&amp;"|"&amp;5,Índice!$A$4:$A$1000,0)),"")</f>
        <v>82</v>
      </c>
      <c r="B8" s="6" t="str">
        <f aca="false">IFERROR(INDEX(Catálogo!B$4:B$1000,MATCH($A$1&amp;"|"&amp;5,Índice!$A$4:$A$1000,0)),"")</f>
        <v>IPP-R — Interesses e Preferências Profissionais</v>
      </c>
      <c r="C8" s="6" t="str">
        <f aca="false">IFERROR(INDEX(Catálogo!C$4:C$1000,MATCH($A$1&amp;"|"&amp;5,Índice!$A$4:$A$1000,0)),"")</f>
        <v>Orientação Vocacional &amp; Inteligências</v>
      </c>
      <c r="D8" s="6" t="str">
        <f aca="false">IFERROR(INDEX(Catálogo!D$4:D$1000,MATCH($A$1&amp;"|"&amp;5,Índice!$A$4:$A$1000,0)),"")</f>
        <v>Jovem avaliado, Paciente</v>
      </c>
      <c r="E8" s="6" t="str">
        <f aca="false">IFERROR(INDEX(Catálogo!E$4:E$1000,MATCH($A$1&amp;"|"&amp;5,Índice!$A$4:$A$1000,0)),"")</f>
        <v>≥14 anos</v>
      </c>
      <c r="F8" s="5" t="n">
        <f aca="false">IFERROR(INDEX(Catálogo!F$4:F$1000,MATCH($A$1&amp;"|"&amp;5,Índice!$A$4:$A$1000,0)),"")</f>
        <v>14</v>
      </c>
      <c r="G8" s="5" t="n">
        <f aca="false">IFERROR(INDEX(Catálogo!G$4:G$1000,MATCH($A$1&amp;"|"&amp;5,Índice!$A$4:$A$1000,0)),"")</f>
        <v>99</v>
      </c>
      <c r="H8" s="5" t="n">
        <f aca="false">IFERROR(INDEX(Catálogo!H$4:H$1000,MATCH($A$1&amp;"|"&amp;5,Índice!$A$4:$A$1000,0)),"")</f>
        <v>15</v>
      </c>
      <c r="I8" s="6" t="str">
        <f aca="false">IFERROR(INDEX(Catálogo!I$4:I$1000,MATCH($A$1&amp;"|"&amp;5,Índice!$A$4:$A$1000,0)),"")</f>
        <v>Avaliar interesses e preferências profissionais em 15 campos vocacionais</v>
      </c>
      <c r="J8" s="6" t="str">
        <f aca="false">IFERROR(INDEX(Catálogo!J$4:J$1000,MATCH($A$1&amp;"|"&amp;5,Índice!$A$4:$A$1000,0)),"")</f>
        <v>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v>
      </c>
      <c r="K8" s="6" t="str">
        <f aca="false">IFERROR(INDEX(Catálogo!K$4:K$1000,MATCH($A$1&amp;"|"&amp;5,Índice!$A$4:$A$1000,0)),"")</f>
        <v>ippr</v>
      </c>
      <c r="L8" s="6" t="str">
        <f aca="false">IFERROR(INDEX(Catálogo!L$4:L$1000,MATCH($A$1&amp;"|"&amp;5,Índice!$A$4:$A$1000,0)),"")</f>
        <v>q_ippr</v>
      </c>
      <c r="M8" s="7" t="str">
        <f aca="false">IFERROR(INDEX(Catálogo!M$4:M$1000,MATCH($A$1&amp;"|"&amp;5,Índice!$A$4:$A$1000,0)),"")</f>
        <v>https://correiaricardina-ui.github.io/questionarios/IPP-R_v1.html</v>
      </c>
    </row>
    <row r="9" customFormat="false" ht="42" hidden="false" customHeight="true" outlineLevel="0" collapsed="false">
      <c r="A9" s="5" t="n">
        <f aca="false">IFERROR(INDEX(Catálogo!A$4:A$1000,MATCH($A$1&amp;"|"&amp;6,Índice!$A$4:$A$1000,0)),"")</f>
        <v>86</v>
      </c>
      <c r="B9" s="6" t="str">
        <f aca="false">IFERROR(INDEX(Catálogo!B$4:B$1000,MATCH($A$1&amp;"|"&amp;6,Índice!$A$4:$A$1000,0)),"")</f>
        <v>IVP de Super — Inventário de Valores Profissionais</v>
      </c>
      <c r="C9" s="6" t="str">
        <f aca="false">IFERROR(INDEX(Catálogo!C$4:C$1000,MATCH($A$1&amp;"|"&amp;6,Índice!$A$4:$A$1000,0)),"")</f>
        <v>Orientação Vocacional &amp; Inteligências</v>
      </c>
      <c r="D9" s="6" t="str">
        <f aca="false">IFERROR(INDEX(Catálogo!D$4:D$1000,MATCH($A$1&amp;"|"&amp;6,Índice!$A$4:$A$1000,0)),"")</f>
        <v>Jovem avaliado, Paciente</v>
      </c>
      <c r="E9" s="6" t="str">
        <f aca="false">IFERROR(INDEX(Catálogo!E$4:E$1000,MATCH($A$1&amp;"|"&amp;6,Índice!$A$4:$A$1000,0)),"")</f>
        <v>Ensino Secundário / Adultos</v>
      </c>
      <c r="F9" s="5" t="n">
        <f aca="false">IFERROR(INDEX(Catálogo!F$4:F$1000,MATCH($A$1&amp;"|"&amp;6,Índice!$A$4:$A$1000,0)),"")</f>
        <v>14</v>
      </c>
      <c r="G9" s="5" t="n">
        <f aca="false">IFERROR(INDEX(Catálogo!G$4:G$1000,MATCH($A$1&amp;"|"&amp;6,Índice!$A$4:$A$1000,0)),"")</f>
        <v>99</v>
      </c>
      <c r="H9" s="5" t="n">
        <f aca="false">IFERROR(INDEX(Catálogo!H$4:H$1000,MATCH($A$1&amp;"|"&amp;6,Índice!$A$4:$A$1000,0)),"")</f>
        <v>15</v>
      </c>
      <c r="I9" s="6" t="str">
        <f aca="false">IFERROR(INDEX(Catálogo!I$4:I$1000,MATCH($A$1&amp;"|"&amp;6,Índice!$A$4:$A$1000,0)),"")</f>
        <v>Avaliar os valores profissionais em 15 dimensões: Criatividade, Altruísmo, Estético, Estimulação Intelectual, Êxito, Independência, Prestígio, Direcção, Económico, Segurança, Ambiente, Rel. Superiores, Rel. Colegas, Variedade, Género de Vida</v>
      </c>
      <c r="J9" s="6" t="str">
        <f aca="false">IFERROR(INDEX(Catálogo!J$4:J$1000,MATCH($A$1&amp;"|"&amp;6,Índice!$A$4:$A$1000,0)),"")</f>
        <v>Criatividade; Altruísmo; Estético; Estimulação Intelectual; Êxito; Independência; Prestígio; Direcção; Económico; Segurança; Ambiente; Relação com os Superiores; Relação com os Colegas; Variedade; Género de Vida</v>
      </c>
      <c r="K9" s="6" t="str">
        <f aca="false">IFERROR(INDEX(Catálogo!K$4:K$1000,MATCH($A$1&amp;"|"&amp;6,Índice!$A$4:$A$1000,0)),"")</f>
        <v>ivp_super</v>
      </c>
      <c r="L9" s="6" t="str">
        <f aca="false">IFERROR(INDEX(Catálogo!L$4:L$1000,MATCH($A$1&amp;"|"&amp;6,Índice!$A$4:$A$1000,0)),"")</f>
        <v>q_ivp_super</v>
      </c>
      <c r="M9" s="7" t="str">
        <f aca="false">IFERROR(INDEX(Catálogo!M$4:M$1000,MATCH($A$1&amp;"|"&amp;6,Índice!$A$4:$A$1000,0)),"")</f>
        <v>https://correiaricardina-ui.github.io/questionarios/IVP_Super_v1.html</v>
      </c>
    </row>
    <row r="10" customFormat="false" ht="42" hidden="false" customHeight="true" outlineLevel="0" collapsed="false">
      <c r="A10" s="5" t="n">
        <f aca="false">IFERROR(INDEX(Catálogo!A$4:A$1000,MATCH($A$1&amp;"|"&amp;7,Índice!$A$4:$A$1000,0)),"")</f>
        <v>135</v>
      </c>
      <c r="B10" s="6" t="str">
        <f aca="false">IFERROR(INDEX(Catálogo!B$4:B$1000,MATCH($A$1&amp;"|"&amp;7,Índice!$A$4:$A$1000,0)),"")</f>
        <v>SDS — Self-Directed Search (Holland)</v>
      </c>
      <c r="C10" s="6" t="str">
        <f aca="false">IFERROR(INDEX(Catálogo!C$4:C$1000,MATCH($A$1&amp;"|"&amp;7,Índice!$A$4:$A$1000,0)),"")</f>
        <v>Orientação Vocacional &amp; Inteligências</v>
      </c>
      <c r="D10" s="6" t="str">
        <f aca="false">IFERROR(INDEX(Catálogo!D$4:D$1000,MATCH($A$1&amp;"|"&amp;7,Índice!$A$4:$A$1000,0)),"")</f>
        <v>Jovem avaliado, Paciente</v>
      </c>
      <c r="E10" s="6" t="str">
        <f aca="false">IFERROR(INDEX(Catálogo!E$4:E$1000,MATCH($A$1&amp;"|"&amp;7,Índice!$A$4:$A$1000,0)),"")</f>
        <v>≥13 anos</v>
      </c>
      <c r="F10" s="5" t="n">
        <f aca="false">IFERROR(INDEX(Catálogo!F$4:F$1000,MATCH($A$1&amp;"|"&amp;7,Índice!$A$4:$A$1000,0)),"")</f>
        <v>13</v>
      </c>
      <c r="G10" s="5" t="n">
        <f aca="false">IFERROR(INDEX(Catálogo!G$4:G$1000,MATCH($A$1&amp;"|"&amp;7,Índice!$A$4:$A$1000,0)),"")</f>
        <v>99</v>
      </c>
      <c r="H10" s="5" t="n">
        <f aca="false">IFERROR(INDEX(Catálogo!H$4:H$1000,MATCH($A$1&amp;"|"&amp;7,Índice!$A$4:$A$1000,0)),"")</f>
        <v>7</v>
      </c>
      <c r="I10" s="6" t="str">
        <f aca="false">IFERROR(INDEX(Catálogo!I$4:I$1000,MATCH($A$1&amp;"|"&amp;7,Índice!$A$4:$A$1000,0)),"")</f>
        <v>Avaliar interesses profissionais RIASEC e gerar Código de Holland para orientação vocacional</v>
      </c>
      <c r="J10" s="6" t="str">
        <f aca="false">IFERROR(INDEX(Catálogo!J$4:J$1000,MATCH($A$1&amp;"|"&amp;7,Índice!$A$4:$A$1000,0)),"")</f>
        <v>Realista (R); Investigador (I); Artístico (A); Social (S); Empreendedor (E); Convencional (C); Código Holland</v>
      </c>
      <c r="K10" s="6" t="str">
        <f aca="false">IFERROR(INDEX(Catálogo!K$4:K$1000,MATCH($A$1&amp;"|"&amp;7,Índice!$A$4:$A$1000,0)),"")</f>
        <v>sds_holland</v>
      </c>
      <c r="L10" s="6" t="str">
        <f aca="false">IFERROR(INDEX(Catálogo!L$4:L$1000,MATCH($A$1&amp;"|"&amp;7,Índice!$A$4:$A$1000,0)),"")</f>
        <v>q_sds_holland</v>
      </c>
      <c r="M10" s="7" t="str">
        <f aca="false">IFERROR(INDEX(Catálogo!M$4:M$1000,MATCH($A$1&amp;"|"&amp;7,Índice!$A$4:$A$1000,0)),"")</f>
        <v>https://correiaricardina-ui.github.io/questionarios/SDS_Holland.html</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sheetData>
  <autoFilter ref="A3:M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1289</v>
      </c>
      <c r="I1" s="17" t="str">
        <f aca="false">COUNTIF(Catálogo!$C$4:$C$1000,$A$1)&amp;IF(COUNTIF(Catálogo!$C$4:$C$1000,$A$1)=1," instrumento nesta área"," instrumentos nesta área")</f>
        <v>2 instrumentos nesta área</v>
      </c>
    </row>
    <row r="2" customFormat="false" ht="15" hidden="false" customHeight="true" outlineLevel="0" collapsed="false">
      <c r="A2" s="18" t="s">
        <v>1331</v>
      </c>
      <c r="I2" s="19" t="str">
        <f aca="false">IF(COUNTIF(Catálogo!$C$4:$C$1000,$A$1)&gt;10,"⚠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192</v>
      </c>
      <c r="B4" s="6" t="str">
        <f aca="false">IFERROR(INDEX(Catálogo!B$4:B$1000,MATCH($A$1&amp;"|"&amp;1,Índice!$A$4:$A$1000,0)),"")</f>
        <v>EIFP — Escala de Interferência Funcional Pediátrica (Formas C e P)</v>
      </c>
      <c r="C4" s="6" t="str">
        <f aca="false">IFERROR(INDEX(Catálogo!C$4:C$1000,MATCH($A$1&amp;"|"&amp;1,Índice!$A$4:$A$1000,0)),"")</f>
        <v>Funcionamento &amp; Interferência Funcional</v>
      </c>
      <c r="D4" s="6" t="str">
        <f aca="false">IFERROR(INDEX(Catálogo!D$4:D$1000,MATCH($A$1&amp;"|"&amp;1,Índice!$A$4:$A$1000,0)),"")</f>
        <v>Criança/Jovem,Mãe,Pai,Enc. Educação</v>
      </c>
      <c r="E4" s="6" t="str">
        <f aca="false">IFERROR(INDEX(Catálogo!E$4:E$1000,MATCH($A$1&amp;"|"&amp;1,Índice!$A$4:$A$1000,0)),"")</f>
        <v>7–18 anos</v>
      </c>
      <c r="F4" s="5" t="n">
        <f aca="false">IFERROR(INDEX(Catálogo!F$4:F$1000,MATCH($A$1&amp;"|"&amp;1,Índice!$A$4:$A$1000,0)),"")</f>
        <v>7</v>
      </c>
      <c r="G4" s="5" t="n">
        <f aca="false">IFERROR(INDEX(Catálogo!G$4:G$1000,MATCH($A$1&amp;"|"&amp;1,Índice!$A$4:$A$1000,0)),"")</f>
        <v>18</v>
      </c>
      <c r="H4" s="5" t="n">
        <f aca="false">IFERROR(INDEX(Catálogo!H$4:H$1000,MATCH($A$1&amp;"|"&amp;1,Índice!$A$4:$A$1000,0)),"")</f>
        <v>13</v>
      </c>
      <c r="I4" s="6" t="str">
        <f aca="false">IFERROR(INDEX(Catálogo!I$4:I$1000,MATCH($A$1&amp;"|"&amp;1,Índice!$A$4:$A$1000,0)),"")</f>
        <v>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v>
      </c>
      <c r="J4" s="6" t="str">
        <f aca="false">IFERROR(INDEX(Catálogo!J$4:J$1000,MATCH($A$1&amp;"|"&amp;1,Índice!$A$4:$A$1000,0)),"")</f>
        <v>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v>
      </c>
      <c r="K4" s="6" t="str">
        <f aca="false">IFERROR(INDEX(Catálogo!K$4:K$1000,MATCH($A$1&amp;"|"&amp;1,Índice!$A$4:$A$1000,0)),"")</f>
        <v>eifp</v>
      </c>
      <c r="L4" s="6" t="str">
        <f aca="false">IFERROR(INDEX(Catálogo!L$4:L$1000,MATCH($A$1&amp;"|"&amp;1,Índice!$A$4:$A$1000,0)),"")</f>
        <v>q_eifp</v>
      </c>
      <c r="M4" s="7" t="str">
        <f aca="false">IFERROR(INDEX(Catálogo!M$4:M$1000,MATCH($A$1&amp;"|"&amp;1,Índice!$A$4:$A$1000,0)),"")</f>
        <v>https://correiaricardina-ui.github.io/questionarios/EIFP_v1.html</v>
      </c>
    </row>
    <row r="5" customFormat="false" ht="42" hidden="false" customHeight="true" outlineLevel="0" collapsed="false">
      <c r="A5" s="5" t="n">
        <f aca="false">IFERROR(INDEX(Catálogo!A$4:A$1000,MATCH($A$1&amp;"|"&amp;2,Índice!$A$4:$A$1000,0)),"")</f>
        <v>193</v>
      </c>
      <c r="B5" s="6" t="str">
        <f aca="false">IFERROR(INDEX(Catálogo!B$4:B$1000,MATCH($A$1&amp;"|"&amp;2,Índice!$A$4:$A$1000,0)),"")</f>
        <v>EIFA — Escala de Interferência Funcional em Adultos (Formas A e S)</v>
      </c>
      <c r="C5" s="6" t="str">
        <f aca="false">IFERROR(INDEX(Catálogo!C$4:C$1000,MATCH($A$1&amp;"|"&amp;2,Índice!$A$4:$A$1000,0)),"")</f>
        <v>Funcionamento &amp; Interferência Funcional</v>
      </c>
      <c r="D5" s="6" t="str">
        <f aca="false">IFERROR(INDEX(Catálogo!D$4:D$1000,MATCH($A$1&amp;"|"&amp;2,Índice!$A$4:$A$1000,0)),"")</f>
        <v>Próprio,Companheiro(a),Familiar</v>
      </c>
      <c r="E5" s="6" t="str">
        <f aca="false">IFERROR(INDEX(Catálogo!E$4:E$1000,MATCH($A$1&amp;"|"&amp;2,Índice!$A$4:$A$1000,0)),"")</f>
        <v>18–99 anos</v>
      </c>
      <c r="F5" s="5" t="n">
        <f aca="false">IFERROR(INDEX(Catálogo!F$4:F$1000,MATCH($A$1&amp;"|"&amp;2,Índice!$A$4:$A$1000,0)),"")</f>
        <v>18</v>
      </c>
      <c r="G5" s="5" t="n">
        <f aca="false">IFERROR(INDEX(Catálogo!G$4:G$1000,MATCH($A$1&amp;"|"&amp;2,Índice!$A$4:$A$1000,0)),"")</f>
        <v>99</v>
      </c>
      <c r="H5" s="5" t="n">
        <f aca="false">IFERROR(INDEX(Catálogo!H$4:H$1000,MATCH($A$1&amp;"|"&amp;2,Índice!$A$4:$A$1000,0)),"")</f>
        <v>14</v>
      </c>
      <c r="I5" s="6" t="str">
        <f aca="false">IFERROR(INDEX(Catálogo!I$4:I$1000,MATCH($A$1&amp;"|"&amp;2,Índice!$A$4:$A$1000,0)),"")</f>
        <v>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v>
      </c>
      <c r="J5" s="6" t="str">
        <f aca="false">IFERROR(INDEX(Catálogo!J$4:J$1000,MATCH($A$1&amp;"|"&amp;2,Índice!$A$4:$A$1000,0)),"")</f>
        <v>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v>
      </c>
      <c r="K5" s="6" t="str">
        <f aca="false">IFERROR(INDEX(Catálogo!K$4:K$1000,MATCH($A$1&amp;"|"&amp;2,Índice!$A$4:$A$1000,0)),"")</f>
        <v>eifa</v>
      </c>
      <c r="L5" s="6" t="str">
        <f aca="false">IFERROR(INDEX(Catálogo!L$4:L$1000,MATCH($A$1&amp;"|"&amp;2,Índice!$A$4:$A$1000,0)),"")</f>
        <v>q_eifa</v>
      </c>
      <c r="M5" s="7" t="str">
        <f aca="false">IFERROR(INDEX(Catálogo!M$4:M$1000,MATCH($A$1&amp;"|"&amp;2,Índice!$A$4:$A$1000,0)),"")</f>
        <v>https://correiaricardina-ui.github.io/questionarios/EIFA_v1.html</v>
      </c>
    </row>
    <row r="6" customFormat="false" ht="42" hidden="false" customHeight="true" outlineLevel="0" collapsed="false">
      <c r="A6" s="5" t="str">
        <f aca="false">IFERROR(INDEX(Catálogo!A$4:A$1000,MATCH($A$1&amp;"|"&amp;3,Índice!$A$4:$A$1000,0)),"")</f>
        <v/>
      </c>
      <c r="B6" s="6" t="str">
        <f aca="false">IFERROR(INDEX(Catálogo!B$4:B$1000,MATCH($A$1&amp;"|"&amp;3,Índice!$A$4:$A$1000,0)),"")</f>
        <v/>
      </c>
      <c r="C6" s="6" t="str">
        <f aca="false">IFERROR(INDEX(Catálogo!C$4:C$1000,MATCH($A$1&amp;"|"&amp;3,Índice!$A$4:$A$1000,0)),"")</f>
        <v/>
      </c>
      <c r="D6" s="6" t="str">
        <f aca="false">IFERROR(INDEX(Catálogo!D$4:D$1000,MATCH($A$1&amp;"|"&amp;3,Índice!$A$4:$A$1000,0)),"")</f>
        <v/>
      </c>
      <c r="E6" s="6" t="str">
        <f aca="false">IFERROR(INDEX(Catálogo!E$4:E$1000,MATCH($A$1&amp;"|"&amp;3,Índice!$A$4:$A$1000,0)),"")</f>
        <v/>
      </c>
      <c r="F6" s="5" t="str">
        <f aca="false">IFERROR(INDEX(Catálogo!F$4:F$1000,MATCH($A$1&amp;"|"&amp;3,Índice!$A$4:$A$1000,0)),"")</f>
        <v/>
      </c>
      <c r="G6" s="5" t="str">
        <f aca="false">IFERROR(INDEX(Catálogo!G$4:G$1000,MATCH($A$1&amp;"|"&amp;3,Índice!$A$4:$A$1000,0)),"")</f>
        <v/>
      </c>
      <c r="H6" s="5" t="str">
        <f aca="false">IFERROR(INDEX(Catálogo!H$4:H$1000,MATCH($A$1&amp;"|"&amp;3,Índice!$A$4:$A$1000,0)),"")</f>
        <v/>
      </c>
      <c r="I6" s="6" t="str">
        <f aca="false">IFERROR(INDEX(Catálogo!I$4:I$1000,MATCH($A$1&amp;"|"&amp;3,Índice!$A$4:$A$1000,0)),"")</f>
        <v/>
      </c>
      <c r="J6" s="6" t="str">
        <f aca="false">IFERROR(INDEX(Catálogo!J$4:J$1000,MATCH($A$1&amp;"|"&amp;3,Índice!$A$4:$A$1000,0)),"")</f>
        <v/>
      </c>
      <c r="K6" s="6" t="str">
        <f aca="false">IFERROR(INDEX(Catálogo!K$4:K$1000,MATCH($A$1&amp;"|"&amp;3,Índice!$A$4:$A$1000,0)),"")</f>
        <v/>
      </c>
      <c r="L6" s="6" t="str">
        <f aca="false">IFERROR(INDEX(Catálogo!L$4:L$1000,MATCH($A$1&amp;"|"&amp;3,Índice!$A$4:$A$1000,0)),"")</f>
        <v/>
      </c>
      <c r="M6" s="7" t="str">
        <f aca="false">IFERROR(INDEX(Catálogo!M$4:M$1000,MATCH($A$1&amp;"|"&amp;3,Índice!$A$4:$A$1000,0)),"")</f>
        <v/>
      </c>
    </row>
    <row r="7" customFormat="false" ht="42" hidden="false" customHeight="true" outlineLevel="0" collapsed="false">
      <c r="A7" s="5" t="str">
        <f aca="false">IFERROR(INDEX(Catálogo!A$4:A$1000,MATCH($A$1&amp;"|"&amp;4,Índice!$A$4:$A$1000,0)),"")</f>
        <v/>
      </c>
      <c r="B7" s="6" t="str">
        <f aca="false">IFERROR(INDEX(Catálogo!B$4:B$1000,MATCH($A$1&amp;"|"&amp;4,Índice!$A$4:$A$1000,0)),"")</f>
        <v/>
      </c>
      <c r="C7" s="6" t="str">
        <f aca="false">IFERROR(INDEX(Catálogo!C$4:C$1000,MATCH($A$1&amp;"|"&amp;4,Índice!$A$4:$A$1000,0)),"")</f>
        <v/>
      </c>
      <c r="D7" s="6" t="str">
        <f aca="false">IFERROR(INDEX(Catálogo!D$4:D$1000,MATCH($A$1&amp;"|"&amp;4,Índice!$A$4:$A$1000,0)),"")</f>
        <v/>
      </c>
      <c r="E7" s="6" t="str">
        <f aca="false">IFERROR(INDEX(Catálogo!E$4:E$1000,MATCH($A$1&amp;"|"&amp;4,Índice!$A$4:$A$1000,0)),"")</f>
        <v/>
      </c>
      <c r="F7" s="5" t="str">
        <f aca="false">IFERROR(INDEX(Catálogo!F$4:F$1000,MATCH($A$1&amp;"|"&amp;4,Índice!$A$4:$A$1000,0)),"")</f>
        <v/>
      </c>
      <c r="G7" s="5" t="str">
        <f aca="false">IFERROR(INDEX(Catálogo!G$4:G$1000,MATCH($A$1&amp;"|"&amp;4,Índice!$A$4:$A$1000,0)),"")</f>
        <v/>
      </c>
      <c r="H7" s="5" t="str">
        <f aca="false">IFERROR(INDEX(Catálogo!H$4:H$1000,MATCH($A$1&amp;"|"&amp;4,Índice!$A$4:$A$1000,0)),"")</f>
        <v/>
      </c>
      <c r="I7" s="6" t="str">
        <f aca="false">IFERROR(INDEX(Catálogo!I$4:I$1000,MATCH($A$1&amp;"|"&amp;4,Índice!$A$4:$A$1000,0)),"")</f>
        <v/>
      </c>
      <c r="J7" s="6" t="str">
        <f aca="false">IFERROR(INDEX(Catálogo!J$4:J$1000,MATCH($A$1&amp;"|"&amp;4,Índice!$A$4:$A$1000,0)),"")</f>
        <v/>
      </c>
      <c r="K7" s="6" t="str">
        <f aca="false">IFERROR(INDEX(Catálogo!K$4:K$1000,MATCH($A$1&amp;"|"&amp;4,Índice!$A$4:$A$1000,0)),"")</f>
        <v/>
      </c>
      <c r="L7" s="6" t="str">
        <f aca="false">IFERROR(INDEX(Catálogo!L$4:L$1000,MATCH($A$1&amp;"|"&amp;4,Índice!$A$4:$A$1000,0)),"")</f>
        <v/>
      </c>
      <c r="M7" s="7" t="str">
        <f aca="false">IFERROR(INDEX(Catálogo!M$4:M$1000,MATCH($A$1&amp;"|"&amp;4,Índice!$A$4:$A$1000,0)),"")</f>
        <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sheetData>
  <autoFilter ref="A3:M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1304</v>
      </c>
      <c r="I1" s="17" t="str">
        <f aca="false">COUNTIF(Catálogo!$C$4:$C$1000,$A$1)&amp;IF(COUNTIF(Catálogo!$C$4:$C$1000,$A$1)=1," instrumento nesta área"," instrumentos nesta área")</f>
        <v>1 instrumento nesta área</v>
      </c>
    </row>
    <row r="2" customFormat="false" ht="15" hidden="false" customHeight="true" outlineLevel="0" collapsed="false">
      <c r="A2" s="18" t="s">
        <v>1331</v>
      </c>
      <c r="I2" s="19" t="str">
        <f aca="false">IF(COUNTIF(Catálogo!$C$4:$C$1000,$A$1)&gt;9,"⚠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194</v>
      </c>
      <c r="B4" s="6" t="str">
        <f aca="false">IFERROR(INDEX(Catálogo!B$4:B$1000,MATCH($A$1&amp;"|"&amp;1,Índice!$A$4:$A$1000,0)),"")</f>
        <v>EIFJ — Escala de Interferência Funcional em Comportamentos de Jogo (Formas J e S)</v>
      </c>
      <c r="C4" s="6" t="str">
        <f aca="false">IFERROR(INDEX(Catálogo!C$4:C$1000,MATCH($A$1&amp;"|"&amp;1,Índice!$A$4:$A$1000,0)),"")</f>
        <v>Comportamentos Aditivos</v>
      </c>
      <c r="D4" s="6" t="str">
        <f aca="false">IFERROR(INDEX(Catálogo!D$4:D$1000,MATCH($A$1&amp;"|"&amp;1,Índice!$A$4:$A$1000,0)),"")</f>
        <v>Próprio,Companheiro(a),Familiar</v>
      </c>
      <c r="E4" s="6" t="str">
        <f aca="false">IFERROR(INDEX(Catálogo!E$4:E$1000,MATCH($A$1&amp;"|"&amp;1,Índice!$A$4:$A$1000,0)),"")</f>
        <v>12–99 anos</v>
      </c>
      <c r="F4" s="5" t="n">
        <f aca="false">IFERROR(INDEX(Catálogo!F$4:F$1000,MATCH($A$1&amp;"|"&amp;1,Índice!$A$4:$A$1000,0)),"")</f>
        <v>12</v>
      </c>
      <c r="G4" s="5" t="n">
        <f aca="false">IFERROR(INDEX(Catálogo!G$4:G$1000,MATCH($A$1&amp;"|"&amp;1,Índice!$A$4:$A$1000,0)),"")</f>
        <v>99</v>
      </c>
      <c r="H4" s="5" t="n">
        <f aca="false">IFERROR(INDEX(Catálogo!H$4:H$1000,MATCH($A$1&amp;"|"&amp;1,Índice!$A$4:$A$1000,0)),"")</f>
        <v>16</v>
      </c>
      <c r="I4" s="6" t="str">
        <f aca="false">IFERROR(INDEX(Catálogo!I$4:I$1000,MATCH($A$1&amp;"|"&amp;1,Índice!$A$4:$A$1000,0)),"")</f>
        <v>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v>
      </c>
      <c r="J4" s="6" t="str">
        <f aca="false">IFERROR(INDEX(Catálogo!J$4:J$1000,MATCH($A$1&amp;"|"&amp;1,Índice!$A$4:$A$1000,0)),"")</f>
        <v>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v>
      </c>
      <c r="K4" s="6" t="str">
        <f aca="false">IFERROR(INDEX(Catálogo!K$4:K$1000,MATCH($A$1&amp;"|"&amp;1,Índice!$A$4:$A$1000,0)),"")</f>
        <v>eifj</v>
      </c>
      <c r="L4" s="6" t="str">
        <f aca="false">IFERROR(INDEX(Catálogo!L$4:L$1000,MATCH($A$1&amp;"|"&amp;1,Índice!$A$4:$A$1000,0)),"")</f>
        <v>q_eifj</v>
      </c>
      <c r="M4" s="7" t="str">
        <f aca="false">IFERROR(INDEX(Catálogo!M$4:M$1000,MATCH($A$1&amp;"|"&amp;1,Índice!$A$4:$A$1000,0)),"")</f>
        <v>https://correiaricardina-ui.github.io/questionarios/EIFJ_v1.html</v>
      </c>
    </row>
    <row r="5" customFormat="false" ht="42" hidden="false" customHeight="true" outlineLevel="0" collapsed="false">
      <c r="A5" s="5" t="str">
        <f aca="false">IFERROR(INDEX(Catálogo!A$4:A$1000,MATCH($A$1&amp;"|"&amp;2,Índice!$A$4:$A$1000,0)),"")</f>
        <v/>
      </c>
      <c r="B5" s="6" t="str">
        <f aca="false">IFERROR(INDEX(Catálogo!B$4:B$1000,MATCH($A$1&amp;"|"&amp;2,Índice!$A$4:$A$1000,0)),"")</f>
        <v/>
      </c>
      <c r="C5" s="6" t="str">
        <f aca="false">IFERROR(INDEX(Catálogo!C$4:C$1000,MATCH($A$1&amp;"|"&amp;2,Índice!$A$4:$A$1000,0)),"")</f>
        <v/>
      </c>
      <c r="D5" s="6" t="str">
        <f aca="false">IFERROR(INDEX(Catálogo!D$4:D$1000,MATCH($A$1&amp;"|"&amp;2,Índice!$A$4:$A$1000,0)),"")</f>
        <v/>
      </c>
      <c r="E5" s="6" t="str">
        <f aca="false">IFERROR(INDEX(Catálogo!E$4:E$1000,MATCH($A$1&amp;"|"&amp;2,Índice!$A$4:$A$1000,0)),"")</f>
        <v/>
      </c>
      <c r="F5" s="5" t="str">
        <f aca="false">IFERROR(INDEX(Catálogo!F$4:F$1000,MATCH($A$1&amp;"|"&amp;2,Índice!$A$4:$A$1000,0)),"")</f>
        <v/>
      </c>
      <c r="G5" s="5" t="str">
        <f aca="false">IFERROR(INDEX(Catálogo!G$4:G$1000,MATCH($A$1&amp;"|"&amp;2,Índice!$A$4:$A$1000,0)),"")</f>
        <v/>
      </c>
      <c r="H5" s="5" t="str">
        <f aca="false">IFERROR(INDEX(Catálogo!H$4:H$1000,MATCH($A$1&amp;"|"&amp;2,Índice!$A$4:$A$1000,0)),"")</f>
        <v/>
      </c>
      <c r="I5" s="6" t="str">
        <f aca="false">IFERROR(INDEX(Catálogo!I$4:I$1000,MATCH($A$1&amp;"|"&amp;2,Índice!$A$4:$A$1000,0)),"")</f>
        <v/>
      </c>
      <c r="J5" s="6" t="str">
        <f aca="false">IFERROR(INDEX(Catálogo!J$4:J$1000,MATCH($A$1&amp;"|"&amp;2,Índice!$A$4:$A$1000,0)),"")</f>
        <v/>
      </c>
      <c r="K5" s="6" t="str">
        <f aca="false">IFERROR(INDEX(Catálogo!K$4:K$1000,MATCH($A$1&amp;"|"&amp;2,Índice!$A$4:$A$1000,0)),"")</f>
        <v/>
      </c>
      <c r="L5" s="6" t="str">
        <f aca="false">IFERROR(INDEX(Catálogo!L$4:L$1000,MATCH($A$1&amp;"|"&amp;2,Índice!$A$4:$A$1000,0)),"")</f>
        <v/>
      </c>
      <c r="M5" s="7" t="str">
        <f aca="false">IFERROR(INDEX(Catálogo!M$4:M$1000,MATCH($A$1&amp;"|"&amp;2,Índice!$A$4:$A$1000,0)),"")</f>
        <v/>
      </c>
    </row>
    <row r="6" customFormat="false" ht="42" hidden="false" customHeight="true" outlineLevel="0" collapsed="false">
      <c r="A6" s="5" t="str">
        <f aca="false">IFERROR(INDEX(Catálogo!A$4:A$1000,MATCH($A$1&amp;"|"&amp;3,Índice!$A$4:$A$1000,0)),"")</f>
        <v/>
      </c>
      <c r="B6" s="6" t="str">
        <f aca="false">IFERROR(INDEX(Catálogo!B$4:B$1000,MATCH($A$1&amp;"|"&amp;3,Índice!$A$4:$A$1000,0)),"")</f>
        <v/>
      </c>
      <c r="C6" s="6" t="str">
        <f aca="false">IFERROR(INDEX(Catálogo!C$4:C$1000,MATCH($A$1&amp;"|"&amp;3,Índice!$A$4:$A$1000,0)),"")</f>
        <v/>
      </c>
      <c r="D6" s="6" t="str">
        <f aca="false">IFERROR(INDEX(Catálogo!D$4:D$1000,MATCH($A$1&amp;"|"&amp;3,Índice!$A$4:$A$1000,0)),"")</f>
        <v/>
      </c>
      <c r="E6" s="6" t="str">
        <f aca="false">IFERROR(INDEX(Catálogo!E$4:E$1000,MATCH($A$1&amp;"|"&amp;3,Índice!$A$4:$A$1000,0)),"")</f>
        <v/>
      </c>
      <c r="F6" s="5" t="str">
        <f aca="false">IFERROR(INDEX(Catálogo!F$4:F$1000,MATCH($A$1&amp;"|"&amp;3,Índice!$A$4:$A$1000,0)),"")</f>
        <v/>
      </c>
      <c r="G6" s="5" t="str">
        <f aca="false">IFERROR(INDEX(Catálogo!G$4:G$1000,MATCH($A$1&amp;"|"&amp;3,Índice!$A$4:$A$1000,0)),"")</f>
        <v/>
      </c>
      <c r="H6" s="5" t="str">
        <f aca="false">IFERROR(INDEX(Catálogo!H$4:H$1000,MATCH($A$1&amp;"|"&amp;3,Índice!$A$4:$A$1000,0)),"")</f>
        <v/>
      </c>
      <c r="I6" s="6" t="str">
        <f aca="false">IFERROR(INDEX(Catálogo!I$4:I$1000,MATCH($A$1&amp;"|"&amp;3,Índice!$A$4:$A$1000,0)),"")</f>
        <v/>
      </c>
      <c r="J6" s="6" t="str">
        <f aca="false">IFERROR(INDEX(Catálogo!J$4:J$1000,MATCH($A$1&amp;"|"&amp;3,Índice!$A$4:$A$1000,0)),"")</f>
        <v/>
      </c>
      <c r="K6" s="6" t="str">
        <f aca="false">IFERROR(INDEX(Catálogo!K$4:K$1000,MATCH($A$1&amp;"|"&amp;3,Índice!$A$4:$A$1000,0)),"")</f>
        <v/>
      </c>
      <c r="L6" s="6" t="str">
        <f aca="false">IFERROR(INDEX(Catálogo!L$4:L$1000,MATCH($A$1&amp;"|"&amp;3,Índice!$A$4:$A$1000,0)),"")</f>
        <v/>
      </c>
      <c r="M6" s="7" t="str">
        <f aca="false">IFERROR(INDEX(Catálogo!M$4:M$1000,MATCH($A$1&amp;"|"&amp;3,Índice!$A$4:$A$1000,0)),"")</f>
        <v/>
      </c>
    </row>
    <row r="7" customFormat="false" ht="42" hidden="false" customHeight="true" outlineLevel="0" collapsed="false">
      <c r="A7" s="5" t="str">
        <f aca="false">IFERROR(INDEX(Catálogo!A$4:A$1000,MATCH($A$1&amp;"|"&amp;4,Índice!$A$4:$A$1000,0)),"")</f>
        <v/>
      </c>
      <c r="B7" s="6" t="str">
        <f aca="false">IFERROR(INDEX(Catálogo!B$4:B$1000,MATCH($A$1&amp;"|"&amp;4,Índice!$A$4:$A$1000,0)),"")</f>
        <v/>
      </c>
      <c r="C7" s="6" t="str">
        <f aca="false">IFERROR(INDEX(Catálogo!C$4:C$1000,MATCH($A$1&amp;"|"&amp;4,Índice!$A$4:$A$1000,0)),"")</f>
        <v/>
      </c>
      <c r="D7" s="6" t="str">
        <f aca="false">IFERROR(INDEX(Catálogo!D$4:D$1000,MATCH($A$1&amp;"|"&amp;4,Índice!$A$4:$A$1000,0)),"")</f>
        <v/>
      </c>
      <c r="E7" s="6" t="str">
        <f aca="false">IFERROR(INDEX(Catálogo!E$4:E$1000,MATCH($A$1&amp;"|"&amp;4,Índice!$A$4:$A$1000,0)),"")</f>
        <v/>
      </c>
      <c r="F7" s="5" t="str">
        <f aca="false">IFERROR(INDEX(Catálogo!F$4:F$1000,MATCH($A$1&amp;"|"&amp;4,Índice!$A$4:$A$1000,0)),"")</f>
        <v/>
      </c>
      <c r="G7" s="5" t="str">
        <f aca="false">IFERROR(INDEX(Catálogo!G$4:G$1000,MATCH($A$1&amp;"|"&amp;4,Índice!$A$4:$A$1000,0)),"")</f>
        <v/>
      </c>
      <c r="H7" s="5" t="str">
        <f aca="false">IFERROR(INDEX(Catálogo!H$4:H$1000,MATCH($A$1&amp;"|"&amp;4,Índice!$A$4:$A$1000,0)),"")</f>
        <v/>
      </c>
      <c r="I7" s="6" t="str">
        <f aca="false">IFERROR(INDEX(Catálogo!I$4:I$1000,MATCH($A$1&amp;"|"&amp;4,Índice!$A$4:$A$1000,0)),"")</f>
        <v/>
      </c>
      <c r="J7" s="6" t="str">
        <f aca="false">IFERROR(INDEX(Catálogo!J$4:J$1000,MATCH($A$1&amp;"|"&amp;4,Índice!$A$4:$A$1000,0)),"")</f>
        <v/>
      </c>
      <c r="K7" s="6" t="str">
        <f aca="false">IFERROR(INDEX(Catálogo!K$4:K$1000,MATCH($A$1&amp;"|"&amp;4,Índice!$A$4:$A$1000,0)),"")</f>
        <v/>
      </c>
      <c r="L7" s="6" t="str">
        <f aca="false">IFERROR(INDEX(Catálogo!L$4:L$1000,MATCH($A$1&amp;"|"&amp;4,Índice!$A$4:$A$1000,0)),"")</f>
        <v/>
      </c>
      <c r="M7" s="7" t="str">
        <f aca="false">IFERROR(INDEX(Catálogo!M$4:M$1000,MATCH($A$1&amp;"|"&amp;4,Índice!$A$4:$A$1000,0)),"")</f>
        <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sheetData>
  <autoFilter ref="A3: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s>
  <sheetData>
    <row r="1" customFormat="false" ht="15" hidden="false" customHeight="true" outlineLevel="0" collapsed="false">
      <c r="A1" s="20" t="s">
        <v>1332</v>
      </c>
    </row>
    <row r="4" customFormat="false" ht="15" hidden="false" customHeight="true" outlineLevel="0" collapsed="false">
      <c r="A4" s="1" t="str">
        <f aca="false">IF(Catálogo!$C4="","",Catálogo!$C4&amp;"|"&amp;COUNTIF(Catálogo!$C$4:$C4,Catálogo!$C4))</f>
        <v>Neurodesenvolvimento|1</v>
      </c>
    </row>
    <row r="5" customFormat="false" ht="15" hidden="false" customHeight="true" outlineLevel="0" collapsed="false">
      <c r="A5" s="1" t="str">
        <f aca="false">IF(Catálogo!$C5="","",Catálogo!$C5&amp;"|"&amp;COUNTIF(Catálogo!$C$4:$C5,Catálogo!$C5))</f>
        <v>Neurodesenvolvimento|2</v>
      </c>
    </row>
    <row r="6" customFormat="false" ht="15" hidden="false" customHeight="true" outlineLevel="0" collapsed="false">
      <c r="A6" s="1" t="str">
        <f aca="false">IF(Catálogo!$C6="","",Catálogo!$C6&amp;"|"&amp;COUNTIF(Catálogo!$C$4:$C6,Catálogo!$C6))</f>
        <v>Neurodesenvolvimento|3</v>
      </c>
    </row>
    <row r="7" customFormat="false" ht="15" hidden="false" customHeight="true" outlineLevel="0" collapsed="false">
      <c r="A7" s="1" t="str">
        <f aca="false">IF(Catálogo!$C7="","",Catálogo!$C7&amp;"|"&amp;COUNTIF(Catálogo!$C$4:$C7,Catálogo!$C7))</f>
        <v>Neurodesenvolvimento|4</v>
      </c>
    </row>
    <row r="8" customFormat="false" ht="15" hidden="false" customHeight="true" outlineLevel="0" collapsed="false">
      <c r="A8" s="1" t="str">
        <f aca="false">IF(Catálogo!$C8="","",Catálogo!$C8&amp;"|"&amp;COUNTIF(Catálogo!$C$4:$C8,Catálogo!$C8))</f>
        <v>Neurodesenvolvimento|5</v>
      </c>
    </row>
    <row r="9" customFormat="false" ht="15" hidden="false" customHeight="true" outlineLevel="0" collapsed="false">
      <c r="A9" s="1" t="str">
        <f aca="false">IF(Catálogo!$C9="","",Catálogo!$C9&amp;"|"&amp;COUNTIF(Catálogo!$C$4:$C9,Catálogo!$C9))</f>
        <v>Anamnese, História &amp; Monitorização|1</v>
      </c>
    </row>
    <row r="10" customFormat="false" ht="15" hidden="false" customHeight="true" outlineLevel="0" collapsed="false">
      <c r="A10" s="1" t="str">
        <f aca="false">IF(Catálogo!$C10="","",Catálogo!$C10&amp;"|"&amp;COUNTIF(Catálogo!$C$4:$C10,Catálogo!$C10))</f>
        <v>Anamnese, História &amp; Monitorização|2</v>
      </c>
    </row>
    <row r="11" customFormat="false" ht="15" hidden="false" customHeight="true" outlineLevel="0" collapsed="false">
      <c r="A11" s="1" t="str">
        <f aca="false">IF(Catálogo!$C11="","",Catálogo!$C11&amp;"|"&amp;COUNTIF(Catálogo!$C$4:$C11,Catálogo!$C11))</f>
        <v>Anamnese, História &amp; Monitorização|3</v>
      </c>
    </row>
    <row r="12" customFormat="false" ht="15" hidden="false" customHeight="true" outlineLevel="0" collapsed="false">
      <c r="A12" s="1" t="str">
        <f aca="false">IF(Catálogo!$C12="","",Catálogo!$C12&amp;"|"&amp;COUNTIF(Catálogo!$C$4:$C12,Catálogo!$C12))</f>
        <v>Externalização &amp; Comportamento|1</v>
      </c>
    </row>
    <row r="13" customFormat="false" ht="15" hidden="false" customHeight="true" outlineLevel="0" collapsed="false">
      <c r="A13" s="1" t="str">
        <f aca="false">IF(Catálogo!$C13="","",Catálogo!$C13&amp;"|"&amp;COUNTIF(Catálogo!$C$4:$C13,Catálogo!$C13))</f>
        <v>Neurodesenvolvimento|6</v>
      </c>
    </row>
    <row r="14" customFormat="false" ht="15" hidden="false" customHeight="true" outlineLevel="0" collapsed="false">
      <c r="A14" s="1" t="str">
        <f aca="false">IF(Catálogo!$C14="","",Catálogo!$C14&amp;"|"&amp;COUNTIF(Catálogo!$C$4:$C14,Catálogo!$C14))</f>
        <v>Externalização &amp; Comportamento|2</v>
      </c>
    </row>
    <row r="15" customFormat="false" ht="15" hidden="false" customHeight="true" outlineLevel="0" collapsed="false">
      <c r="A15" s="1" t="str">
        <f aca="false">IF(Catálogo!$C15="","",Catálogo!$C15&amp;"|"&amp;COUNTIF(Catálogo!$C$4:$C15,Catálogo!$C15))</f>
        <v>Externalização &amp; Comportamento|3</v>
      </c>
    </row>
    <row r="16" customFormat="false" ht="15" hidden="false" customHeight="true" outlineLevel="0" collapsed="false">
      <c r="A16" s="1" t="str">
        <f aca="false">IF(Catálogo!$C16="","",Catálogo!$C16&amp;"|"&amp;COUNTIF(Catálogo!$C$4:$C16,Catálogo!$C16))</f>
        <v>Externalização &amp; Comportamento|4</v>
      </c>
    </row>
    <row r="17" customFormat="false" ht="15" hidden="false" customHeight="true" outlineLevel="0" collapsed="false">
      <c r="A17" s="1" t="str">
        <f aca="false">IF(Catálogo!$C17="","",Catálogo!$C17&amp;"|"&amp;COUNTIF(Catálogo!$C$4:$C17,Catálogo!$C17))</f>
        <v>Externalização &amp; Comportamento|5</v>
      </c>
    </row>
    <row r="18" customFormat="false" ht="15" hidden="false" customHeight="true" outlineLevel="0" collapsed="false">
      <c r="A18" s="1" t="str">
        <f aca="false">IF(Catálogo!$C18="","",Catálogo!$C18&amp;"|"&amp;COUNTIF(Catálogo!$C$4:$C18,Catálogo!$C18))</f>
        <v>Competências Sociais &amp; Assertividade|1</v>
      </c>
    </row>
    <row r="19" customFormat="false" ht="15" hidden="false" customHeight="true" outlineLevel="0" collapsed="false">
      <c r="A19" s="1" t="str">
        <f aca="false">IF(Catálogo!$C19="","",Catálogo!$C19&amp;"|"&amp;COUNTIF(Catálogo!$C$4:$C19,Catálogo!$C19))</f>
        <v>Alimentação &amp; Imagem Corporal|1</v>
      </c>
    </row>
    <row r="20" customFormat="false" ht="15" hidden="false" customHeight="true" outlineLevel="0" collapsed="false">
      <c r="A20" s="1" t="str">
        <f aca="false">IF(Catálogo!$C20="","",Catálogo!$C20&amp;"|"&amp;COUNTIF(Catálogo!$C$4:$C20,Catálogo!$C20))</f>
        <v>Atenção, PHDA &amp; Funções Executivas|1</v>
      </c>
    </row>
    <row r="21" customFormat="false" ht="15" hidden="false" customHeight="true" outlineLevel="0" collapsed="false">
      <c r="A21" s="1" t="str">
        <f aca="false">IF(Catálogo!$C21="","",Catálogo!$C21&amp;"|"&amp;COUNTIF(Catálogo!$C$4:$C21,Catálogo!$C21))</f>
        <v>Atenção, PHDA &amp; Funções Executivas|2</v>
      </c>
    </row>
    <row r="22" customFormat="false" ht="15" hidden="false" customHeight="true" outlineLevel="0" collapsed="false">
      <c r="A22" s="1" t="str">
        <f aca="false">IF(Catálogo!$C22="","",Catálogo!$C22&amp;"|"&amp;COUNTIF(Catálogo!$C$4:$C22,Catálogo!$C22))</f>
        <v>Atenção, PHDA &amp; Funções Executivas|3</v>
      </c>
    </row>
    <row r="23" customFormat="false" ht="15" hidden="false" customHeight="true" outlineLevel="0" collapsed="false">
      <c r="A23" s="1" t="str">
        <f aca="false">IF(Catálogo!$C23="","",Catálogo!$C23&amp;"|"&amp;COUNTIF(Catálogo!$C$4:$C23,Catálogo!$C23))</f>
        <v>Atenção, PHDA &amp; Funções Executivas|4</v>
      </c>
    </row>
    <row r="24" customFormat="false" ht="15" hidden="false" customHeight="true" outlineLevel="0" collapsed="false">
      <c r="A24" s="1" t="str">
        <f aca="false">IF(Catálogo!$C24="","",Catálogo!$C24&amp;"|"&amp;COUNTIF(Catálogo!$C$4:$C24,Catálogo!$C24))</f>
        <v>Atenção, PHDA &amp; Funções Executivas|5</v>
      </c>
    </row>
    <row r="25" customFormat="false" ht="15" hidden="false" customHeight="true" outlineLevel="0" collapsed="false">
      <c r="A25" s="1" t="str">
        <f aca="false">IF(Catálogo!$C25="","",Catálogo!$C25&amp;"|"&amp;COUNTIF(Catálogo!$C$4:$C25,Catálogo!$C25))</f>
        <v>Risco, Autolesão &amp; Psicopatologia Geral|1</v>
      </c>
    </row>
    <row r="26" customFormat="false" ht="15" hidden="false" customHeight="true" outlineLevel="0" collapsed="false">
      <c r="A26" s="1" t="str">
        <f aca="false">IF(Catálogo!$C26="","",Catálogo!$C26&amp;"|"&amp;COUNTIF(Catálogo!$C$4:$C26,Catálogo!$C26))</f>
        <v>Competências Sociais &amp; Assertividade|2</v>
      </c>
    </row>
    <row r="27" customFormat="false" ht="15" hidden="false" customHeight="true" outlineLevel="0" collapsed="false">
      <c r="A27" s="1" t="str">
        <f aca="false">IF(Catálogo!$C27="","",Catálogo!$C27&amp;"|"&amp;COUNTIF(Catálogo!$C$4:$C27,Catálogo!$C27))</f>
        <v>Competências Sociais &amp; Assertividade|3</v>
      </c>
    </row>
    <row r="28" customFormat="false" ht="15" hidden="false" customHeight="true" outlineLevel="0" collapsed="false">
      <c r="A28" s="1" t="str">
        <f aca="false">IF(Catálogo!$C28="","",Catálogo!$C28&amp;"|"&amp;COUNTIF(Catálogo!$C$4:$C28,Catálogo!$C28))</f>
        <v>Neurodesenvolvimento|7</v>
      </c>
    </row>
    <row r="29" customFormat="false" ht="15" hidden="false" customHeight="true" outlineLevel="0" collapsed="false">
      <c r="A29" s="1" t="str">
        <f aca="false">IF(Catálogo!$C29="","",Catálogo!$C29&amp;"|"&amp;COUNTIF(Catálogo!$C$4:$C29,Catálogo!$C29))</f>
        <v>Neurodesenvolvimento|8</v>
      </c>
    </row>
    <row r="30" customFormat="false" ht="15" hidden="false" customHeight="true" outlineLevel="0" collapsed="false">
      <c r="A30" s="1" t="str">
        <f aca="false">IF(Catálogo!$C30="","",Catálogo!$C30&amp;"|"&amp;COUNTIF(Catálogo!$C$4:$C30,Catálogo!$C30))</f>
        <v>Neurodesenvolvimento|9</v>
      </c>
    </row>
    <row r="31" customFormat="false" ht="15" hidden="false" customHeight="true" outlineLevel="0" collapsed="false">
      <c r="A31" s="1" t="str">
        <f aca="false">IF(Catálogo!$C31="","",Catálogo!$C31&amp;"|"&amp;COUNTIF(Catálogo!$C$4:$C31,Catálogo!$C31))</f>
        <v>Regulação Emocional &amp; Coping|1</v>
      </c>
    </row>
    <row r="32" customFormat="false" ht="15" hidden="false" customHeight="true" outlineLevel="0" collapsed="false">
      <c r="A32" s="1" t="str">
        <f aca="false">IF(Catálogo!$C32="","",Catálogo!$C32&amp;"|"&amp;COUNTIF(Catálogo!$C$4:$C32,Catálogo!$C32))</f>
        <v>Ansiedade, Depressão &amp; Internalização|1</v>
      </c>
    </row>
    <row r="33" customFormat="false" ht="15" hidden="false" customHeight="true" outlineLevel="0" collapsed="false">
      <c r="A33" s="1" t="str">
        <f aca="false">IF(Catálogo!$C33="","",Catálogo!$C33&amp;"|"&amp;COUNTIF(Catálogo!$C$4:$C33,Catálogo!$C33))</f>
        <v>Regulação Emocional &amp; Coping|2</v>
      </c>
    </row>
    <row r="34" customFormat="false" ht="15" hidden="false" customHeight="true" outlineLevel="0" collapsed="false">
      <c r="A34" s="1" t="str">
        <f aca="false">IF(Catálogo!$C34="","",Catálogo!$C34&amp;"|"&amp;COUNTIF(Catálogo!$C$4:$C34,Catálogo!$C34))</f>
        <v>Regulação Emocional &amp; Coping|3</v>
      </c>
    </row>
    <row r="35" customFormat="false" ht="15" hidden="false" customHeight="true" outlineLevel="0" collapsed="false">
      <c r="A35" s="1" t="str">
        <f aca="false">IF(Catálogo!$C35="","",Catálogo!$C35&amp;"|"&amp;COUNTIF(Catálogo!$C$4:$C35,Catálogo!$C35))</f>
        <v>Regulação Emocional &amp; Coping|4</v>
      </c>
    </row>
    <row r="36" customFormat="false" ht="15" hidden="false" customHeight="true" outlineLevel="0" collapsed="false">
      <c r="A36" s="1" t="str">
        <f aca="false">IF(Catálogo!$C36="","",Catálogo!$C36&amp;"|"&amp;COUNTIF(Catálogo!$C$4:$C36,Catálogo!$C36))</f>
        <v>Alimentação &amp; Imagem Corporal|2</v>
      </c>
    </row>
    <row r="37" customFormat="false" ht="15" hidden="false" customHeight="true" outlineLevel="0" collapsed="false">
      <c r="A37" s="1" t="str">
        <f aca="false">IF(Catálogo!$C37="","",Catálogo!$C37&amp;"|"&amp;COUNTIF(Catálogo!$C$4:$C37,Catálogo!$C37))</f>
        <v>Atenção, PHDA &amp; Funções Executivas|6</v>
      </c>
    </row>
    <row r="38" customFormat="false" ht="15" hidden="false" customHeight="true" outlineLevel="0" collapsed="false">
      <c r="A38" s="1" t="str">
        <f aca="false">IF(Catálogo!$C38="","",Catálogo!$C38&amp;"|"&amp;COUNTIF(Catálogo!$C$4:$C38,Catálogo!$C38))</f>
        <v>Atenção, PHDA &amp; Funções Executivas|7</v>
      </c>
    </row>
    <row r="39" customFormat="false" ht="15" hidden="false" customHeight="true" outlineLevel="0" collapsed="false">
      <c r="A39" s="1" t="str">
        <f aca="false">IF(Catálogo!$C39="","",Catálogo!$C39&amp;"|"&amp;COUNTIF(Catálogo!$C$4:$C39,Catálogo!$C39))</f>
        <v>Ansiedade, Depressão &amp; Internalização|2</v>
      </c>
    </row>
    <row r="40" customFormat="false" ht="15" hidden="false" customHeight="true" outlineLevel="0" collapsed="false">
      <c r="A40" s="1" t="str">
        <f aca="false">IF(Catálogo!$C40="","",Catálogo!$C40&amp;"|"&amp;COUNTIF(Catálogo!$C$4:$C40,Catálogo!$C40))</f>
        <v>Alimentação &amp; Imagem Corporal|3</v>
      </c>
    </row>
    <row r="41" customFormat="false" ht="15" hidden="false" customHeight="true" outlineLevel="0" collapsed="false">
      <c r="A41" s="1" t="str">
        <f aca="false">IF(Catálogo!$C41="","",Catálogo!$C41&amp;"|"&amp;COUNTIF(Catálogo!$C$4:$C41,Catálogo!$C41))</f>
        <v>Família &amp; Parentalidade|1</v>
      </c>
    </row>
    <row r="42" customFormat="false" ht="15" hidden="false" customHeight="true" outlineLevel="0" collapsed="false">
      <c r="A42" s="1" t="str">
        <f aca="false">IF(Catálogo!$C42="","",Catálogo!$C42&amp;"|"&amp;COUNTIF(Catálogo!$C$4:$C42,Catálogo!$C42))</f>
        <v>Família &amp; Parentalidade|2</v>
      </c>
    </row>
    <row r="43" customFormat="false" ht="15" hidden="false" customHeight="true" outlineLevel="0" collapsed="false">
      <c r="A43" s="1" t="str">
        <f aca="false">IF(Catálogo!$C43="","",Catálogo!$C43&amp;"|"&amp;COUNTIF(Catálogo!$C$4:$C43,Catálogo!$C43))</f>
        <v>Família &amp; Parentalidade|3</v>
      </c>
    </row>
    <row r="44" customFormat="false" ht="15" hidden="false" customHeight="true" outlineLevel="0" collapsed="false">
      <c r="A44" s="1" t="str">
        <f aca="false">IF(Catálogo!$C44="","",Catálogo!$C44&amp;"|"&amp;COUNTIF(Catálogo!$C$4:$C44,Catálogo!$C44))</f>
        <v>Família &amp; Parentalidade|4</v>
      </c>
    </row>
    <row r="45" customFormat="false" ht="15" hidden="false" customHeight="true" outlineLevel="0" collapsed="false">
      <c r="A45" s="1" t="str">
        <f aca="false">IF(Catálogo!$C45="","",Catálogo!$C45&amp;"|"&amp;COUNTIF(Catálogo!$C$4:$C45,Catálogo!$C45))</f>
        <v>Família &amp; Parentalidade|5</v>
      </c>
    </row>
    <row r="46" customFormat="false" ht="15" hidden="false" customHeight="true" outlineLevel="0" collapsed="false">
      <c r="A46" s="1" t="str">
        <f aca="false">IF(Catálogo!$C46="","",Catálogo!$C46&amp;"|"&amp;COUNTIF(Catálogo!$C$4:$C46,Catálogo!$C46))</f>
        <v>Atenção, PHDA &amp; Funções Executivas|8</v>
      </c>
    </row>
    <row r="47" customFormat="false" ht="15" hidden="false" customHeight="true" outlineLevel="0" collapsed="false">
      <c r="A47" s="1" t="str">
        <f aca="false">IF(Catálogo!$C47="","",Catálogo!$C47&amp;"|"&amp;COUNTIF(Catálogo!$C$4:$C47,Catálogo!$C47))</f>
        <v>Atenção, PHDA &amp; Funções Executivas|9</v>
      </c>
    </row>
    <row r="48" customFormat="false" ht="15" hidden="false" customHeight="true" outlineLevel="0" collapsed="false">
      <c r="A48" s="1" t="str">
        <f aca="false">IF(Catálogo!$C48="","",Catálogo!$C48&amp;"|"&amp;COUNTIF(Catálogo!$C$4:$C48,Catálogo!$C48))</f>
        <v>Atenção, PHDA &amp; Funções Executivas|10</v>
      </c>
    </row>
    <row r="49" customFormat="false" ht="15" hidden="false" customHeight="true" outlineLevel="0" collapsed="false">
      <c r="A49" s="1" t="str">
        <f aca="false">IF(Catálogo!$C49="","",Catálogo!$C49&amp;"|"&amp;COUNTIF(Catálogo!$C$4:$C49,Catálogo!$C49))</f>
        <v>Atenção, PHDA &amp; Funções Executivas|11</v>
      </c>
    </row>
    <row r="50" customFormat="false" ht="15" hidden="false" customHeight="true" outlineLevel="0" collapsed="false">
      <c r="A50" s="1" t="str">
        <f aca="false">IF(Catálogo!$C50="","",Catálogo!$C50&amp;"|"&amp;COUNTIF(Catálogo!$C$4:$C50,Catálogo!$C50))</f>
        <v>Risco, Autolesão &amp; Psicopatologia Geral|2</v>
      </c>
    </row>
    <row r="51" customFormat="false" ht="15" hidden="false" customHeight="true" outlineLevel="0" collapsed="false">
      <c r="A51" s="1" t="str">
        <f aca="false">IF(Catálogo!$C51="","",Catálogo!$C51&amp;"|"&amp;COUNTIF(Catálogo!$C$4:$C51,Catálogo!$C51))</f>
        <v>Risco, Autolesão &amp; Psicopatologia Geral|3</v>
      </c>
    </row>
    <row r="52" customFormat="false" ht="15" hidden="false" customHeight="true" outlineLevel="0" collapsed="false">
      <c r="A52" s="1" t="str">
        <f aca="false">IF(Catálogo!$C52="","",Catálogo!$C52&amp;"|"&amp;COUNTIF(Catálogo!$C$4:$C52,Catálogo!$C52))</f>
        <v>Risco, Autolesão &amp; Psicopatologia Geral|4</v>
      </c>
    </row>
    <row r="53" customFormat="false" ht="15" hidden="false" customHeight="true" outlineLevel="0" collapsed="false">
      <c r="A53" s="1" t="str">
        <f aca="false">IF(Catálogo!$C53="","",Catálogo!$C53&amp;"|"&amp;COUNTIF(Catálogo!$C$4:$C53,Catálogo!$C53))</f>
        <v>Risco, Autolesão &amp; Psicopatologia Geral|5</v>
      </c>
    </row>
    <row r="54" customFormat="false" ht="15" hidden="false" customHeight="true" outlineLevel="0" collapsed="false">
      <c r="A54" s="1" t="str">
        <f aca="false">IF(Catálogo!$C54="","",Catálogo!$C54&amp;"|"&amp;COUNTIF(Catálogo!$C$4:$C54,Catálogo!$C54))</f>
        <v>Externalização &amp; Comportamento|6</v>
      </c>
    </row>
    <row r="55" customFormat="false" ht="15" hidden="false" customHeight="true" outlineLevel="0" collapsed="false">
      <c r="A55" s="1" t="str">
        <f aca="false">IF(Catálogo!$C55="","",Catálogo!$C55&amp;"|"&amp;COUNTIF(Catálogo!$C$4:$C55,Catálogo!$C55))</f>
        <v>Regulação Emocional &amp; Coping|5</v>
      </c>
    </row>
    <row r="56" customFormat="false" ht="15" hidden="false" customHeight="true" outlineLevel="0" collapsed="false">
      <c r="A56" s="1" t="str">
        <f aca="false">IF(Catálogo!$C56="","",Catálogo!$C56&amp;"|"&amp;COUNTIF(Catálogo!$C$4:$C56,Catálogo!$C56))</f>
        <v>Anamnese, História &amp; Monitorização|4</v>
      </c>
    </row>
    <row r="57" customFormat="false" ht="15" hidden="false" customHeight="true" outlineLevel="0" collapsed="false">
      <c r="A57" s="1" t="str">
        <f aca="false">IF(Catálogo!$C57="","",Catálogo!$C57&amp;"|"&amp;COUNTIF(Catálogo!$C$4:$C57,Catálogo!$C57))</f>
        <v>Risco, Autolesão &amp; Psicopatologia Geral|6</v>
      </c>
    </row>
    <row r="58" customFormat="false" ht="15" hidden="false" customHeight="true" outlineLevel="0" collapsed="false">
      <c r="A58" s="1" t="str">
        <f aca="false">IF(Catálogo!$C58="","",Catálogo!$C58&amp;"|"&amp;COUNTIF(Catálogo!$C$4:$C58,Catálogo!$C58))</f>
        <v>Atenção, PHDA &amp; Funções Executivas|12</v>
      </c>
    </row>
    <row r="59" customFormat="false" ht="15" hidden="false" customHeight="true" outlineLevel="0" collapsed="false">
      <c r="A59" s="1" t="str">
        <f aca="false">IF(Catálogo!$C59="","",Catálogo!$C59&amp;"|"&amp;COUNTIF(Catálogo!$C$4:$C59,Catálogo!$C59))</f>
        <v>Escola, Motivação &amp; Aprendizagem|1</v>
      </c>
    </row>
    <row r="60" customFormat="false" ht="15" hidden="false" customHeight="true" outlineLevel="0" collapsed="false">
      <c r="A60" s="1" t="str">
        <f aca="false">IF(Catálogo!$C60="","",Catálogo!$C60&amp;"|"&amp;COUNTIF(Catálogo!$C$4:$C60,Catálogo!$C60))</f>
        <v>Alimentação &amp; Imagem Corporal|4</v>
      </c>
    </row>
    <row r="61" customFormat="false" ht="15" hidden="false" customHeight="true" outlineLevel="0" collapsed="false">
      <c r="A61" s="1" t="str">
        <f aca="false">IF(Catálogo!$C61="","",Catálogo!$C61&amp;"|"&amp;COUNTIF(Catálogo!$C$4:$C61,Catálogo!$C61))</f>
        <v>Alimentação &amp; Imagem Corporal|5</v>
      </c>
    </row>
    <row r="62" customFormat="false" ht="15" hidden="false" customHeight="true" outlineLevel="0" collapsed="false">
      <c r="A62" s="1" t="str">
        <f aca="false">IF(Catálogo!$C62="","",Catálogo!$C62&amp;"|"&amp;COUNTIF(Catálogo!$C$4:$C62,Catálogo!$C62))</f>
        <v>Alimentação &amp; Imagem Corporal|6</v>
      </c>
    </row>
    <row r="63" customFormat="false" ht="15" hidden="false" customHeight="true" outlineLevel="0" collapsed="false">
      <c r="A63" s="1" t="str">
        <f aca="false">IF(Catálogo!$C63="","",Catálogo!$C63&amp;"|"&amp;COUNTIF(Catálogo!$C$4:$C63,Catálogo!$C63))</f>
        <v>Personalidade &amp; Esquemas|1</v>
      </c>
    </row>
    <row r="64" customFormat="false" ht="15" hidden="false" customHeight="true" outlineLevel="0" collapsed="false">
      <c r="A64" s="1" t="str">
        <f aca="false">IF(Catálogo!$C64="","",Catálogo!$C64&amp;"|"&amp;COUNTIF(Catálogo!$C$4:$C64,Catálogo!$C64))</f>
        <v>Personalidade &amp; Esquemas|2</v>
      </c>
    </row>
    <row r="65" customFormat="false" ht="15" hidden="false" customHeight="true" outlineLevel="0" collapsed="false">
      <c r="A65" s="1" t="str">
        <f aca="false">IF(Catálogo!$C65="","",Catálogo!$C65&amp;"|"&amp;COUNTIF(Catálogo!$C$4:$C65,Catálogo!$C65))</f>
        <v>Autoconceito &amp; Autoestima|1</v>
      </c>
    </row>
    <row r="66" customFormat="false" ht="15" hidden="false" customHeight="true" outlineLevel="0" collapsed="false">
      <c r="A66" s="1" t="str">
        <f aca="false">IF(Catálogo!$C66="","",Catálogo!$C66&amp;"|"&amp;COUNTIF(Catálogo!$C$4:$C66,Catálogo!$C66))</f>
        <v>Regulação Emocional &amp; Coping|6</v>
      </c>
    </row>
    <row r="67" customFormat="false" ht="15" hidden="false" customHeight="true" outlineLevel="0" collapsed="false">
      <c r="A67" s="1" t="str">
        <f aca="false">IF(Catálogo!$C67="","",Catálogo!$C67&amp;"|"&amp;COUNTIF(Catálogo!$C$4:$C67,Catálogo!$C67))</f>
        <v>Regulação Emocional &amp; Coping|7</v>
      </c>
    </row>
    <row r="68" customFormat="false" ht="15" hidden="false" customHeight="true" outlineLevel="0" collapsed="false">
      <c r="A68" s="1" t="str">
        <f aca="false">IF(Catálogo!$C68="","",Catálogo!$C68&amp;"|"&amp;COUNTIF(Catálogo!$C$4:$C68,Catálogo!$C68))</f>
        <v>Regulação Emocional &amp; Coping|8</v>
      </c>
    </row>
    <row r="69" customFormat="false" ht="15" hidden="false" customHeight="true" outlineLevel="0" collapsed="false">
      <c r="A69" s="1" t="str">
        <f aca="false">IF(Catálogo!$C69="","",Catálogo!$C69&amp;"|"&amp;COUNTIF(Catálogo!$C$4:$C69,Catálogo!$C69))</f>
        <v>Regulação Emocional &amp; Coping|9</v>
      </c>
    </row>
    <row r="70" customFormat="false" ht="15" hidden="false" customHeight="true" outlineLevel="0" collapsed="false">
      <c r="A70" s="1" t="str">
        <f aca="false">IF(Catálogo!$C70="","",Catálogo!$C70&amp;"|"&amp;COUNTIF(Catálogo!$C$4:$C70,Catálogo!$C70))</f>
        <v>Família &amp; Parentalidade|6</v>
      </c>
    </row>
    <row r="71" customFormat="false" ht="15" hidden="false" customHeight="true" outlineLevel="0" collapsed="false">
      <c r="A71" s="1" t="str">
        <f aca="false">IF(Catálogo!$C71="","",Catálogo!$C71&amp;"|"&amp;COUNTIF(Catálogo!$C$4:$C71,Catálogo!$C71))</f>
        <v>Família &amp; Parentalidade|7</v>
      </c>
    </row>
    <row r="72" customFormat="false" ht="15" hidden="false" customHeight="true" outlineLevel="0" collapsed="false">
      <c r="A72" s="1" t="str">
        <f aca="false">IF(Catálogo!$C72="","",Catálogo!$C72&amp;"|"&amp;COUNTIF(Catálogo!$C$4:$C72,Catálogo!$C72))</f>
        <v>Família &amp; Parentalidade|8</v>
      </c>
    </row>
    <row r="73" customFormat="false" ht="15" hidden="false" customHeight="true" outlineLevel="0" collapsed="false">
      <c r="A73" s="1" t="str">
        <f aca="false">IF(Catálogo!$C73="","",Catálogo!$C73&amp;"|"&amp;COUNTIF(Catálogo!$C$4:$C73,Catálogo!$C73))</f>
        <v>Família &amp; Parentalidade|9</v>
      </c>
    </row>
    <row r="74" customFormat="false" ht="15" hidden="false" customHeight="true" outlineLevel="0" collapsed="false">
      <c r="A74" s="1" t="str">
        <f aca="false">IF(Catálogo!$C74="","",Catálogo!$C74&amp;"|"&amp;COUNTIF(Catálogo!$C$4:$C74,Catálogo!$C74))</f>
        <v>Família &amp; Parentalidade|10</v>
      </c>
    </row>
    <row r="75" customFormat="false" ht="15" hidden="false" customHeight="true" outlineLevel="0" collapsed="false">
      <c r="A75" s="1" t="str">
        <f aca="false">IF(Catálogo!$C75="","",Catálogo!$C75&amp;"|"&amp;COUNTIF(Catálogo!$C$4:$C75,Catálogo!$C75))</f>
        <v>Família &amp; Parentalidade|11</v>
      </c>
    </row>
    <row r="76" customFormat="false" ht="15" hidden="false" customHeight="true" outlineLevel="0" collapsed="false">
      <c r="A76" s="1" t="str">
        <f aca="false">IF(Catálogo!$C76="","",Catálogo!$C76&amp;"|"&amp;COUNTIF(Catálogo!$C$4:$C76,Catálogo!$C76))</f>
        <v>Família &amp; Parentalidade|12</v>
      </c>
    </row>
    <row r="77" customFormat="false" ht="15" hidden="false" customHeight="true" outlineLevel="0" collapsed="false">
      <c r="A77" s="1" t="str">
        <f aca="false">IF(Catálogo!$C77="","",Catálogo!$C77&amp;"|"&amp;COUNTIF(Catálogo!$C$4:$C77,Catálogo!$C77))</f>
        <v>Família &amp; Parentalidade|13</v>
      </c>
    </row>
    <row r="78" customFormat="false" ht="15" hidden="false" customHeight="true" outlineLevel="0" collapsed="false">
      <c r="A78" s="1" t="str">
        <f aca="false">IF(Catálogo!$C78="","",Catálogo!$C78&amp;"|"&amp;COUNTIF(Catálogo!$C$4:$C78,Catálogo!$C78))</f>
        <v>Família &amp; Parentalidade|14</v>
      </c>
    </row>
    <row r="79" customFormat="false" ht="15" hidden="false" customHeight="true" outlineLevel="0" collapsed="false">
      <c r="A79" s="1" t="str">
        <f aca="false">IF(Catálogo!$C79="","",Catálogo!$C79&amp;"|"&amp;COUNTIF(Catálogo!$C$4:$C79,Catálogo!$C79))</f>
        <v>Ansiedade, Depressão &amp; Internalização|3</v>
      </c>
    </row>
    <row r="80" customFormat="false" ht="15" hidden="false" customHeight="true" outlineLevel="0" collapsed="false">
      <c r="A80" s="1" t="str">
        <f aca="false">IF(Catálogo!$C80="","",Catálogo!$C80&amp;"|"&amp;COUNTIF(Catálogo!$C$4:$C80,Catálogo!$C80))</f>
        <v>Risco, Autolesão &amp; Psicopatologia Geral|7</v>
      </c>
    </row>
    <row r="81" customFormat="false" ht="15" hidden="false" customHeight="true" outlineLevel="0" collapsed="false">
      <c r="A81" s="1" t="str">
        <f aca="false">IF(Catálogo!$C81="","",Catálogo!$C81&amp;"|"&amp;COUNTIF(Catálogo!$C$4:$C81,Catálogo!$C81))</f>
        <v>Orientação Vocacional &amp; Inteligências|1</v>
      </c>
    </row>
    <row r="82" customFormat="false" ht="15" hidden="false" customHeight="true" outlineLevel="0" collapsed="false">
      <c r="A82" s="1" t="str">
        <f aca="false">IF(Catálogo!$C82="","",Catálogo!$C82&amp;"|"&amp;COUNTIF(Catálogo!$C$4:$C82,Catálogo!$C82))</f>
        <v>Orientação Vocacional &amp; Inteligências|2</v>
      </c>
    </row>
    <row r="83" customFormat="false" ht="15" hidden="false" customHeight="true" outlineLevel="0" collapsed="false">
      <c r="A83" s="1" t="str">
        <f aca="false">IF(Catálogo!$C83="","",Catálogo!$C83&amp;"|"&amp;COUNTIF(Catálogo!$C$4:$C83,Catálogo!$C83))</f>
        <v>Orientação Vocacional &amp; Inteligências|3</v>
      </c>
    </row>
    <row r="84" customFormat="false" ht="15" hidden="false" customHeight="true" outlineLevel="0" collapsed="false">
      <c r="A84" s="1" t="str">
        <f aca="false">IF(Catálogo!$C84="","",Catálogo!$C84&amp;"|"&amp;COUNTIF(Catálogo!$C$4:$C84,Catálogo!$C84))</f>
        <v>Orientação Vocacional &amp; Inteligências|4</v>
      </c>
    </row>
    <row r="85" customFormat="false" ht="15" hidden="false" customHeight="true" outlineLevel="0" collapsed="false">
      <c r="A85" s="1" t="str">
        <f aca="false">IF(Catálogo!$C85="","",Catálogo!$C85&amp;"|"&amp;COUNTIF(Catálogo!$C$4:$C85,Catálogo!$C85))</f>
        <v>Orientação Vocacional &amp; Inteligências|5</v>
      </c>
    </row>
    <row r="86" customFormat="false" ht="15" hidden="false" customHeight="true" outlineLevel="0" collapsed="false">
      <c r="A86" s="1" t="str">
        <f aca="false">IF(Catálogo!$C86="","",Catálogo!$C86&amp;"|"&amp;COUNTIF(Catálogo!$C$4:$C86,Catálogo!$C86))</f>
        <v>Risco, Autolesão &amp; Psicopatologia Geral|8</v>
      </c>
    </row>
    <row r="87" customFormat="false" ht="15" hidden="false" customHeight="true" outlineLevel="0" collapsed="false">
      <c r="A87" s="1" t="str">
        <f aca="false">IF(Catálogo!$C87="","",Catálogo!$C87&amp;"|"&amp;COUNTIF(Catálogo!$C$4:$C87,Catálogo!$C87))</f>
        <v>Regulação Emocional &amp; Coping|10</v>
      </c>
    </row>
    <row r="88" customFormat="false" ht="15" hidden="false" customHeight="true" outlineLevel="0" collapsed="false">
      <c r="A88" s="1" t="str">
        <f aca="false">IF(Catálogo!$C88="","",Catálogo!$C88&amp;"|"&amp;COUNTIF(Catálogo!$C$4:$C88,Catálogo!$C88))</f>
        <v>Ansiedade, Depressão &amp; Internalização|4</v>
      </c>
    </row>
    <row r="89" customFormat="false" ht="15" hidden="false" customHeight="true" outlineLevel="0" collapsed="false">
      <c r="A89" s="1" t="str">
        <f aca="false">IF(Catálogo!$C89="","",Catálogo!$C89&amp;"|"&amp;COUNTIF(Catálogo!$C$4:$C89,Catálogo!$C89))</f>
        <v>Orientação Vocacional &amp; Inteligências|6</v>
      </c>
    </row>
    <row r="90" customFormat="false" ht="15" hidden="false" customHeight="true" outlineLevel="0" collapsed="false">
      <c r="A90" s="1" t="str">
        <f aca="false">IF(Catálogo!$C90="","",Catálogo!$C90&amp;"|"&amp;COUNTIF(Catálogo!$C$4:$C90,Catálogo!$C90))</f>
        <v>Personalidade &amp; Esquemas|3</v>
      </c>
    </row>
    <row r="91" customFormat="false" ht="15" hidden="false" customHeight="true" outlineLevel="0" collapsed="false">
      <c r="A91" s="1" t="str">
        <f aca="false">IF(Catálogo!$C91="","",Catálogo!$C91&amp;"|"&amp;COUNTIF(Catálogo!$C$4:$C91,Catálogo!$C91))</f>
        <v>Regulação Emocional &amp; Coping|11</v>
      </c>
    </row>
    <row r="92" customFormat="false" ht="15" hidden="false" customHeight="true" outlineLevel="0" collapsed="false">
      <c r="A92" s="1" t="str">
        <f aca="false">IF(Catálogo!$C92="","",Catálogo!$C92&amp;"|"&amp;COUNTIF(Catálogo!$C$4:$C92,Catálogo!$C92))</f>
        <v>Regulação Emocional &amp; Coping|12</v>
      </c>
    </row>
    <row r="93" customFormat="false" ht="15" hidden="false" customHeight="true" outlineLevel="0" collapsed="false">
      <c r="A93" s="1" t="str">
        <f aca="false">IF(Catálogo!$C93="","",Catálogo!$C93&amp;"|"&amp;COUNTIF(Catálogo!$C$4:$C93,Catálogo!$C93))</f>
        <v>Neurodesenvolvimento|10</v>
      </c>
    </row>
    <row r="94" customFormat="false" ht="15" hidden="false" customHeight="true" outlineLevel="0" collapsed="false">
      <c r="A94" s="1" t="str">
        <f aca="false">IF(Catálogo!$C94="","",Catálogo!$C94&amp;"|"&amp;COUNTIF(Catálogo!$C$4:$C94,Catálogo!$C94))</f>
        <v>Neurodesenvolvimento|11</v>
      </c>
    </row>
    <row r="95" customFormat="false" ht="15" hidden="false" customHeight="true" outlineLevel="0" collapsed="false">
      <c r="A95" s="1" t="str">
        <f aca="false">IF(Catálogo!$C95="","",Catálogo!$C95&amp;"|"&amp;COUNTIF(Catálogo!$C$4:$C95,Catálogo!$C95))</f>
        <v>Família &amp; Parentalidade|15</v>
      </c>
    </row>
    <row r="96" customFormat="false" ht="15" hidden="false" customHeight="true" outlineLevel="0" collapsed="false">
      <c r="A96" s="1" t="str">
        <f aca="false">IF(Catálogo!$C96="","",Catálogo!$C96&amp;"|"&amp;COUNTIF(Catálogo!$C$4:$C96,Catálogo!$C96))</f>
        <v>Família &amp; Parentalidade|16</v>
      </c>
    </row>
    <row r="97" customFormat="false" ht="15" hidden="false" customHeight="true" outlineLevel="0" collapsed="false">
      <c r="A97" s="1" t="str">
        <f aca="false">IF(Catálogo!$C97="","",Catálogo!$C97&amp;"|"&amp;COUNTIF(Catálogo!$C$4:$C97,Catálogo!$C97))</f>
        <v>Família &amp; Parentalidade|17</v>
      </c>
    </row>
    <row r="98" customFormat="false" ht="15" hidden="false" customHeight="true" outlineLevel="0" collapsed="false">
      <c r="A98" s="1" t="str">
        <f aca="false">IF(Catálogo!$C98="","",Catálogo!$C98&amp;"|"&amp;COUNTIF(Catálogo!$C$4:$C98,Catálogo!$C98))</f>
        <v>Família &amp; Parentalidade|18</v>
      </c>
    </row>
    <row r="99" customFormat="false" ht="15" hidden="false" customHeight="true" outlineLevel="0" collapsed="false">
      <c r="A99" s="1" t="str">
        <f aca="false">IF(Catálogo!$C99="","",Catálogo!$C99&amp;"|"&amp;COUNTIF(Catálogo!$C$4:$C99,Catálogo!$C99))</f>
        <v>Escola, Motivação &amp; Aprendizagem|2</v>
      </c>
    </row>
    <row r="100" customFormat="false" ht="15" hidden="false" customHeight="true" outlineLevel="0" collapsed="false">
      <c r="A100" s="1" t="str">
        <f aca="false">IF(Catálogo!$C100="","",Catálogo!$C100&amp;"|"&amp;COUNTIF(Catálogo!$C$4:$C100,Catálogo!$C100))</f>
        <v>Neurodesenvolvimento|12</v>
      </c>
    </row>
    <row r="101" customFormat="false" ht="15" hidden="false" customHeight="true" outlineLevel="0" collapsed="false">
      <c r="A101" s="1" t="str">
        <f aca="false">IF(Catálogo!$C101="","",Catálogo!$C101&amp;"|"&amp;COUNTIF(Catálogo!$C$4:$C101,Catálogo!$C101))</f>
        <v>Família &amp; Parentalidade|19</v>
      </c>
    </row>
    <row r="102" customFormat="false" ht="15" hidden="false" customHeight="true" outlineLevel="0" collapsed="false">
      <c r="A102" s="1" t="str">
        <f aca="false">IF(Catálogo!$C102="","",Catálogo!$C102&amp;"|"&amp;COUNTIF(Catálogo!$C$4:$C102,Catálogo!$C102))</f>
        <v>Família &amp; Parentalidade|20</v>
      </c>
    </row>
    <row r="103" customFormat="false" ht="15" hidden="false" customHeight="true" outlineLevel="0" collapsed="false">
      <c r="A103" s="1" t="str">
        <f aca="false">IF(Catálogo!$C103="","",Catálogo!$C103&amp;"|"&amp;COUNTIF(Catálogo!$C$4:$C103,Catálogo!$C103))</f>
        <v>Risco, Autolesão &amp; Psicopatologia Geral|9</v>
      </c>
    </row>
    <row r="104" customFormat="false" ht="15" hidden="false" customHeight="true" outlineLevel="0" collapsed="false">
      <c r="A104" s="1" t="str">
        <f aca="false">IF(Catálogo!$C104="","",Catálogo!$C104&amp;"|"&amp;COUNTIF(Catálogo!$C$4:$C104,Catálogo!$C104))</f>
        <v>Personalidade &amp; Esquemas|4</v>
      </c>
    </row>
    <row r="105" customFormat="false" ht="15" hidden="false" customHeight="true" outlineLevel="0" collapsed="false">
      <c r="A105" s="1" t="str">
        <f aca="false">IF(Catálogo!$C105="","",Catálogo!$C105&amp;"|"&amp;COUNTIF(Catálogo!$C$4:$C105,Catálogo!$C105))</f>
        <v>Ansiedade, Depressão &amp; Internalização|5</v>
      </c>
    </row>
    <row r="106" customFormat="false" ht="15" hidden="false" customHeight="true" outlineLevel="0" collapsed="false">
      <c r="A106" s="1" t="str">
        <f aca="false">IF(Catálogo!$C106="","",Catálogo!$C106&amp;"|"&amp;COUNTIF(Catálogo!$C$4:$C106,Catálogo!$C106))</f>
        <v>Ansiedade, Depressão &amp; Internalização|6</v>
      </c>
    </row>
    <row r="107" customFormat="false" ht="15" hidden="false" customHeight="true" outlineLevel="0" collapsed="false">
      <c r="A107" s="1" t="str">
        <f aca="false">IF(Catálogo!$C107="","",Catálogo!$C107&amp;"|"&amp;COUNTIF(Catálogo!$C$4:$C107,Catálogo!$C107))</f>
        <v>Personalidade &amp; Esquemas|5</v>
      </c>
    </row>
    <row r="108" customFormat="false" ht="15" hidden="false" customHeight="true" outlineLevel="0" collapsed="false">
      <c r="A108" s="1" t="str">
        <f aca="false">IF(Catálogo!$C108="","",Catálogo!$C108&amp;"|"&amp;COUNTIF(Catálogo!$C$4:$C108,Catálogo!$C108))</f>
        <v>Personalidade &amp; Esquemas|6</v>
      </c>
    </row>
    <row r="109" customFormat="false" ht="15" hidden="false" customHeight="true" outlineLevel="0" collapsed="false">
      <c r="A109" s="1" t="str">
        <f aca="false">IF(Catálogo!$C109="","",Catálogo!$C109&amp;"|"&amp;COUNTIF(Catálogo!$C$4:$C109,Catálogo!$C109))</f>
        <v>Escola, Motivação &amp; Aprendizagem|3</v>
      </c>
    </row>
    <row r="110" customFormat="false" ht="15" hidden="false" customHeight="true" outlineLevel="0" collapsed="false">
      <c r="A110" s="1" t="str">
        <f aca="false">IF(Catálogo!$C110="","",Catálogo!$C110&amp;"|"&amp;COUNTIF(Catálogo!$C$4:$C110,Catálogo!$C110))</f>
        <v>Escola, Motivação &amp; Aprendizagem|4</v>
      </c>
    </row>
    <row r="111" customFormat="false" ht="15" hidden="false" customHeight="true" outlineLevel="0" collapsed="false">
      <c r="A111" s="1" t="str">
        <f aca="false">IF(Catálogo!$C111="","",Catálogo!$C111&amp;"|"&amp;COUNTIF(Catálogo!$C$4:$C111,Catálogo!$C111))</f>
        <v>Escola, Motivação &amp; Aprendizagem|5</v>
      </c>
    </row>
    <row r="112" customFormat="false" ht="15" hidden="false" customHeight="true" outlineLevel="0" collapsed="false">
      <c r="A112" s="1" t="str">
        <f aca="false">IF(Catálogo!$C112="","",Catálogo!$C112&amp;"|"&amp;COUNTIF(Catálogo!$C$4:$C112,Catálogo!$C112))</f>
        <v>Escola, Motivação &amp; Aprendizagem|6</v>
      </c>
    </row>
    <row r="113" customFormat="false" ht="15" hidden="false" customHeight="true" outlineLevel="0" collapsed="false">
      <c r="A113" s="1" t="str">
        <f aca="false">IF(Catálogo!$C113="","",Catálogo!$C113&amp;"|"&amp;COUNTIF(Catálogo!$C$4:$C113,Catálogo!$C113))</f>
        <v>Escola, Motivação &amp; Aprendizagem|7</v>
      </c>
    </row>
    <row r="114" customFormat="false" ht="15" hidden="false" customHeight="true" outlineLevel="0" collapsed="false">
      <c r="A114" s="1" t="str">
        <f aca="false">IF(Catálogo!$C114="","",Catálogo!$C114&amp;"|"&amp;COUNTIF(Catálogo!$C$4:$C114,Catálogo!$C114))</f>
        <v>Escola, Motivação &amp; Aprendizagem|8</v>
      </c>
    </row>
    <row r="115" customFormat="false" ht="15" hidden="false" customHeight="true" outlineLevel="0" collapsed="false">
      <c r="A115" s="1" t="str">
        <f aca="false">IF(Catálogo!$C115="","",Catálogo!$C115&amp;"|"&amp;COUNTIF(Catálogo!$C$4:$C115,Catálogo!$C115))</f>
        <v>Escola, Motivação &amp; Aprendizagem|9</v>
      </c>
    </row>
    <row r="116" customFormat="false" ht="15" hidden="false" customHeight="true" outlineLevel="0" collapsed="false">
      <c r="A116" s="1" t="str">
        <f aca="false">IF(Catálogo!$C116="","",Catálogo!$C116&amp;"|"&amp;COUNTIF(Catálogo!$C$4:$C116,Catálogo!$C116))</f>
        <v>Escola, Motivação &amp; Aprendizagem|10</v>
      </c>
    </row>
    <row r="117" customFormat="false" ht="15" hidden="false" customHeight="true" outlineLevel="0" collapsed="false">
      <c r="A117" s="1" t="str">
        <f aca="false">IF(Catálogo!$C117="","",Catálogo!$C117&amp;"|"&amp;COUNTIF(Catálogo!$C$4:$C117,Catálogo!$C117))</f>
        <v>Ansiedade, Depressão &amp; Internalização|7</v>
      </c>
    </row>
    <row r="118" customFormat="false" ht="15" hidden="false" customHeight="true" outlineLevel="0" collapsed="false">
      <c r="A118" s="1" t="str">
        <f aca="false">IF(Catálogo!$C118="","",Catálogo!$C118&amp;"|"&amp;COUNTIF(Catálogo!$C$4:$C118,Catálogo!$C118))</f>
        <v>Neurodesenvolvimento|13</v>
      </c>
    </row>
    <row r="119" customFormat="false" ht="15" hidden="false" customHeight="true" outlineLevel="0" collapsed="false">
      <c r="A119" s="1" t="str">
        <f aca="false">IF(Catálogo!$C119="","",Catálogo!$C119&amp;"|"&amp;COUNTIF(Catálogo!$C$4:$C119,Catálogo!$C119))</f>
        <v>Neurodesenvolvimento|14</v>
      </c>
    </row>
    <row r="120" customFormat="false" ht="15" hidden="false" customHeight="true" outlineLevel="0" collapsed="false">
      <c r="A120" s="1" t="str">
        <f aca="false">IF(Catálogo!$C120="","",Catálogo!$C120&amp;"|"&amp;COUNTIF(Catálogo!$C$4:$C120,Catálogo!$C120))</f>
        <v>Família &amp; Parentalidade|21</v>
      </c>
    </row>
    <row r="121" customFormat="false" ht="15" hidden="false" customHeight="true" outlineLevel="0" collapsed="false">
      <c r="A121" s="1" t="str">
        <f aca="false">IF(Catálogo!$C121="","",Catálogo!$C121&amp;"|"&amp;COUNTIF(Catálogo!$C$4:$C121,Catálogo!$C121))</f>
        <v>Competências Sociais &amp; Assertividade|4</v>
      </c>
    </row>
    <row r="122" customFormat="false" ht="15" hidden="false" customHeight="true" outlineLevel="0" collapsed="false">
      <c r="A122" s="1" t="str">
        <f aca="false">IF(Catálogo!$C122="","",Catálogo!$C122&amp;"|"&amp;COUNTIF(Catálogo!$C$4:$C122,Catálogo!$C122))</f>
        <v>Competências Sociais &amp; Assertividade|5</v>
      </c>
    </row>
    <row r="123" customFormat="false" ht="15" hidden="false" customHeight="true" outlineLevel="0" collapsed="false">
      <c r="A123" s="1" t="str">
        <f aca="false">IF(Catálogo!$C123="","",Catálogo!$C123&amp;"|"&amp;COUNTIF(Catálogo!$C$4:$C123,Catálogo!$C123))</f>
        <v>Família &amp; Parentalidade|22</v>
      </c>
    </row>
    <row r="124" customFormat="false" ht="15" hidden="false" customHeight="true" outlineLevel="0" collapsed="false">
      <c r="A124" s="1" t="str">
        <f aca="false">IF(Catálogo!$C124="","",Catálogo!$C124&amp;"|"&amp;COUNTIF(Catálogo!$C$4:$C124,Catálogo!$C124))</f>
        <v>Família &amp; Parentalidade|23</v>
      </c>
    </row>
    <row r="125" customFormat="false" ht="15" hidden="false" customHeight="true" outlineLevel="0" collapsed="false">
      <c r="A125" s="1" t="str">
        <f aca="false">IF(Catálogo!$C125="","",Catálogo!$C125&amp;"|"&amp;COUNTIF(Catálogo!$C$4:$C125,Catálogo!$C125))</f>
        <v>Personalidade &amp; Esquemas|7</v>
      </c>
    </row>
    <row r="126" customFormat="false" ht="15" hidden="false" customHeight="true" outlineLevel="0" collapsed="false">
      <c r="A126" s="1" t="str">
        <f aca="false">IF(Catálogo!$C126="","",Catálogo!$C126&amp;"|"&amp;COUNTIF(Catálogo!$C$4:$C126,Catálogo!$C126))</f>
        <v>Família &amp; Parentalidade|24</v>
      </c>
    </row>
    <row r="127" customFormat="false" ht="15" hidden="false" customHeight="true" outlineLevel="0" collapsed="false">
      <c r="A127" s="1" t="str">
        <f aca="false">IF(Catálogo!$C127="","",Catálogo!$C127&amp;"|"&amp;COUNTIF(Catálogo!$C$4:$C127,Catálogo!$C127))</f>
        <v>Externalização &amp; Comportamento|7</v>
      </c>
    </row>
    <row r="128" customFormat="false" ht="15" hidden="false" customHeight="true" outlineLevel="0" collapsed="false">
      <c r="A128" s="1" t="str">
        <f aca="false">IF(Catálogo!$C128="","",Catálogo!$C128&amp;"|"&amp;COUNTIF(Catálogo!$C$4:$C128,Catálogo!$C128))</f>
        <v>Externalização &amp; Comportamento|8</v>
      </c>
    </row>
    <row r="129" customFormat="false" ht="15" hidden="false" customHeight="true" outlineLevel="0" collapsed="false">
      <c r="A129" s="1" t="str">
        <f aca="false">IF(Catálogo!$C129="","",Catálogo!$C129&amp;"|"&amp;COUNTIF(Catálogo!$C$4:$C129,Catálogo!$C129))</f>
        <v>Neurodesenvolvimento|15</v>
      </c>
    </row>
    <row r="130" customFormat="false" ht="15" hidden="false" customHeight="true" outlineLevel="0" collapsed="false">
      <c r="A130" s="1" t="str">
        <f aca="false">IF(Catálogo!$C130="","",Catálogo!$C130&amp;"|"&amp;COUNTIF(Catálogo!$C$4:$C130,Catálogo!$C130))</f>
        <v>Neurodesenvolvimento|16</v>
      </c>
    </row>
    <row r="131" customFormat="false" ht="15" hidden="false" customHeight="true" outlineLevel="0" collapsed="false">
      <c r="A131" s="1" t="str">
        <f aca="false">IF(Catálogo!$C131="","",Catálogo!$C131&amp;"|"&amp;COUNTIF(Catálogo!$C$4:$C131,Catálogo!$C131))</f>
        <v>Ansiedade, Depressão &amp; Internalização|8</v>
      </c>
    </row>
    <row r="132" customFormat="false" ht="15" hidden="false" customHeight="true" outlineLevel="0" collapsed="false">
      <c r="A132" s="1" t="str">
        <f aca="false">IF(Catálogo!$C132="","",Catálogo!$C132&amp;"|"&amp;COUNTIF(Catálogo!$C$4:$C132,Catálogo!$C132))</f>
        <v>Ansiedade, Depressão &amp; Internalização|9</v>
      </c>
    </row>
    <row r="133" customFormat="false" ht="15" hidden="false" customHeight="true" outlineLevel="0" collapsed="false">
      <c r="A133" s="1" t="str">
        <f aca="false">IF(Catálogo!$C133="","",Catálogo!$C133&amp;"|"&amp;COUNTIF(Catálogo!$C$4:$C133,Catálogo!$C133))</f>
        <v>Ansiedade, Depressão &amp; Internalização|10</v>
      </c>
    </row>
    <row r="134" customFormat="false" ht="15" hidden="false" customHeight="true" outlineLevel="0" collapsed="false">
      <c r="A134" s="1" t="str">
        <f aca="false">IF(Catálogo!$C134="","",Catálogo!$C134&amp;"|"&amp;COUNTIF(Catálogo!$C$4:$C134,Catálogo!$C134))</f>
        <v>Ansiedade, Depressão &amp; Internalização|11</v>
      </c>
    </row>
    <row r="135" customFormat="false" ht="15" hidden="false" customHeight="true" outlineLevel="0" collapsed="false">
      <c r="A135" s="1" t="str">
        <f aca="false">IF(Catálogo!$C135="","",Catálogo!$C135&amp;"|"&amp;COUNTIF(Catálogo!$C$4:$C135,Catálogo!$C135))</f>
        <v>Ansiedade, Depressão &amp; Internalização|12</v>
      </c>
    </row>
    <row r="136" customFormat="false" ht="15" hidden="false" customHeight="true" outlineLevel="0" collapsed="false">
      <c r="A136" s="1" t="str">
        <f aca="false">IF(Catálogo!$C136="","",Catálogo!$C136&amp;"|"&amp;COUNTIF(Catálogo!$C$4:$C136,Catálogo!$C136))</f>
        <v>Ansiedade, Depressão &amp; Internalização|13</v>
      </c>
    </row>
    <row r="137" customFormat="false" ht="15" hidden="false" customHeight="true" outlineLevel="0" collapsed="false">
      <c r="A137" s="1" t="str">
        <f aca="false">IF(Catálogo!$C137="","",Catálogo!$C137&amp;"|"&amp;COUNTIF(Catálogo!$C$4:$C137,Catálogo!$C137))</f>
        <v>Ansiedade, Depressão &amp; Internalização|14</v>
      </c>
    </row>
    <row r="138" customFormat="false" ht="15" hidden="false" customHeight="true" outlineLevel="0" collapsed="false">
      <c r="A138" s="1" t="str">
        <f aca="false">IF(Catálogo!$C138="","",Catálogo!$C138&amp;"|"&amp;COUNTIF(Catálogo!$C$4:$C138,Catálogo!$C138))</f>
        <v>Orientação Vocacional &amp; Inteligências|7</v>
      </c>
    </row>
    <row r="139" customFormat="false" ht="15" hidden="false" customHeight="true" outlineLevel="0" collapsed="false">
      <c r="A139" s="1" t="str">
        <f aca="false">IF(Catálogo!$C139="","",Catálogo!$C139&amp;"|"&amp;COUNTIF(Catálogo!$C$4:$C139,Catálogo!$C139))</f>
        <v>Escola, Motivação &amp; Aprendizagem|11</v>
      </c>
    </row>
    <row r="140" customFormat="false" ht="15" hidden="false" customHeight="true" outlineLevel="0" collapsed="false">
      <c r="A140" s="1" t="str">
        <f aca="false">IF(Catálogo!$C140="","",Catálogo!$C140&amp;"|"&amp;COUNTIF(Catálogo!$C$4:$C140,Catálogo!$C140))</f>
        <v>Atenção, PHDA &amp; Funções Executivas|13</v>
      </c>
    </row>
    <row r="141" customFormat="false" ht="15" hidden="false" customHeight="true" outlineLevel="0" collapsed="false">
      <c r="A141" s="1" t="str">
        <f aca="false">IF(Catálogo!$C141="","",Catálogo!$C141&amp;"|"&amp;COUNTIF(Catálogo!$C$4:$C141,Catálogo!$C141))</f>
        <v>Escola, Motivação &amp; Aprendizagem|12</v>
      </c>
    </row>
    <row r="142" customFormat="false" ht="15" hidden="false" customHeight="true" outlineLevel="0" collapsed="false">
      <c r="A142" s="1" t="str">
        <f aca="false">IF(Catálogo!$C142="","",Catálogo!$C142&amp;"|"&amp;COUNTIF(Catálogo!$C$4:$C142,Catálogo!$C142))</f>
        <v>Ansiedade, Depressão &amp; Internalização|15</v>
      </c>
    </row>
    <row r="143" customFormat="false" ht="15" hidden="false" customHeight="true" outlineLevel="0" collapsed="false">
      <c r="A143" s="1" t="str">
        <f aca="false">IF(Catálogo!$C143="","",Catálogo!$C143&amp;"|"&amp;COUNTIF(Catálogo!$C$4:$C143,Catálogo!$C143))</f>
        <v>Ansiedade, Depressão &amp; Internalização|16</v>
      </c>
    </row>
    <row r="144" customFormat="false" ht="15" hidden="false" customHeight="true" outlineLevel="0" collapsed="false">
      <c r="A144" s="1" t="str">
        <f aca="false">IF(Catálogo!$C144="","",Catálogo!$C144&amp;"|"&amp;COUNTIF(Catálogo!$C$4:$C144,Catálogo!$C144))</f>
        <v>Autoconceito &amp; Autoestima|2</v>
      </c>
    </row>
    <row r="145" customFormat="false" ht="15" hidden="false" customHeight="true" outlineLevel="0" collapsed="false">
      <c r="A145" s="1" t="str">
        <f aca="false">IF(Catálogo!$C145="","",Catálogo!$C145&amp;"|"&amp;COUNTIF(Catálogo!$C$4:$C145,Catálogo!$C145))</f>
        <v>Autoconceito &amp; Autoestima|3</v>
      </c>
    </row>
    <row r="146" customFormat="false" ht="15" hidden="false" customHeight="true" outlineLevel="0" collapsed="false">
      <c r="A146" s="1" t="str">
        <f aca="false">IF(Catálogo!$C146="","",Catálogo!$C146&amp;"|"&amp;COUNTIF(Catálogo!$C$4:$C146,Catálogo!$C146))</f>
        <v>Autoconceito &amp; Autoestima|4</v>
      </c>
    </row>
    <row r="147" customFormat="false" ht="15" hidden="false" customHeight="true" outlineLevel="0" collapsed="false">
      <c r="A147" s="1" t="str">
        <f aca="false">IF(Catálogo!$C147="","",Catálogo!$C147&amp;"|"&amp;COUNTIF(Catálogo!$C$4:$C147,Catálogo!$C147))</f>
        <v>Autoconceito &amp; Autoestima|5</v>
      </c>
    </row>
    <row r="148" customFormat="false" ht="15" hidden="false" customHeight="true" outlineLevel="0" collapsed="false">
      <c r="A148" s="1" t="str">
        <f aca="false">IF(Catálogo!$C148="","",Catálogo!$C148&amp;"|"&amp;COUNTIF(Catálogo!$C$4:$C148,Catálogo!$C148))</f>
        <v>Autoconceito &amp; Autoestima|6</v>
      </c>
    </row>
    <row r="149" customFormat="false" ht="15" hidden="false" customHeight="true" outlineLevel="0" collapsed="false">
      <c r="A149" s="1" t="str">
        <f aca="false">IF(Catálogo!$C149="","",Catálogo!$C149&amp;"|"&amp;COUNTIF(Catálogo!$C$4:$C149,Catálogo!$C149))</f>
        <v>Neurodesenvolvimento|17</v>
      </c>
    </row>
    <row r="150" customFormat="false" ht="15" hidden="false" customHeight="true" outlineLevel="0" collapsed="false">
      <c r="A150" s="1" t="str">
        <f aca="false">IF(Catálogo!$C150="","",Catálogo!$C150&amp;"|"&amp;COUNTIF(Catálogo!$C$4:$C150,Catálogo!$C150))</f>
        <v>Neurodesenvolvimento|18</v>
      </c>
    </row>
    <row r="151" customFormat="false" ht="15" hidden="false" customHeight="true" outlineLevel="0" collapsed="false">
      <c r="A151" s="1" t="str">
        <f aca="false">IF(Catálogo!$C151="","",Catálogo!$C151&amp;"|"&amp;COUNTIF(Catálogo!$C$4:$C151,Catálogo!$C151))</f>
        <v>Ansiedade, Depressão &amp; Internalização|17</v>
      </c>
    </row>
    <row r="152" customFormat="false" ht="15" hidden="false" customHeight="true" outlineLevel="0" collapsed="false">
      <c r="A152" s="1" t="str">
        <f aca="false">IF(Catálogo!$C152="","",Catálogo!$C152&amp;"|"&amp;COUNTIF(Catálogo!$C$4:$C152,Catálogo!$C152))</f>
        <v>Externalização &amp; Comportamento|9</v>
      </c>
    </row>
    <row r="153" customFormat="false" ht="15" hidden="false" customHeight="true" outlineLevel="0" collapsed="false">
      <c r="A153" s="1" t="str">
        <f aca="false">IF(Catálogo!$C153="","",Catálogo!$C153&amp;"|"&amp;COUNTIF(Catálogo!$C$4:$C153,Catálogo!$C153))</f>
        <v>Atenção, PHDA &amp; Funções Executivas|14</v>
      </c>
    </row>
    <row r="154" customFormat="false" ht="15" hidden="false" customHeight="true" outlineLevel="0" collapsed="false">
      <c r="A154" s="1" t="str">
        <f aca="false">IF(Catálogo!$C154="","",Catálogo!$C154&amp;"|"&amp;COUNTIF(Catálogo!$C$4:$C154,Catálogo!$C154))</f>
        <v>Regulação Emocional &amp; Coping|13</v>
      </c>
    </row>
    <row r="155" customFormat="false" ht="15" hidden="false" customHeight="true" outlineLevel="0" collapsed="false">
      <c r="A155" s="1" t="str">
        <f aca="false">IF(Catálogo!$C155="","",Catálogo!$C155&amp;"|"&amp;COUNTIF(Catálogo!$C$4:$C155,Catálogo!$C155))</f>
        <v>Trauma &amp; Stress|1</v>
      </c>
    </row>
    <row r="156" customFormat="false" ht="15" hidden="false" customHeight="true" outlineLevel="0" collapsed="false">
      <c r="A156" s="1" t="str">
        <f aca="false">IF(Catálogo!$C156="","",Catálogo!$C156&amp;"|"&amp;COUNTIF(Catálogo!$C$4:$C156,Catálogo!$C156))</f>
        <v>Sono|1</v>
      </c>
    </row>
    <row r="157" customFormat="false" ht="15" hidden="false" customHeight="true" outlineLevel="0" collapsed="false">
      <c r="A157" s="1" t="str">
        <f aca="false">IF(Catálogo!$C157="","",Catálogo!$C157&amp;"|"&amp;COUNTIF(Catálogo!$C$4:$C157,Catálogo!$C157))</f>
        <v>Sono|2</v>
      </c>
    </row>
    <row r="158" customFormat="false" ht="15" hidden="false" customHeight="true" outlineLevel="0" collapsed="false">
      <c r="A158" s="1" t="str">
        <f aca="false">IF(Catálogo!$C158="","",Catálogo!$C158&amp;"|"&amp;COUNTIF(Catálogo!$C$4:$C158,Catálogo!$C158))</f>
        <v>Neurodesenvolvimento|19</v>
      </c>
    </row>
    <row r="159" customFormat="false" ht="15" hidden="false" customHeight="true" outlineLevel="0" collapsed="false">
      <c r="A159" s="1" t="str">
        <f aca="false">IF(Catálogo!$C159="","",Catálogo!$C159&amp;"|"&amp;COUNTIF(Catálogo!$C$4:$C159,Catálogo!$C159))</f>
        <v>Trauma &amp; Stress|2</v>
      </c>
    </row>
    <row r="160" customFormat="false" ht="15" hidden="false" customHeight="true" outlineLevel="0" collapsed="false">
      <c r="A160" s="1" t="str">
        <f aca="false">IF(Catálogo!$C160="","",Catálogo!$C160&amp;"|"&amp;COUNTIF(Catálogo!$C$4:$C160,Catálogo!$C160))</f>
        <v>Trauma &amp; Stress|3</v>
      </c>
    </row>
    <row r="161" customFormat="false" ht="15" hidden="false" customHeight="true" outlineLevel="0" collapsed="false">
      <c r="A161" s="1" t="str">
        <f aca="false">IF(Catálogo!$C161="","",Catálogo!$C161&amp;"|"&amp;COUNTIF(Catálogo!$C$4:$C161,Catálogo!$C161))</f>
        <v>Trauma &amp; Stress|4</v>
      </c>
    </row>
    <row r="162" customFormat="false" ht="15" hidden="false" customHeight="true" outlineLevel="0" collapsed="false">
      <c r="A162" s="1" t="str">
        <f aca="false">IF(Catálogo!$C162="","",Catálogo!$C162&amp;"|"&amp;COUNTIF(Catálogo!$C$4:$C162,Catálogo!$C162))</f>
        <v>Risco, Autolesão &amp; Psicopatologia Geral|10</v>
      </c>
    </row>
    <row r="163" customFormat="false" ht="15" hidden="false" customHeight="true" outlineLevel="0" collapsed="false">
      <c r="A163" s="1" t="str">
        <f aca="false">IF(Catálogo!$C163="","",Catálogo!$C163&amp;"|"&amp;COUNTIF(Catálogo!$C$4:$C163,Catálogo!$C163))</f>
        <v>Trauma &amp; Stress|5</v>
      </c>
    </row>
    <row r="164" customFormat="false" ht="15" hidden="false" customHeight="true" outlineLevel="0" collapsed="false">
      <c r="A164" s="1" t="str">
        <f aca="false">IF(Catálogo!$C164="","",Catálogo!$C164&amp;"|"&amp;COUNTIF(Catálogo!$C$4:$C164,Catálogo!$C164))</f>
        <v>Ansiedade, Depressão &amp; Internalização|18</v>
      </c>
    </row>
    <row r="165" customFormat="false" ht="15" hidden="false" customHeight="true" outlineLevel="0" collapsed="false">
      <c r="A165" s="1" t="str">
        <f aca="false">IF(Catálogo!$C165="","",Catálogo!$C165&amp;"|"&amp;COUNTIF(Catálogo!$C$4:$C165,Catálogo!$C165))</f>
        <v>Ansiedade, Depressão &amp; Internalização|19</v>
      </c>
    </row>
    <row r="166" customFormat="false" ht="15" hidden="false" customHeight="true" outlineLevel="0" collapsed="false">
      <c r="A166" s="1" t="str">
        <f aca="false">IF(Catálogo!$C166="","",Catálogo!$C166&amp;"|"&amp;COUNTIF(Catálogo!$C$4:$C166,Catálogo!$C166))</f>
        <v>Neurodesenvolvimento|20</v>
      </c>
    </row>
    <row r="167" customFormat="false" ht="15" hidden="false" customHeight="true" outlineLevel="0" collapsed="false">
      <c r="A167" s="1" t="str">
        <f aca="false">IF(Catálogo!$C167="","",Catálogo!$C167&amp;"|"&amp;COUNTIF(Catálogo!$C$4:$C167,Catálogo!$C167))</f>
        <v>Sono|3</v>
      </c>
    </row>
    <row r="168" customFormat="false" ht="15" hidden="false" customHeight="true" outlineLevel="0" collapsed="false">
      <c r="A168" s="1" t="str">
        <f aca="false">IF(Catálogo!$C168="","",Catálogo!$C168&amp;"|"&amp;COUNTIF(Catálogo!$C$4:$C168,Catálogo!$C168))</f>
        <v>Ansiedade, Depressão &amp; Internalização|20</v>
      </c>
    </row>
    <row r="169" customFormat="false" ht="15" hidden="false" customHeight="true" outlineLevel="0" collapsed="false">
      <c r="A169" s="1" t="str">
        <f aca="false">IF(Catálogo!$C169="","",Catálogo!$C169&amp;"|"&amp;COUNTIF(Catálogo!$C$4:$C169,Catálogo!$C169))</f>
        <v>Ansiedade, Depressão &amp; Internalização|21</v>
      </c>
    </row>
    <row r="170" customFormat="false" ht="15" hidden="false" customHeight="true" outlineLevel="0" collapsed="false">
      <c r="A170" s="1" t="str">
        <f aca="false">IF(Catálogo!$C170="","",Catálogo!$C170&amp;"|"&amp;COUNTIF(Catálogo!$C$4:$C170,Catálogo!$C170))</f>
        <v>Ansiedade, Depressão &amp; Internalização|22</v>
      </c>
    </row>
    <row r="171" customFormat="false" ht="15" hidden="false" customHeight="true" outlineLevel="0" collapsed="false">
      <c r="A171" s="1" t="str">
        <f aca="false">IF(Catálogo!$C171="","",Catálogo!$C171&amp;"|"&amp;COUNTIF(Catálogo!$C$4:$C171,Catálogo!$C171))</f>
        <v>Ansiedade, Depressão &amp; Internalização|23</v>
      </c>
    </row>
    <row r="172" customFormat="false" ht="15" hidden="false" customHeight="true" outlineLevel="0" collapsed="false">
      <c r="A172" s="1" t="str">
        <f aca="false">IF(Catálogo!$C172="","",Catálogo!$C172&amp;"|"&amp;COUNTIF(Catálogo!$C$4:$C172,Catálogo!$C172))</f>
        <v>Regulação Emocional &amp; Coping|14</v>
      </c>
    </row>
    <row r="173" customFormat="false" ht="15" hidden="false" customHeight="true" outlineLevel="0" collapsed="false">
      <c r="A173" s="1" t="str">
        <f aca="false">IF(Catálogo!$C173="","",Catálogo!$C173&amp;"|"&amp;COUNTIF(Catálogo!$C$4:$C173,Catálogo!$C173))</f>
        <v>Família &amp; Parentalidade|25</v>
      </c>
    </row>
    <row r="174" customFormat="false" ht="15" hidden="false" customHeight="true" outlineLevel="0" collapsed="false">
      <c r="A174" s="1" t="str">
        <f aca="false">IF(Catálogo!$C174="","",Catálogo!$C174&amp;"|"&amp;COUNTIF(Catálogo!$C$4:$C174,Catálogo!$C174))</f>
        <v>Família &amp; Parentalidade|26</v>
      </c>
    </row>
    <row r="175" customFormat="false" ht="15" hidden="false" customHeight="true" outlineLevel="0" collapsed="false">
      <c r="A175" s="1" t="str">
        <f aca="false">IF(Catálogo!$C175="","",Catálogo!$C175&amp;"|"&amp;COUNTIF(Catálogo!$C$4:$C175,Catálogo!$C175))</f>
        <v>Personalidade &amp; Esquemas|8</v>
      </c>
    </row>
    <row r="176" customFormat="false" ht="15" hidden="false" customHeight="true" outlineLevel="0" collapsed="false">
      <c r="A176" s="1" t="str">
        <f aca="false">IF(Catálogo!$C176="","",Catálogo!$C176&amp;"|"&amp;COUNTIF(Catálogo!$C$4:$C176,Catálogo!$C176))</f>
        <v>Personalidade &amp; Esquemas|9</v>
      </c>
    </row>
    <row r="177" customFormat="false" ht="15" hidden="false" customHeight="true" outlineLevel="0" collapsed="false">
      <c r="A177" s="1" t="str">
        <f aca="false">IF(Catálogo!$C177="","",Catálogo!$C177&amp;"|"&amp;COUNTIF(Catálogo!$C$4:$C177,Catálogo!$C177))</f>
        <v>Alimentação &amp; Imagem Corporal|7</v>
      </c>
    </row>
    <row r="178" customFormat="false" ht="15" hidden="false" customHeight="true" outlineLevel="0" collapsed="false">
      <c r="A178" s="1" t="str">
        <f aca="false">IF(Catálogo!$C178="","",Catálogo!$C178&amp;"|"&amp;COUNTIF(Catálogo!$C$4:$C178,Catálogo!$C178))</f>
        <v>Alimentação &amp; Imagem Corporal|8</v>
      </c>
    </row>
    <row r="179" customFormat="false" ht="15" hidden="false" customHeight="true" outlineLevel="0" collapsed="false">
      <c r="A179" s="1" t="str">
        <f aca="false">IF(Catálogo!$C179="","",Catálogo!$C179&amp;"|"&amp;COUNTIF(Catálogo!$C$4:$C179,Catálogo!$C179))</f>
        <v>Alimentação &amp; Imagem Corporal|9</v>
      </c>
    </row>
    <row r="180" customFormat="false" ht="15" hidden="false" customHeight="true" outlineLevel="0" collapsed="false">
      <c r="A180" s="1" t="str">
        <f aca="false">IF(Catálogo!$C180="","",Catálogo!$C180&amp;"|"&amp;COUNTIF(Catálogo!$C$4:$C180,Catálogo!$C180))</f>
        <v>Alimentação &amp; Imagem Corporal|10</v>
      </c>
    </row>
    <row r="181" customFormat="false" ht="15" hidden="false" customHeight="true" outlineLevel="0" collapsed="false">
      <c r="A181" s="1" t="str">
        <f aca="false">IF(Catálogo!$C181="","",Catálogo!$C181&amp;"|"&amp;COUNTIF(Catálogo!$C$4:$C181,Catálogo!$C181))</f>
        <v>Ansiedade, Depressão &amp; Internalização|24</v>
      </c>
    </row>
    <row r="182" customFormat="false" ht="15" hidden="false" customHeight="true" outlineLevel="0" collapsed="false">
      <c r="A182" s="1" t="str">
        <f aca="false">IF(Catálogo!$C182="","",Catálogo!$C182&amp;"|"&amp;COUNTIF(Catálogo!$C$4:$C182,Catálogo!$C182))</f>
        <v>Ansiedade, Depressão &amp; Internalização|25</v>
      </c>
    </row>
    <row r="183" customFormat="false" ht="15" hidden="false" customHeight="true" outlineLevel="0" collapsed="false">
      <c r="A183" s="1" t="str">
        <f aca="false">IF(Catálogo!$C183="","",Catálogo!$C183&amp;"|"&amp;COUNTIF(Catálogo!$C$4:$C183,Catálogo!$C183))</f>
        <v>Ansiedade, Depressão &amp; Internalização|26</v>
      </c>
    </row>
    <row r="184" customFormat="false" ht="15" hidden="false" customHeight="true" outlineLevel="0" collapsed="false">
      <c r="A184" s="1" t="str">
        <f aca="false">IF(Catálogo!$C184="","",Catálogo!$C184&amp;"|"&amp;COUNTIF(Catálogo!$C$4:$C184,Catálogo!$C184))</f>
        <v>Ansiedade, Depressão &amp; Internalização|27</v>
      </c>
    </row>
    <row r="185" customFormat="false" ht="15" hidden="false" customHeight="true" outlineLevel="0" collapsed="false">
      <c r="A185" s="1" t="str">
        <f aca="false">IF(Catálogo!$C185="","",Catálogo!$C185&amp;"|"&amp;COUNTIF(Catálogo!$C$4:$C185,Catálogo!$C185))</f>
        <v>Atenção, PHDA &amp; Funções Executivas|15</v>
      </c>
    </row>
    <row r="186" customFormat="false" ht="15" hidden="false" customHeight="true" outlineLevel="0" collapsed="false">
      <c r="A186" s="1" t="str">
        <f aca="false">IF(Catálogo!$C186="","",Catálogo!$C186&amp;"|"&amp;COUNTIF(Catálogo!$C$4:$C186,Catálogo!$C186))</f>
        <v>Atenção, PHDA &amp; Funções Executivas|16</v>
      </c>
    </row>
    <row r="187" customFormat="false" ht="15" hidden="false" customHeight="true" outlineLevel="0" collapsed="false">
      <c r="A187" s="1" t="str">
        <f aca="false">IF(Catálogo!$C187="","",Catálogo!$C187&amp;"|"&amp;COUNTIF(Catálogo!$C$4:$C187,Catálogo!$C187))</f>
        <v>Sono|4</v>
      </c>
    </row>
    <row r="188" customFormat="false" ht="15" hidden="false" customHeight="true" outlineLevel="0" collapsed="false">
      <c r="A188" s="1" t="str">
        <f aca="false">IF(Catálogo!$C188="","",Catálogo!$C188&amp;"|"&amp;COUNTIF(Catálogo!$C$4:$C188,Catálogo!$C188))</f>
        <v>Sono|5</v>
      </c>
    </row>
    <row r="189" customFormat="false" ht="15" hidden="false" customHeight="true" outlineLevel="0" collapsed="false">
      <c r="A189" s="1" t="str">
        <f aca="false">IF(Catálogo!$C189="","",Catálogo!$C189&amp;"|"&amp;COUNTIF(Catálogo!$C$4:$C189,Catálogo!$C189))</f>
        <v>Ansiedade, Depressão &amp; Internalização|28</v>
      </c>
    </row>
    <row r="190" customFormat="false" ht="15" hidden="false" customHeight="true" outlineLevel="0" collapsed="false">
      <c r="A190" s="1" t="str">
        <f aca="false">IF(Catálogo!$C190="","",Catálogo!$C190&amp;"|"&amp;COUNTIF(Catálogo!$C$4:$C190,Catálogo!$C190))</f>
        <v>Ansiedade, Depressão &amp; Internalização|29</v>
      </c>
    </row>
    <row r="191" customFormat="false" ht="15" hidden="false" customHeight="true" outlineLevel="0" collapsed="false">
      <c r="A191" s="1" t="str">
        <f aca="false">IF(Catálogo!$C191="","",Catálogo!$C191&amp;"|"&amp;COUNTIF(Catálogo!$C$4:$C191,Catálogo!$C191))</f>
        <v>Ansiedade, Depressão &amp; Internalização|30</v>
      </c>
    </row>
    <row r="192" customFormat="false" ht="15" hidden="false" customHeight="true" outlineLevel="0" collapsed="false">
      <c r="A192" s="1" t="str">
        <f aca="false">IF(Catálogo!$C192="","",Catálogo!$C192&amp;"|"&amp;COUNTIF(Catálogo!$C$4:$C192,Catálogo!$C192))</f>
        <v>Ansiedade, Depressão &amp; Internalização|31</v>
      </c>
    </row>
    <row r="193" customFormat="false" ht="15" hidden="false" customHeight="true" outlineLevel="0" collapsed="false">
      <c r="A193" s="1" t="str">
        <f aca="false">IF(Catálogo!$C193="","",Catálogo!$C193&amp;"|"&amp;COUNTIF(Catálogo!$C$4:$C193,Catálogo!$C193))</f>
        <v>Atenção, PHDA &amp; Funções Executivas|17</v>
      </c>
    </row>
    <row r="194" customFormat="false" ht="15" hidden="false" customHeight="true" outlineLevel="0" collapsed="false">
      <c r="A194" s="1" t="str">
        <f aca="false">IF(Catálogo!$C194="","",Catálogo!$C194&amp;"|"&amp;COUNTIF(Catálogo!$C$4:$C194,Catálogo!$C194))</f>
        <v>Atenção, PHDA &amp; Funções Executivas|18</v>
      </c>
    </row>
    <row r="195" customFormat="false" ht="15" hidden="false" customHeight="true" outlineLevel="0" collapsed="false">
      <c r="A195" s="1" t="str">
        <f aca="false">IF(Catálogo!$C195="","",Catálogo!$C195&amp;"|"&amp;COUNTIF(Catálogo!$C$4:$C195,Catálogo!$C195))</f>
        <v>Funcionamento &amp; Interferência Funcional|1</v>
      </c>
    </row>
    <row r="196" customFormat="false" ht="15" hidden="false" customHeight="true" outlineLevel="0" collapsed="false">
      <c r="A196" s="1" t="str">
        <f aca="false">IF(Catálogo!$C196="","",Catálogo!$C196&amp;"|"&amp;COUNTIF(Catálogo!$C$4:$C196,Catálogo!$C196))</f>
        <v>Funcionamento &amp; Interferência Funcional|2</v>
      </c>
    </row>
    <row r="197" customFormat="false" ht="15" hidden="false" customHeight="true" outlineLevel="0" collapsed="false">
      <c r="A197" s="1" t="str">
        <f aca="false">IF(Catálogo!$C197="","",Catálogo!$C197&amp;"|"&amp;COUNTIF(Catálogo!$C$4:$C197,Catálogo!$C197))</f>
        <v>Comportamentos Aditivos|1</v>
      </c>
    </row>
    <row r="198" customFormat="false" ht="15" hidden="false" customHeight="true" outlineLevel="0" collapsed="false">
      <c r="A198" s="1" t="str">
        <f aca="false">IF(Catálogo!$C198="","",Catálogo!$C198&amp;"|"&amp;COUNTIF(Catálogo!$C$4:$C198,Catálogo!$C198))</f>
        <v>Personalidade &amp; Esquemas|10</v>
      </c>
    </row>
    <row r="199" customFormat="false" ht="15" hidden="false" customHeight="true" outlineLevel="0" collapsed="false">
      <c r="A199" s="1" t="str">
        <f aca="false">IF(Catálogo!$C199="","",Catálogo!$C199&amp;"|"&amp;COUNTIF(Catálogo!$C$4:$C199,Catálogo!$C199))</f>
        <v>Neurodesenvolvimento|21</v>
      </c>
    </row>
    <row r="200" customFormat="false" ht="15" hidden="false" customHeight="true" outlineLevel="0" collapsed="false">
      <c r="A200" s="1" t="str">
        <f aca="false">IF(Catálogo!$C200="","",Catálogo!$C200&amp;"|"&amp;COUNTIF(Catálogo!$C$4:$C200,Catálogo!$C200))</f>
        <v/>
      </c>
    </row>
    <row r="201" customFormat="false" ht="15" hidden="false" customHeight="true" outlineLevel="0" collapsed="false">
      <c r="A201" s="1" t="str">
        <f aca="false">IF(Catálogo!$C201="","",Catálogo!$C201&amp;"|"&amp;COUNTIF(Catálogo!$C$4:$C201,Catálogo!$C201))</f>
        <v/>
      </c>
    </row>
    <row r="202" customFormat="false" ht="15" hidden="false" customHeight="true" outlineLevel="0" collapsed="false">
      <c r="A202" s="1" t="str">
        <f aca="false">IF(Catálogo!$C202="","",Catálogo!$C202&amp;"|"&amp;COUNTIF(Catálogo!$C$4:$C202,Catálogo!$C202))</f>
        <v/>
      </c>
    </row>
    <row r="203" customFormat="false" ht="15" hidden="false" customHeight="true" outlineLevel="0" collapsed="false">
      <c r="A203" s="1" t="str">
        <f aca="false">IF(Catálogo!$C203="","",Catálogo!$C203&amp;"|"&amp;COUNTIF(Catálogo!$C$4:$C203,Catálogo!$C203))</f>
        <v/>
      </c>
    </row>
    <row r="204" customFormat="false" ht="15" hidden="false" customHeight="true" outlineLevel="0" collapsed="false">
      <c r="A204" s="1" t="str">
        <f aca="false">IF(Catálogo!$C204="","",Catálogo!$C204&amp;"|"&amp;COUNTIF(Catálogo!$C$4:$C204,Catálogo!$C204))</f>
        <v/>
      </c>
    </row>
    <row r="205" customFormat="false" ht="15" hidden="false" customHeight="true" outlineLevel="0" collapsed="false">
      <c r="A205" s="1" t="str">
        <f aca="false">IF(Catálogo!$C205="","",Catálogo!$C205&amp;"|"&amp;COUNTIF(Catálogo!$C$4:$C205,Catálogo!$C205))</f>
        <v/>
      </c>
    </row>
    <row r="206" customFormat="false" ht="15" hidden="false" customHeight="true" outlineLevel="0" collapsed="false">
      <c r="A206" s="1" t="str">
        <f aca="false">IF(Catálogo!$C206="","",Catálogo!$C206&amp;"|"&amp;COUNTIF(Catálogo!$C$4:$C206,Catálogo!$C206))</f>
        <v/>
      </c>
    </row>
    <row r="207" customFormat="false" ht="15" hidden="false" customHeight="true" outlineLevel="0" collapsed="false">
      <c r="A207" s="1" t="str">
        <f aca="false">IF(Catálogo!$C207="","",Catálogo!$C207&amp;"|"&amp;COUNTIF(Catálogo!$C$4:$C207,Catálogo!$C207))</f>
        <v/>
      </c>
    </row>
    <row r="208" customFormat="false" ht="15" hidden="false" customHeight="true" outlineLevel="0" collapsed="false">
      <c r="A208" s="1" t="str">
        <f aca="false">IF(Catálogo!$C208="","",Catálogo!$C208&amp;"|"&amp;COUNTIF(Catálogo!$C$4:$C208,Catálogo!$C208))</f>
        <v/>
      </c>
    </row>
    <row r="209" customFormat="false" ht="15" hidden="false" customHeight="true" outlineLevel="0" collapsed="false">
      <c r="A209" s="1" t="str">
        <f aca="false">IF(Catálogo!$C209="","",Catálogo!$C209&amp;"|"&amp;COUNTIF(Catálogo!$C$4:$C209,Catálogo!$C209))</f>
        <v/>
      </c>
    </row>
    <row r="210" customFormat="false" ht="15" hidden="false" customHeight="true" outlineLevel="0" collapsed="false">
      <c r="A210" s="1" t="str">
        <f aca="false">IF(Catálogo!$C210="","",Catálogo!$C210&amp;"|"&amp;COUNTIF(Catálogo!$C$4:$C210,Catálogo!$C210))</f>
        <v/>
      </c>
    </row>
    <row r="211" customFormat="false" ht="15" hidden="false" customHeight="true" outlineLevel="0" collapsed="false">
      <c r="A211" s="1" t="str">
        <f aca="false">IF(Catálogo!$C211="","",Catálogo!$C211&amp;"|"&amp;COUNTIF(Catálogo!$C$4:$C211,Catálogo!$C211))</f>
        <v/>
      </c>
    </row>
    <row r="212" customFormat="false" ht="15" hidden="false" customHeight="true" outlineLevel="0" collapsed="false">
      <c r="A212" s="1" t="str">
        <f aca="false">IF(Catálogo!$C212="","",Catálogo!$C212&amp;"|"&amp;COUNTIF(Catálogo!$C$4:$C212,Catálogo!$C212))</f>
        <v/>
      </c>
    </row>
    <row r="213" customFormat="false" ht="15" hidden="false" customHeight="true" outlineLevel="0" collapsed="false">
      <c r="A213" s="1" t="str">
        <f aca="false">IF(Catálogo!$C213="","",Catálogo!$C213&amp;"|"&amp;COUNTIF(Catálogo!$C$4:$C213,Catálogo!$C213))</f>
        <v/>
      </c>
    </row>
    <row r="214" customFormat="false" ht="15" hidden="false" customHeight="true" outlineLevel="0" collapsed="false">
      <c r="A214" s="1" t="str">
        <f aca="false">IF(Catálogo!$C214="","",Catálogo!$C214&amp;"|"&amp;COUNTIF(Catálogo!$C$4:$C214,Catálogo!$C214))</f>
        <v/>
      </c>
    </row>
    <row r="215" customFormat="false" ht="15" hidden="false" customHeight="true" outlineLevel="0" collapsed="false">
      <c r="A215" s="1" t="str">
        <f aca="false">IF(Catálogo!$C215="","",Catálogo!$C215&amp;"|"&amp;COUNTIF(Catálogo!$C$4:$C215,Catálogo!$C215))</f>
        <v/>
      </c>
    </row>
    <row r="216" customFormat="false" ht="15" hidden="false" customHeight="true" outlineLevel="0" collapsed="false">
      <c r="A216" s="1" t="str">
        <f aca="false">IF(Catálogo!$C216="","",Catálogo!$C216&amp;"|"&amp;COUNTIF(Catálogo!$C$4:$C216,Catálogo!$C216))</f>
        <v/>
      </c>
    </row>
    <row r="217" customFormat="false" ht="15" hidden="false" customHeight="true" outlineLevel="0" collapsed="false">
      <c r="A217" s="1" t="str">
        <f aca="false">IF(Catálogo!$C217="","",Catálogo!$C217&amp;"|"&amp;COUNTIF(Catálogo!$C$4:$C217,Catálogo!$C217))</f>
        <v/>
      </c>
    </row>
    <row r="218" customFormat="false" ht="15" hidden="false" customHeight="true" outlineLevel="0" collapsed="false">
      <c r="A218" s="1" t="str">
        <f aca="false">IF(Catálogo!$C218="","",Catálogo!$C218&amp;"|"&amp;COUNTIF(Catálogo!$C$4:$C218,Catálogo!$C218))</f>
        <v/>
      </c>
    </row>
    <row r="219" customFormat="false" ht="15" hidden="false" customHeight="true" outlineLevel="0" collapsed="false">
      <c r="A219" s="1" t="str">
        <f aca="false">IF(Catálogo!$C219="","",Catálogo!$C219&amp;"|"&amp;COUNTIF(Catálogo!$C$4:$C219,Catálogo!$C219))</f>
        <v/>
      </c>
    </row>
    <row r="220" customFormat="false" ht="15" hidden="false" customHeight="true" outlineLevel="0" collapsed="false">
      <c r="A220" s="1" t="str">
        <f aca="false">IF(Catálogo!$C220="","",Catálogo!$C220&amp;"|"&amp;COUNTIF(Catálogo!$C$4:$C220,Catálogo!$C220))</f>
        <v/>
      </c>
    </row>
    <row r="221" customFormat="false" ht="15" hidden="false" customHeight="true" outlineLevel="0" collapsed="false">
      <c r="A221" s="1" t="str">
        <f aca="false">IF(Catálogo!$C221="","",Catálogo!$C221&amp;"|"&amp;COUNTIF(Catálogo!$C$4:$C221,Catálogo!$C221))</f>
        <v/>
      </c>
    </row>
    <row r="222" customFormat="false" ht="15" hidden="false" customHeight="true" outlineLevel="0" collapsed="false">
      <c r="A222" s="1" t="str">
        <f aca="false">IF(Catálogo!$C222="","",Catálogo!$C222&amp;"|"&amp;COUNTIF(Catálogo!$C$4:$C222,Catálogo!$C222))</f>
        <v/>
      </c>
    </row>
    <row r="223" customFormat="false" ht="15" hidden="false" customHeight="true" outlineLevel="0" collapsed="false">
      <c r="A223" s="1" t="str">
        <f aca="false">IF(Catálogo!$C223="","",Catálogo!$C223&amp;"|"&amp;COUNTIF(Catálogo!$C$4:$C223,Catálogo!$C223))</f>
        <v/>
      </c>
    </row>
    <row r="224" customFormat="false" ht="15" hidden="false" customHeight="true" outlineLevel="0" collapsed="false">
      <c r="A224" s="1" t="str">
        <f aca="false">IF(Catálogo!$C224="","",Catálogo!$C224&amp;"|"&amp;COUNTIF(Catálogo!$C$4:$C224,Catálogo!$C224))</f>
        <v/>
      </c>
    </row>
    <row r="225" customFormat="false" ht="15" hidden="false" customHeight="true" outlineLevel="0" collapsed="false">
      <c r="A225" s="1" t="str">
        <f aca="false">IF(Catálogo!$C225="","",Catálogo!$C225&amp;"|"&amp;COUNTIF(Catálogo!$C$4:$C225,Catálogo!$C225))</f>
        <v/>
      </c>
    </row>
    <row r="226" customFormat="false" ht="15" hidden="false" customHeight="true" outlineLevel="0" collapsed="false">
      <c r="A226" s="1" t="str">
        <f aca="false">IF(Catálogo!$C226="","",Catálogo!$C226&amp;"|"&amp;COUNTIF(Catálogo!$C$4:$C226,Catálogo!$C226))</f>
        <v/>
      </c>
    </row>
    <row r="227" customFormat="false" ht="15" hidden="false" customHeight="true" outlineLevel="0" collapsed="false">
      <c r="A227" s="1" t="str">
        <f aca="false">IF(Catálogo!$C227="","",Catálogo!$C227&amp;"|"&amp;COUNTIF(Catálogo!$C$4:$C227,Catálogo!$C227))</f>
        <v/>
      </c>
    </row>
    <row r="228" customFormat="false" ht="15" hidden="false" customHeight="true" outlineLevel="0" collapsed="false">
      <c r="A228" s="1" t="str">
        <f aca="false">IF(Catálogo!$C228="","",Catálogo!$C228&amp;"|"&amp;COUNTIF(Catálogo!$C$4:$C228,Catálogo!$C228))</f>
        <v/>
      </c>
    </row>
    <row r="229" customFormat="false" ht="15" hidden="false" customHeight="true" outlineLevel="0" collapsed="false">
      <c r="A229" s="1" t="str">
        <f aca="false">IF(Catálogo!$C229="","",Catálogo!$C229&amp;"|"&amp;COUNTIF(Catálogo!$C$4:$C229,Catálogo!$C229))</f>
        <v/>
      </c>
    </row>
    <row r="230" customFormat="false" ht="15" hidden="false" customHeight="true" outlineLevel="0" collapsed="false">
      <c r="A230" s="1" t="str">
        <f aca="false">IF(Catálogo!$C230="","",Catálogo!$C230&amp;"|"&amp;COUNTIF(Catálogo!$C$4:$C230,Catálogo!$C230))</f>
        <v/>
      </c>
    </row>
    <row r="231" customFormat="false" ht="15" hidden="false" customHeight="true" outlineLevel="0" collapsed="false">
      <c r="A231" s="1" t="str">
        <f aca="false">IF(Catálogo!$C231="","",Catálogo!$C231&amp;"|"&amp;COUNTIF(Catálogo!$C$4:$C231,Catálogo!$C231))</f>
        <v/>
      </c>
    </row>
    <row r="232" customFormat="false" ht="15" hidden="false" customHeight="true" outlineLevel="0" collapsed="false">
      <c r="A232" s="1" t="str">
        <f aca="false">IF(Catálogo!$C232="","",Catálogo!$C232&amp;"|"&amp;COUNTIF(Catálogo!$C$4:$C232,Catálogo!$C232))</f>
        <v/>
      </c>
    </row>
    <row r="233" customFormat="false" ht="15" hidden="false" customHeight="true" outlineLevel="0" collapsed="false">
      <c r="A233" s="1" t="str">
        <f aca="false">IF(Catálogo!$C233="","",Catálogo!$C233&amp;"|"&amp;COUNTIF(Catálogo!$C$4:$C233,Catálogo!$C233))</f>
        <v/>
      </c>
    </row>
    <row r="234" customFormat="false" ht="15" hidden="false" customHeight="true" outlineLevel="0" collapsed="false">
      <c r="A234" s="1" t="str">
        <f aca="false">IF(Catálogo!$C234="","",Catálogo!$C234&amp;"|"&amp;COUNTIF(Catálogo!$C$4:$C234,Catálogo!$C234))</f>
        <v/>
      </c>
    </row>
    <row r="235" customFormat="false" ht="15" hidden="false" customHeight="true" outlineLevel="0" collapsed="false">
      <c r="A235" s="1" t="str">
        <f aca="false">IF(Catálogo!$C235="","",Catálogo!$C235&amp;"|"&amp;COUNTIF(Catálogo!$C$4:$C235,Catálogo!$C235))</f>
        <v/>
      </c>
    </row>
    <row r="236" customFormat="false" ht="15" hidden="false" customHeight="true" outlineLevel="0" collapsed="false">
      <c r="A236" s="1" t="str">
        <f aca="false">IF(Catálogo!$C236="","",Catálogo!$C236&amp;"|"&amp;COUNTIF(Catálogo!$C$4:$C236,Catálogo!$C236))</f>
        <v/>
      </c>
    </row>
    <row r="237" customFormat="false" ht="15" hidden="false" customHeight="true" outlineLevel="0" collapsed="false">
      <c r="A237" s="1" t="str">
        <f aca="false">IF(Catálogo!$C237="","",Catálogo!$C237&amp;"|"&amp;COUNTIF(Catálogo!$C$4:$C237,Catálogo!$C237))</f>
        <v/>
      </c>
    </row>
    <row r="238" customFormat="false" ht="15" hidden="false" customHeight="true" outlineLevel="0" collapsed="false">
      <c r="A238" s="1" t="str">
        <f aca="false">IF(Catálogo!$C238="","",Catálogo!$C238&amp;"|"&amp;COUNTIF(Catálogo!$C$4:$C238,Catálogo!$C238))</f>
        <v/>
      </c>
    </row>
    <row r="239" customFormat="false" ht="15" hidden="false" customHeight="true" outlineLevel="0" collapsed="false">
      <c r="A239" s="1" t="str">
        <f aca="false">IF(Catálogo!$C239="","",Catálogo!$C239&amp;"|"&amp;COUNTIF(Catálogo!$C$4:$C239,Catálogo!$C239))</f>
        <v/>
      </c>
    </row>
    <row r="240" customFormat="false" ht="15" hidden="false" customHeight="true" outlineLevel="0" collapsed="false">
      <c r="A240" s="1" t="str">
        <f aca="false">IF(Catálogo!$C240="","",Catálogo!$C240&amp;"|"&amp;COUNTIF(Catálogo!$C$4:$C240,Catálogo!$C240))</f>
        <v/>
      </c>
    </row>
    <row r="241" customFormat="false" ht="15" hidden="false" customHeight="true" outlineLevel="0" collapsed="false">
      <c r="A241" s="1" t="str">
        <f aca="false">IF(Catálogo!$C241="","",Catálogo!$C241&amp;"|"&amp;COUNTIF(Catálogo!$C$4:$C241,Catálogo!$C241))</f>
        <v/>
      </c>
    </row>
    <row r="242" customFormat="false" ht="15" hidden="false" customHeight="true" outlineLevel="0" collapsed="false">
      <c r="A242" s="1" t="str">
        <f aca="false">IF(Catálogo!$C242="","",Catálogo!$C242&amp;"|"&amp;COUNTIF(Catálogo!$C$4:$C242,Catálogo!$C242))</f>
        <v/>
      </c>
    </row>
    <row r="243" customFormat="false" ht="15" hidden="false" customHeight="true" outlineLevel="0" collapsed="false">
      <c r="A243" s="1" t="str">
        <f aca="false">IF(Catálogo!$C243="","",Catálogo!$C243&amp;"|"&amp;COUNTIF(Catálogo!$C$4:$C243,Catálogo!$C243))</f>
        <v/>
      </c>
    </row>
    <row r="244" customFormat="false" ht="15" hidden="false" customHeight="true" outlineLevel="0" collapsed="false">
      <c r="A244" s="1" t="str">
        <f aca="false">IF(Catálogo!$C244="","",Catálogo!$C244&amp;"|"&amp;COUNTIF(Catálogo!$C$4:$C244,Catálogo!$C244))</f>
        <v/>
      </c>
    </row>
    <row r="245" customFormat="false" ht="15" hidden="false" customHeight="true" outlineLevel="0" collapsed="false">
      <c r="A245" s="1" t="str">
        <f aca="false">IF(Catálogo!$C245="","",Catálogo!$C245&amp;"|"&amp;COUNTIF(Catálogo!$C$4:$C245,Catálogo!$C245))</f>
        <v/>
      </c>
    </row>
    <row r="246" customFormat="false" ht="15" hidden="false" customHeight="true" outlineLevel="0" collapsed="false">
      <c r="A246" s="1" t="str">
        <f aca="false">IF(Catálogo!$C246="","",Catálogo!$C246&amp;"|"&amp;COUNTIF(Catálogo!$C$4:$C246,Catálogo!$C246))</f>
        <v/>
      </c>
    </row>
    <row r="247" customFormat="false" ht="15" hidden="false" customHeight="true" outlineLevel="0" collapsed="false">
      <c r="A247" s="1" t="str">
        <f aca="false">IF(Catálogo!$C247="","",Catálogo!$C247&amp;"|"&amp;COUNTIF(Catálogo!$C$4:$C247,Catálogo!$C247))</f>
        <v/>
      </c>
    </row>
    <row r="248" customFormat="false" ht="15" hidden="false" customHeight="true" outlineLevel="0" collapsed="false">
      <c r="A248" s="1" t="str">
        <f aca="false">IF(Catálogo!$C248="","",Catálogo!$C248&amp;"|"&amp;COUNTIF(Catálogo!$C$4:$C248,Catálogo!$C248))</f>
        <v/>
      </c>
    </row>
    <row r="249" customFormat="false" ht="15" hidden="false" customHeight="true" outlineLevel="0" collapsed="false">
      <c r="A249" s="1" t="str">
        <f aca="false">IF(Catálogo!$C249="","",Catálogo!$C249&amp;"|"&amp;COUNTIF(Catálogo!$C$4:$C249,Catálogo!$C249))</f>
        <v/>
      </c>
    </row>
    <row r="250" customFormat="false" ht="15" hidden="false" customHeight="true" outlineLevel="0" collapsed="false">
      <c r="A250" s="1" t="str">
        <f aca="false">IF(Catálogo!$C250="","",Catálogo!$C250&amp;"|"&amp;COUNTIF(Catálogo!$C$4:$C250,Catálogo!$C250))</f>
        <v/>
      </c>
    </row>
    <row r="251" customFormat="false" ht="15" hidden="false" customHeight="true" outlineLevel="0" collapsed="false">
      <c r="A251" s="1" t="str">
        <f aca="false">IF(Catálogo!$C251="","",Catálogo!$C251&amp;"|"&amp;COUNTIF(Catálogo!$C$4:$C251,Catálogo!$C251))</f>
        <v/>
      </c>
    </row>
    <row r="252" customFormat="false" ht="15" hidden="false" customHeight="true" outlineLevel="0" collapsed="false">
      <c r="A252" s="1" t="str">
        <f aca="false">IF(Catálogo!$C252="","",Catálogo!$C252&amp;"|"&amp;COUNTIF(Catálogo!$C$4:$C252,Catálogo!$C252))</f>
        <v/>
      </c>
    </row>
    <row r="253" customFormat="false" ht="15" hidden="false" customHeight="true" outlineLevel="0" collapsed="false">
      <c r="A253" s="1" t="str">
        <f aca="false">IF(Catálogo!$C253="","",Catálogo!$C253&amp;"|"&amp;COUNTIF(Catálogo!$C$4:$C253,Catálogo!$C253))</f>
        <v/>
      </c>
    </row>
    <row r="254" customFormat="false" ht="15" hidden="false" customHeight="true" outlineLevel="0" collapsed="false">
      <c r="A254" s="1" t="str">
        <f aca="false">IF(Catálogo!$C254="","",Catálogo!$C254&amp;"|"&amp;COUNTIF(Catálogo!$C$4:$C254,Catálogo!$C254))</f>
        <v/>
      </c>
    </row>
    <row r="255" customFormat="false" ht="15" hidden="false" customHeight="true" outlineLevel="0" collapsed="false">
      <c r="A255" s="1" t="str">
        <f aca="false">IF(Catálogo!$C255="","",Catálogo!$C255&amp;"|"&amp;COUNTIF(Catálogo!$C$4:$C255,Catálogo!$C255))</f>
        <v/>
      </c>
    </row>
    <row r="256" customFormat="false" ht="15" hidden="false" customHeight="true" outlineLevel="0" collapsed="false">
      <c r="A256" s="1" t="str">
        <f aca="false">IF(Catálogo!$C256="","",Catálogo!$C256&amp;"|"&amp;COUNTIF(Catálogo!$C$4:$C256,Catálogo!$C256))</f>
        <v/>
      </c>
    </row>
    <row r="257" customFormat="false" ht="15" hidden="false" customHeight="true" outlineLevel="0" collapsed="false">
      <c r="A257" s="1" t="str">
        <f aca="false">IF(Catálogo!$C257="","",Catálogo!$C257&amp;"|"&amp;COUNTIF(Catálogo!$C$4:$C257,Catálogo!$C257))</f>
        <v/>
      </c>
    </row>
    <row r="258" customFormat="false" ht="15" hidden="false" customHeight="true" outlineLevel="0" collapsed="false">
      <c r="A258" s="1" t="str">
        <f aca="false">IF(Catálogo!$C258="","",Catálogo!$C258&amp;"|"&amp;COUNTIF(Catálogo!$C$4:$C258,Catálogo!$C258))</f>
        <v/>
      </c>
    </row>
    <row r="259" customFormat="false" ht="15" hidden="false" customHeight="true" outlineLevel="0" collapsed="false">
      <c r="A259" s="1" t="str">
        <f aca="false">IF(Catálogo!$C259="","",Catálogo!$C259&amp;"|"&amp;COUNTIF(Catálogo!$C$4:$C259,Catálogo!$C259))</f>
        <v/>
      </c>
    </row>
    <row r="260" customFormat="false" ht="15" hidden="false" customHeight="true" outlineLevel="0" collapsed="false">
      <c r="A260" s="1" t="str">
        <f aca="false">IF(Catálogo!$C260="","",Catálogo!$C260&amp;"|"&amp;COUNTIF(Catálogo!$C$4:$C260,Catálogo!$C260))</f>
        <v/>
      </c>
    </row>
    <row r="261" customFormat="false" ht="15" hidden="false" customHeight="true" outlineLevel="0" collapsed="false">
      <c r="A261" s="1" t="str">
        <f aca="false">IF(Catálogo!$C261="","",Catálogo!$C261&amp;"|"&amp;COUNTIF(Catálogo!$C$4:$C261,Catálogo!$C261))</f>
        <v/>
      </c>
    </row>
    <row r="262" customFormat="false" ht="15" hidden="false" customHeight="true" outlineLevel="0" collapsed="false">
      <c r="A262" s="1" t="str">
        <f aca="false">IF(Catálogo!$C262="","",Catálogo!$C262&amp;"|"&amp;COUNTIF(Catálogo!$C$4:$C262,Catálogo!$C262))</f>
        <v/>
      </c>
    </row>
    <row r="263" customFormat="false" ht="15" hidden="false" customHeight="true" outlineLevel="0" collapsed="false">
      <c r="A263" s="1" t="str">
        <f aca="false">IF(Catálogo!$C263="","",Catálogo!$C263&amp;"|"&amp;COUNTIF(Catálogo!$C$4:$C263,Catálogo!$C263))</f>
        <v/>
      </c>
    </row>
    <row r="264" customFormat="false" ht="15" hidden="false" customHeight="true" outlineLevel="0" collapsed="false">
      <c r="A264" s="1" t="str">
        <f aca="false">IF(Catálogo!$C264="","",Catálogo!$C264&amp;"|"&amp;COUNTIF(Catálogo!$C$4:$C264,Catálogo!$C264))</f>
        <v/>
      </c>
    </row>
    <row r="265" customFormat="false" ht="15" hidden="false" customHeight="true" outlineLevel="0" collapsed="false">
      <c r="A265" s="1" t="str">
        <f aca="false">IF(Catálogo!$C265="","",Catálogo!$C265&amp;"|"&amp;COUNTIF(Catálogo!$C$4:$C265,Catálogo!$C265))</f>
        <v/>
      </c>
    </row>
    <row r="266" customFormat="false" ht="15" hidden="false" customHeight="true" outlineLevel="0" collapsed="false">
      <c r="A266" s="1" t="str">
        <f aca="false">IF(Catálogo!$C266="","",Catálogo!$C266&amp;"|"&amp;COUNTIF(Catálogo!$C$4:$C266,Catálogo!$C266))</f>
        <v/>
      </c>
    </row>
    <row r="267" customFormat="false" ht="15" hidden="false" customHeight="true" outlineLevel="0" collapsed="false">
      <c r="A267" s="1" t="str">
        <f aca="false">IF(Catálogo!$C267="","",Catálogo!$C267&amp;"|"&amp;COUNTIF(Catálogo!$C$4:$C267,Catálogo!$C267))</f>
        <v/>
      </c>
    </row>
    <row r="268" customFormat="false" ht="15" hidden="false" customHeight="true" outlineLevel="0" collapsed="false">
      <c r="A268" s="1" t="str">
        <f aca="false">IF(Catálogo!$C268="","",Catálogo!$C268&amp;"|"&amp;COUNTIF(Catálogo!$C$4:$C268,Catálogo!$C268))</f>
        <v/>
      </c>
    </row>
    <row r="269" customFormat="false" ht="15" hidden="false" customHeight="true" outlineLevel="0" collapsed="false">
      <c r="A269" s="1" t="str">
        <f aca="false">IF(Catálogo!$C269="","",Catálogo!$C269&amp;"|"&amp;COUNTIF(Catálogo!$C$4:$C269,Catálogo!$C269))</f>
        <v/>
      </c>
    </row>
    <row r="270" customFormat="false" ht="15" hidden="false" customHeight="true" outlineLevel="0" collapsed="false">
      <c r="A270" s="1" t="str">
        <f aca="false">IF(Catálogo!$C270="","",Catálogo!$C270&amp;"|"&amp;COUNTIF(Catálogo!$C$4:$C270,Catálogo!$C270))</f>
        <v/>
      </c>
    </row>
    <row r="271" customFormat="false" ht="15" hidden="false" customHeight="true" outlineLevel="0" collapsed="false">
      <c r="A271" s="1" t="str">
        <f aca="false">IF(Catálogo!$C271="","",Catálogo!$C271&amp;"|"&amp;COUNTIF(Catálogo!$C$4:$C271,Catálogo!$C271))</f>
        <v/>
      </c>
    </row>
    <row r="272" customFormat="false" ht="15" hidden="false" customHeight="true" outlineLevel="0" collapsed="false">
      <c r="A272" s="1" t="str">
        <f aca="false">IF(Catálogo!$C272="","",Catálogo!$C272&amp;"|"&amp;COUNTIF(Catálogo!$C$4:$C272,Catálogo!$C272))</f>
        <v/>
      </c>
    </row>
    <row r="273" customFormat="false" ht="15" hidden="false" customHeight="true" outlineLevel="0" collapsed="false">
      <c r="A273" s="1" t="str">
        <f aca="false">IF(Catálogo!$C273="","",Catálogo!$C273&amp;"|"&amp;COUNTIF(Catálogo!$C$4:$C273,Catálogo!$C273))</f>
        <v/>
      </c>
    </row>
    <row r="274" customFormat="false" ht="15" hidden="false" customHeight="true" outlineLevel="0" collapsed="false">
      <c r="A274" s="1" t="str">
        <f aca="false">IF(Catálogo!$C274="","",Catálogo!$C274&amp;"|"&amp;COUNTIF(Catálogo!$C$4:$C274,Catálogo!$C274))</f>
        <v/>
      </c>
    </row>
    <row r="275" customFormat="false" ht="15" hidden="false" customHeight="true" outlineLevel="0" collapsed="false">
      <c r="A275" s="1" t="str">
        <f aca="false">IF(Catálogo!$C275="","",Catálogo!$C275&amp;"|"&amp;COUNTIF(Catálogo!$C$4:$C275,Catálogo!$C275))</f>
        <v/>
      </c>
    </row>
    <row r="276" customFormat="false" ht="15" hidden="false" customHeight="true" outlineLevel="0" collapsed="false">
      <c r="A276" s="1" t="str">
        <f aca="false">IF(Catálogo!$C276="","",Catálogo!$C276&amp;"|"&amp;COUNTIF(Catálogo!$C$4:$C276,Catálogo!$C276))</f>
        <v/>
      </c>
    </row>
    <row r="277" customFormat="false" ht="15" hidden="false" customHeight="true" outlineLevel="0" collapsed="false">
      <c r="A277" s="1" t="str">
        <f aca="false">IF(Catálogo!$C277="","",Catálogo!$C277&amp;"|"&amp;COUNTIF(Catálogo!$C$4:$C277,Catálogo!$C277))</f>
        <v/>
      </c>
    </row>
    <row r="278" customFormat="false" ht="15" hidden="false" customHeight="true" outlineLevel="0" collapsed="false">
      <c r="A278" s="1" t="str">
        <f aca="false">IF(Catálogo!$C278="","",Catálogo!$C278&amp;"|"&amp;COUNTIF(Catálogo!$C$4:$C278,Catálogo!$C278))</f>
        <v/>
      </c>
    </row>
    <row r="279" customFormat="false" ht="15" hidden="false" customHeight="true" outlineLevel="0" collapsed="false">
      <c r="A279" s="1" t="str">
        <f aca="false">IF(Catálogo!$C279="","",Catálogo!$C279&amp;"|"&amp;COUNTIF(Catálogo!$C$4:$C279,Catálogo!$C279))</f>
        <v/>
      </c>
    </row>
    <row r="280" customFormat="false" ht="15" hidden="false" customHeight="true" outlineLevel="0" collapsed="false">
      <c r="A280" s="1" t="str">
        <f aca="false">IF(Catálogo!$C280="","",Catálogo!$C280&amp;"|"&amp;COUNTIF(Catálogo!$C$4:$C280,Catálogo!$C280))</f>
        <v/>
      </c>
    </row>
    <row r="281" customFormat="false" ht="15" hidden="false" customHeight="true" outlineLevel="0" collapsed="false">
      <c r="A281" s="1" t="str">
        <f aca="false">IF(Catálogo!$C281="","",Catálogo!$C281&amp;"|"&amp;COUNTIF(Catálogo!$C$4:$C281,Catálogo!$C281))</f>
        <v/>
      </c>
    </row>
    <row r="282" customFormat="false" ht="15" hidden="false" customHeight="true" outlineLevel="0" collapsed="false">
      <c r="A282" s="1" t="str">
        <f aca="false">IF(Catálogo!$C282="","",Catálogo!$C282&amp;"|"&amp;COUNTIF(Catálogo!$C$4:$C282,Catálogo!$C282))</f>
        <v/>
      </c>
    </row>
    <row r="283" customFormat="false" ht="15" hidden="false" customHeight="true" outlineLevel="0" collapsed="false">
      <c r="A283" s="1" t="str">
        <f aca="false">IF(Catálogo!$C283="","",Catálogo!$C283&amp;"|"&amp;COUNTIF(Catálogo!$C$4:$C283,Catálogo!$C283))</f>
        <v/>
      </c>
    </row>
    <row r="284" customFormat="false" ht="15" hidden="false" customHeight="true" outlineLevel="0" collapsed="false">
      <c r="A284" s="1" t="str">
        <f aca="false">IF(Catálogo!$C284="","",Catálogo!$C284&amp;"|"&amp;COUNTIF(Catálogo!$C$4:$C284,Catálogo!$C284))</f>
        <v/>
      </c>
    </row>
    <row r="285" customFormat="false" ht="15" hidden="false" customHeight="true" outlineLevel="0" collapsed="false">
      <c r="A285" s="1" t="str">
        <f aca="false">IF(Catálogo!$C285="","",Catálogo!$C285&amp;"|"&amp;COUNTIF(Catálogo!$C$4:$C285,Catálogo!$C285))</f>
        <v/>
      </c>
    </row>
    <row r="286" customFormat="false" ht="15" hidden="false" customHeight="true" outlineLevel="0" collapsed="false">
      <c r="A286" s="1" t="str">
        <f aca="false">IF(Catálogo!$C286="","",Catálogo!$C286&amp;"|"&amp;COUNTIF(Catálogo!$C$4:$C286,Catálogo!$C286))</f>
        <v/>
      </c>
    </row>
    <row r="287" customFormat="false" ht="15" hidden="false" customHeight="true" outlineLevel="0" collapsed="false">
      <c r="A287" s="1" t="str">
        <f aca="false">IF(Catálogo!$C287="","",Catálogo!$C287&amp;"|"&amp;COUNTIF(Catálogo!$C$4:$C287,Catálogo!$C287))</f>
        <v/>
      </c>
    </row>
    <row r="288" customFormat="false" ht="15" hidden="false" customHeight="true" outlineLevel="0" collapsed="false">
      <c r="A288" s="1" t="str">
        <f aca="false">IF(Catálogo!$C288="","",Catálogo!$C288&amp;"|"&amp;COUNTIF(Catálogo!$C$4:$C288,Catálogo!$C288))</f>
        <v/>
      </c>
    </row>
    <row r="289" customFormat="false" ht="15" hidden="false" customHeight="true" outlineLevel="0" collapsed="false">
      <c r="A289" s="1" t="str">
        <f aca="false">IF(Catálogo!$C289="","",Catálogo!$C289&amp;"|"&amp;COUNTIF(Catálogo!$C$4:$C289,Catálogo!$C289))</f>
        <v/>
      </c>
    </row>
    <row r="290" customFormat="false" ht="15" hidden="false" customHeight="true" outlineLevel="0" collapsed="false">
      <c r="A290" s="1" t="str">
        <f aca="false">IF(Catálogo!$C290="","",Catálogo!$C290&amp;"|"&amp;COUNTIF(Catálogo!$C$4:$C290,Catálogo!$C290))</f>
        <v/>
      </c>
    </row>
    <row r="291" customFormat="false" ht="15" hidden="false" customHeight="true" outlineLevel="0" collapsed="false">
      <c r="A291" s="1" t="str">
        <f aca="false">IF(Catálogo!$C291="","",Catálogo!$C291&amp;"|"&amp;COUNTIF(Catálogo!$C$4:$C291,Catálogo!$C291))</f>
        <v/>
      </c>
    </row>
    <row r="292" customFormat="false" ht="15" hidden="false" customHeight="true" outlineLevel="0" collapsed="false">
      <c r="A292" s="1" t="str">
        <f aca="false">IF(Catálogo!$C292="","",Catálogo!$C292&amp;"|"&amp;COUNTIF(Catálogo!$C$4:$C292,Catálogo!$C292))</f>
        <v/>
      </c>
    </row>
    <row r="293" customFormat="false" ht="15" hidden="false" customHeight="true" outlineLevel="0" collapsed="false">
      <c r="A293" s="1" t="str">
        <f aca="false">IF(Catálogo!$C293="","",Catálogo!$C293&amp;"|"&amp;COUNTIF(Catálogo!$C$4:$C293,Catálogo!$C293))</f>
        <v/>
      </c>
    </row>
    <row r="294" customFormat="false" ht="15" hidden="false" customHeight="true" outlineLevel="0" collapsed="false">
      <c r="A294" s="1" t="str">
        <f aca="false">IF(Catálogo!$C294="","",Catálogo!$C294&amp;"|"&amp;COUNTIF(Catálogo!$C$4:$C294,Catálogo!$C294))</f>
        <v/>
      </c>
    </row>
    <row r="295" customFormat="false" ht="15" hidden="false" customHeight="true" outlineLevel="0" collapsed="false">
      <c r="A295" s="1" t="str">
        <f aca="false">IF(Catálogo!$C295="","",Catálogo!$C295&amp;"|"&amp;COUNTIF(Catálogo!$C$4:$C295,Catálogo!$C295))</f>
        <v/>
      </c>
    </row>
    <row r="296" customFormat="false" ht="15" hidden="false" customHeight="true" outlineLevel="0" collapsed="false">
      <c r="A296" s="1" t="str">
        <f aca="false">IF(Catálogo!$C296="","",Catálogo!$C296&amp;"|"&amp;COUNTIF(Catálogo!$C$4:$C296,Catálogo!$C296))</f>
        <v/>
      </c>
    </row>
    <row r="297" customFormat="false" ht="15" hidden="false" customHeight="true" outlineLevel="0" collapsed="false">
      <c r="A297" s="1" t="str">
        <f aca="false">IF(Catálogo!$C297="","",Catálogo!$C297&amp;"|"&amp;COUNTIF(Catálogo!$C$4:$C297,Catálogo!$C297))</f>
        <v/>
      </c>
    </row>
    <row r="298" customFormat="false" ht="15" hidden="false" customHeight="true" outlineLevel="0" collapsed="false">
      <c r="A298" s="1" t="str">
        <f aca="false">IF(Catálogo!$C298="","",Catálogo!$C298&amp;"|"&amp;COUNTIF(Catálogo!$C$4:$C298,Catálogo!$C298))</f>
        <v/>
      </c>
    </row>
    <row r="299" customFormat="false" ht="15" hidden="false" customHeight="true" outlineLevel="0" collapsed="false">
      <c r="A299" s="1" t="str">
        <f aca="false">IF(Catálogo!$C299="","",Catálogo!$C299&amp;"|"&amp;COUNTIF(Catálogo!$C$4:$C299,Catálogo!$C299))</f>
        <v/>
      </c>
    </row>
    <row r="300" customFormat="false" ht="15" hidden="false" customHeight="true" outlineLevel="0" collapsed="false">
      <c r="A300" s="1" t="str">
        <f aca="false">IF(Catálogo!$C300="","",Catálogo!$C300&amp;"|"&amp;COUNTIF(Catálogo!$C$4:$C300,Catálogo!$C300))</f>
        <v/>
      </c>
    </row>
    <row r="301" customFormat="false" ht="15" hidden="false" customHeight="true" outlineLevel="0" collapsed="false">
      <c r="A301" s="1" t="str">
        <f aca="false">IF(Catálogo!$C301="","",Catálogo!$C301&amp;"|"&amp;COUNTIF(Catálogo!$C$4:$C301,Catálogo!$C301))</f>
        <v/>
      </c>
    </row>
    <row r="302" customFormat="false" ht="15" hidden="false" customHeight="true" outlineLevel="0" collapsed="false">
      <c r="A302" s="1" t="str">
        <f aca="false">IF(Catálogo!$C302="","",Catálogo!$C302&amp;"|"&amp;COUNTIF(Catálogo!$C$4:$C302,Catálogo!$C302))</f>
        <v/>
      </c>
    </row>
    <row r="303" customFormat="false" ht="15" hidden="false" customHeight="true" outlineLevel="0" collapsed="false">
      <c r="A303" s="1" t="str">
        <f aca="false">IF(Catálogo!$C303="","",Catálogo!$C303&amp;"|"&amp;COUNTIF(Catálogo!$C$4:$C303,Catálogo!$C303))</f>
        <v/>
      </c>
    </row>
    <row r="304" customFormat="false" ht="15" hidden="false" customHeight="true" outlineLevel="0" collapsed="false">
      <c r="A304" s="1" t="str">
        <f aca="false">IF(Catálogo!$C304="","",Catálogo!$C304&amp;"|"&amp;COUNTIF(Catálogo!$C$4:$C304,Catálogo!$C304))</f>
        <v/>
      </c>
    </row>
    <row r="305" customFormat="false" ht="15" hidden="false" customHeight="true" outlineLevel="0" collapsed="false">
      <c r="A305" s="1" t="str">
        <f aca="false">IF(Catálogo!$C305="","",Catálogo!$C305&amp;"|"&amp;COUNTIF(Catálogo!$C$4:$C305,Catálogo!$C305))</f>
        <v/>
      </c>
    </row>
    <row r="306" customFormat="false" ht="15" hidden="false" customHeight="true" outlineLevel="0" collapsed="false">
      <c r="A306" s="1" t="str">
        <f aca="false">IF(Catálogo!$C306="","",Catálogo!$C306&amp;"|"&amp;COUNTIF(Catálogo!$C$4:$C306,Catálogo!$C306))</f>
        <v/>
      </c>
    </row>
    <row r="307" customFormat="false" ht="15" hidden="false" customHeight="true" outlineLevel="0" collapsed="false">
      <c r="A307" s="1" t="str">
        <f aca="false">IF(Catálogo!$C307="","",Catálogo!$C307&amp;"|"&amp;COUNTIF(Catálogo!$C$4:$C307,Catálogo!$C307))</f>
        <v/>
      </c>
    </row>
    <row r="308" customFormat="false" ht="15" hidden="false" customHeight="true" outlineLevel="0" collapsed="false">
      <c r="A308" s="1" t="str">
        <f aca="false">IF(Catálogo!$C308="","",Catálogo!$C308&amp;"|"&amp;COUNTIF(Catálogo!$C$4:$C308,Catálogo!$C308))</f>
        <v/>
      </c>
    </row>
    <row r="309" customFormat="false" ht="15" hidden="false" customHeight="true" outlineLevel="0" collapsed="false">
      <c r="A309" s="1" t="str">
        <f aca="false">IF(Catálogo!$C309="","",Catálogo!$C309&amp;"|"&amp;COUNTIF(Catálogo!$C$4:$C309,Catálogo!$C309))</f>
        <v/>
      </c>
    </row>
    <row r="310" customFormat="false" ht="15" hidden="false" customHeight="true" outlineLevel="0" collapsed="false">
      <c r="A310" s="1" t="str">
        <f aca="false">IF(Catálogo!$C310="","",Catálogo!$C310&amp;"|"&amp;COUNTIF(Catálogo!$C$4:$C310,Catálogo!$C310))</f>
        <v/>
      </c>
    </row>
    <row r="311" customFormat="false" ht="15" hidden="false" customHeight="true" outlineLevel="0" collapsed="false">
      <c r="A311" s="1" t="str">
        <f aca="false">IF(Catálogo!$C311="","",Catálogo!$C311&amp;"|"&amp;COUNTIF(Catálogo!$C$4:$C311,Catálogo!$C311))</f>
        <v/>
      </c>
    </row>
    <row r="312" customFormat="false" ht="15" hidden="false" customHeight="true" outlineLevel="0" collapsed="false">
      <c r="A312" s="1" t="str">
        <f aca="false">IF(Catálogo!$C312="","",Catálogo!$C312&amp;"|"&amp;COUNTIF(Catálogo!$C$4:$C312,Catálogo!$C312))</f>
        <v/>
      </c>
    </row>
    <row r="313" customFormat="false" ht="15" hidden="false" customHeight="true" outlineLevel="0" collapsed="false">
      <c r="A313" s="1" t="str">
        <f aca="false">IF(Catálogo!$C313="","",Catálogo!$C313&amp;"|"&amp;COUNTIF(Catálogo!$C$4:$C313,Catálogo!$C313))</f>
        <v/>
      </c>
    </row>
    <row r="314" customFormat="false" ht="15" hidden="false" customHeight="true" outlineLevel="0" collapsed="false">
      <c r="A314" s="1" t="str">
        <f aca="false">IF(Catálogo!$C314="","",Catálogo!$C314&amp;"|"&amp;COUNTIF(Catálogo!$C$4:$C314,Catálogo!$C314))</f>
        <v/>
      </c>
    </row>
    <row r="315" customFormat="false" ht="15" hidden="false" customHeight="true" outlineLevel="0" collapsed="false">
      <c r="A315" s="1" t="str">
        <f aca="false">IF(Catálogo!$C315="","",Catálogo!$C315&amp;"|"&amp;COUNTIF(Catálogo!$C$4:$C315,Catálogo!$C315))</f>
        <v/>
      </c>
    </row>
    <row r="316" customFormat="false" ht="15" hidden="false" customHeight="true" outlineLevel="0" collapsed="false">
      <c r="A316" s="1" t="str">
        <f aca="false">IF(Catálogo!$C316="","",Catálogo!$C316&amp;"|"&amp;COUNTIF(Catálogo!$C$4:$C316,Catálogo!$C316))</f>
        <v/>
      </c>
    </row>
    <row r="317" customFormat="false" ht="15" hidden="false" customHeight="true" outlineLevel="0" collapsed="false">
      <c r="A317" s="1" t="str">
        <f aca="false">IF(Catálogo!$C317="","",Catálogo!$C317&amp;"|"&amp;COUNTIF(Catálogo!$C$4:$C317,Catálogo!$C317))</f>
        <v/>
      </c>
    </row>
    <row r="318" customFormat="false" ht="15" hidden="false" customHeight="true" outlineLevel="0" collapsed="false">
      <c r="A318" s="1" t="str">
        <f aca="false">IF(Catálogo!$C318="","",Catálogo!$C318&amp;"|"&amp;COUNTIF(Catálogo!$C$4:$C318,Catálogo!$C318))</f>
        <v/>
      </c>
    </row>
    <row r="319" customFormat="false" ht="15" hidden="false" customHeight="true" outlineLevel="0" collapsed="false">
      <c r="A319" s="1" t="str">
        <f aca="false">IF(Catálogo!$C319="","",Catálogo!$C319&amp;"|"&amp;COUNTIF(Catálogo!$C$4:$C319,Catálogo!$C319))</f>
        <v/>
      </c>
    </row>
    <row r="320" customFormat="false" ht="15" hidden="false" customHeight="true" outlineLevel="0" collapsed="false">
      <c r="A320" s="1" t="str">
        <f aca="false">IF(Catálogo!$C320="","",Catálogo!$C320&amp;"|"&amp;COUNTIF(Catálogo!$C$4:$C320,Catálogo!$C320))</f>
        <v/>
      </c>
    </row>
    <row r="321" customFormat="false" ht="15" hidden="false" customHeight="true" outlineLevel="0" collapsed="false">
      <c r="A321" s="1" t="str">
        <f aca="false">IF(Catálogo!$C321="","",Catálogo!$C321&amp;"|"&amp;COUNTIF(Catálogo!$C$4:$C321,Catálogo!$C321))</f>
        <v/>
      </c>
    </row>
    <row r="322" customFormat="false" ht="15" hidden="false" customHeight="true" outlineLevel="0" collapsed="false">
      <c r="A322" s="1" t="str">
        <f aca="false">IF(Catálogo!$C322="","",Catálogo!$C322&amp;"|"&amp;COUNTIF(Catálogo!$C$4:$C322,Catálogo!$C322))</f>
        <v/>
      </c>
    </row>
    <row r="323" customFormat="false" ht="15" hidden="false" customHeight="true" outlineLevel="0" collapsed="false">
      <c r="A323" s="1" t="str">
        <f aca="false">IF(Catálogo!$C323="","",Catálogo!$C323&amp;"|"&amp;COUNTIF(Catálogo!$C$4:$C323,Catálogo!$C323))</f>
        <v/>
      </c>
    </row>
    <row r="324" customFormat="false" ht="15" hidden="false" customHeight="true" outlineLevel="0" collapsed="false">
      <c r="A324" s="1" t="str">
        <f aca="false">IF(Catálogo!$C324="","",Catálogo!$C324&amp;"|"&amp;COUNTIF(Catálogo!$C$4:$C324,Catálogo!$C324))</f>
        <v/>
      </c>
    </row>
    <row r="325" customFormat="false" ht="15" hidden="false" customHeight="true" outlineLevel="0" collapsed="false">
      <c r="A325" s="1" t="str">
        <f aca="false">IF(Catálogo!$C325="","",Catálogo!$C325&amp;"|"&amp;COUNTIF(Catálogo!$C$4:$C325,Catálogo!$C325))</f>
        <v/>
      </c>
    </row>
    <row r="326" customFormat="false" ht="15" hidden="false" customHeight="true" outlineLevel="0" collapsed="false">
      <c r="A326" s="1" t="str">
        <f aca="false">IF(Catálogo!$C326="","",Catálogo!$C326&amp;"|"&amp;COUNTIF(Catálogo!$C$4:$C326,Catálogo!$C326))</f>
        <v/>
      </c>
    </row>
    <row r="327" customFormat="false" ht="15" hidden="false" customHeight="true" outlineLevel="0" collapsed="false">
      <c r="A327" s="1" t="str">
        <f aca="false">IF(Catálogo!$C327="","",Catálogo!$C327&amp;"|"&amp;COUNTIF(Catálogo!$C$4:$C327,Catálogo!$C327))</f>
        <v/>
      </c>
    </row>
    <row r="328" customFormat="false" ht="15" hidden="false" customHeight="true" outlineLevel="0" collapsed="false">
      <c r="A328" s="1" t="str">
        <f aca="false">IF(Catálogo!$C328="","",Catálogo!$C328&amp;"|"&amp;COUNTIF(Catálogo!$C$4:$C328,Catálogo!$C328))</f>
        <v/>
      </c>
    </row>
    <row r="329" customFormat="false" ht="15" hidden="false" customHeight="true" outlineLevel="0" collapsed="false">
      <c r="A329" s="1" t="str">
        <f aca="false">IF(Catálogo!$C329="","",Catálogo!$C329&amp;"|"&amp;COUNTIF(Catálogo!$C$4:$C329,Catálogo!$C329))</f>
        <v/>
      </c>
    </row>
    <row r="330" customFormat="false" ht="15" hidden="false" customHeight="true" outlineLevel="0" collapsed="false">
      <c r="A330" s="1" t="str">
        <f aca="false">IF(Catálogo!$C330="","",Catálogo!$C330&amp;"|"&amp;COUNTIF(Catálogo!$C$4:$C330,Catálogo!$C330))</f>
        <v/>
      </c>
    </row>
    <row r="331" customFormat="false" ht="15" hidden="false" customHeight="true" outlineLevel="0" collapsed="false">
      <c r="A331" s="1" t="str">
        <f aca="false">IF(Catálogo!$C331="","",Catálogo!$C331&amp;"|"&amp;COUNTIF(Catálogo!$C$4:$C331,Catálogo!$C331))</f>
        <v/>
      </c>
    </row>
    <row r="332" customFormat="false" ht="15" hidden="false" customHeight="true" outlineLevel="0" collapsed="false">
      <c r="A332" s="1" t="str">
        <f aca="false">IF(Catálogo!$C332="","",Catálogo!$C332&amp;"|"&amp;COUNTIF(Catálogo!$C$4:$C332,Catálogo!$C332))</f>
        <v/>
      </c>
    </row>
    <row r="333" customFormat="false" ht="15" hidden="false" customHeight="true" outlineLevel="0" collapsed="false">
      <c r="A333" s="1" t="str">
        <f aca="false">IF(Catálogo!$C333="","",Catálogo!$C333&amp;"|"&amp;COUNTIF(Catálogo!$C$4:$C333,Catálogo!$C333))</f>
        <v/>
      </c>
    </row>
    <row r="334" customFormat="false" ht="15" hidden="false" customHeight="true" outlineLevel="0" collapsed="false">
      <c r="A334" s="1" t="str">
        <f aca="false">IF(Catálogo!$C334="","",Catálogo!$C334&amp;"|"&amp;COUNTIF(Catálogo!$C$4:$C334,Catálogo!$C334))</f>
        <v/>
      </c>
    </row>
    <row r="335" customFormat="false" ht="15" hidden="false" customHeight="true" outlineLevel="0" collapsed="false">
      <c r="A335" s="1" t="str">
        <f aca="false">IF(Catálogo!$C335="","",Catálogo!$C335&amp;"|"&amp;COUNTIF(Catálogo!$C$4:$C335,Catálogo!$C335))</f>
        <v/>
      </c>
    </row>
    <row r="336" customFormat="false" ht="15" hidden="false" customHeight="true" outlineLevel="0" collapsed="false">
      <c r="A336" s="1" t="str">
        <f aca="false">IF(Catálogo!$C336="","",Catálogo!$C336&amp;"|"&amp;COUNTIF(Catálogo!$C$4:$C336,Catálogo!$C336))</f>
        <v/>
      </c>
    </row>
    <row r="337" customFormat="false" ht="15" hidden="false" customHeight="true" outlineLevel="0" collapsed="false">
      <c r="A337" s="1" t="str">
        <f aca="false">IF(Catálogo!$C337="","",Catálogo!$C337&amp;"|"&amp;COUNTIF(Catálogo!$C$4:$C337,Catálogo!$C337))</f>
        <v/>
      </c>
    </row>
    <row r="338" customFormat="false" ht="15" hidden="false" customHeight="true" outlineLevel="0" collapsed="false">
      <c r="A338" s="1" t="str">
        <f aca="false">IF(Catálogo!$C338="","",Catálogo!$C338&amp;"|"&amp;COUNTIF(Catálogo!$C$4:$C338,Catálogo!$C338))</f>
        <v/>
      </c>
    </row>
    <row r="339" customFormat="false" ht="15" hidden="false" customHeight="true" outlineLevel="0" collapsed="false">
      <c r="A339" s="1" t="str">
        <f aca="false">IF(Catálogo!$C339="","",Catálogo!$C339&amp;"|"&amp;COUNTIF(Catálogo!$C$4:$C339,Catálogo!$C339))</f>
        <v/>
      </c>
    </row>
    <row r="340" customFormat="false" ht="15" hidden="false" customHeight="true" outlineLevel="0" collapsed="false">
      <c r="A340" s="1" t="str">
        <f aca="false">IF(Catálogo!$C340="","",Catálogo!$C340&amp;"|"&amp;COUNTIF(Catálogo!$C$4:$C340,Catálogo!$C340))</f>
        <v/>
      </c>
    </row>
    <row r="341" customFormat="false" ht="15" hidden="false" customHeight="true" outlineLevel="0" collapsed="false">
      <c r="A341" s="1" t="str">
        <f aca="false">IF(Catálogo!$C341="","",Catálogo!$C341&amp;"|"&amp;COUNTIF(Catálogo!$C$4:$C341,Catálogo!$C341))</f>
        <v/>
      </c>
    </row>
    <row r="342" customFormat="false" ht="15" hidden="false" customHeight="true" outlineLevel="0" collapsed="false">
      <c r="A342" s="1" t="str">
        <f aca="false">IF(Catálogo!$C342="","",Catálogo!$C342&amp;"|"&amp;COUNTIF(Catálogo!$C$4:$C342,Catálogo!$C342))</f>
        <v/>
      </c>
    </row>
    <row r="343" customFormat="false" ht="15" hidden="false" customHeight="true" outlineLevel="0" collapsed="false">
      <c r="A343" s="1" t="str">
        <f aca="false">IF(Catálogo!$C343="","",Catálogo!$C343&amp;"|"&amp;COUNTIF(Catálogo!$C$4:$C343,Catálogo!$C343))</f>
        <v/>
      </c>
    </row>
    <row r="344" customFormat="false" ht="15" hidden="false" customHeight="true" outlineLevel="0" collapsed="false">
      <c r="A344" s="1" t="str">
        <f aca="false">IF(Catálogo!$C344="","",Catálogo!$C344&amp;"|"&amp;COUNTIF(Catálogo!$C$4:$C344,Catálogo!$C344))</f>
        <v/>
      </c>
    </row>
    <row r="345" customFormat="false" ht="15" hidden="false" customHeight="true" outlineLevel="0" collapsed="false">
      <c r="A345" s="1" t="str">
        <f aca="false">IF(Catálogo!$C345="","",Catálogo!$C345&amp;"|"&amp;COUNTIF(Catálogo!$C$4:$C345,Catálogo!$C345))</f>
        <v/>
      </c>
    </row>
    <row r="346" customFormat="false" ht="15" hidden="false" customHeight="true" outlineLevel="0" collapsed="false">
      <c r="A346" s="1" t="str">
        <f aca="false">IF(Catálogo!$C346="","",Catálogo!$C346&amp;"|"&amp;COUNTIF(Catálogo!$C$4:$C346,Catálogo!$C346))</f>
        <v/>
      </c>
    </row>
    <row r="347" customFormat="false" ht="15" hidden="false" customHeight="true" outlineLevel="0" collapsed="false">
      <c r="A347" s="1" t="str">
        <f aca="false">IF(Catálogo!$C347="","",Catálogo!$C347&amp;"|"&amp;COUNTIF(Catálogo!$C$4:$C347,Catálogo!$C347))</f>
        <v/>
      </c>
    </row>
    <row r="348" customFormat="false" ht="15" hidden="false" customHeight="true" outlineLevel="0" collapsed="false">
      <c r="A348" s="1" t="str">
        <f aca="false">IF(Catálogo!$C348="","",Catálogo!$C348&amp;"|"&amp;COUNTIF(Catálogo!$C$4:$C348,Catálogo!$C348))</f>
        <v/>
      </c>
    </row>
    <row r="349" customFormat="false" ht="15" hidden="false" customHeight="true" outlineLevel="0" collapsed="false">
      <c r="A349" s="1" t="str">
        <f aca="false">IF(Catálogo!$C349="","",Catálogo!$C349&amp;"|"&amp;COUNTIF(Catálogo!$C$4:$C349,Catálogo!$C349))</f>
        <v/>
      </c>
    </row>
    <row r="350" customFormat="false" ht="15" hidden="false" customHeight="true" outlineLevel="0" collapsed="false">
      <c r="A350" s="1" t="str">
        <f aca="false">IF(Catálogo!$C350="","",Catálogo!$C350&amp;"|"&amp;COUNTIF(Catálogo!$C$4:$C350,Catálogo!$C350))</f>
        <v/>
      </c>
    </row>
    <row r="351" customFormat="false" ht="15" hidden="false" customHeight="true" outlineLevel="0" collapsed="false">
      <c r="A351" s="1" t="str">
        <f aca="false">IF(Catálogo!$C351="","",Catálogo!$C351&amp;"|"&amp;COUNTIF(Catálogo!$C$4:$C351,Catálogo!$C351))</f>
        <v/>
      </c>
    </row>
    <row r="352" customFormat="false" ht="15" hidden="false" customHeight="true" outlineLevel="0" collapsed="false">
      <c r="A352" s="1" t="str">
        <f aca="false">IF(Catálogo!$C352="","",Catálogo!$C352&amp;"|"&amp;COUNTIF(Catálogo!$C$4:$C352,Catálogo!$C352))</f>
        <v/>
      </c>
    </row>
    <row r="353" customFormat="false" ht="15" hidden="false" customHeight="true" outlineLevel="0" collapsed="false">
      <c r="A353" s="1" t="str">
        <f aca="false">IF(Catálogo!$C353="","",Catálogo!$C353&amp;"|"&amp;COUNTIF(Catálogo!$C$4:$C353,Catálogo!$C353))</f>
        <v/>
      </c>
    </row>
    <row r="354" customFormat="false" ht="15" hidden="false" customHeight="true" outlineLevel="0" collapsed="false">
      <c r="A354" s="1" t="str">
        <f aca="false">IF(Catálogo!$C354="","",Catálogo!$C354&amp;"|"&amp;COUNTIF(Catálogo!$C$4:$C354,Catálogo!$C354))</f>
        <v/>
      </c>
    </row>
    <row r="355" customFormat="false" ht="15" hidden="false" customHeight="true" outlineLevel="0" collapsed="false">
      <c r="A355" s="1" t="str">
        <f aca="false">IF(Catálogo!$C355="","",Catálogo!$C355&amp;"|"&amp;COUNTIF(Catálogo!$C$4:$C355,Catálogo!$C355))</f>
        <v/>
      </c>
    </row>
    <row r="356" customFormat="false" ht="15" hidden="false" customHeight="true" outlineLevel="0" collapsed="false">
      <c r="A356" s="1" t="str">
        <f aca="false">IF(Catálogo!$C356="","",Catálogo!$C356&amp;"|"&amp;COUNTIF(Catálogo!$C$4:$C356,Catálogo!$C356))</f>
        <v/>
      </c>
    </row>
    <row r="357" customFormat="false" ht="15" hidden="false" customHeight="true" outlineLevel="0" collapsed="false">
      <c r="A357" s="1" t="str">
        <f aca="false">IF(Catálogo!$C357="","",Catálogo!$C357&amp;"|"&amp;COUNTIF(Catálogo!$C$4:$C357,Catálogo!$C357))</f>
        <v/>
      </c>
    </row>
    <row r="358" customFormat="false" ht="15" hidden="false" customHeight="true" outlineLevel="0" collapsed="false">
      <c r="A358" s="1" t="str">
        <f aca="false">IF(Catálogo!$C358="","",Catálogo!$C358&amp;"|"&amp;COUNTIF(Catálogo!$C$4:$C358,Catálogo!$C358))</f>
        <v/>
      </c>
    </row>
    <row r="359" customFormat="false" ht="15" hidden="false" customHeight="true" outlineLevel="0" collapsed="false">
      <c r="A359" s="1" t="str">
        <f aca="false">IF(Catálogo!$C359="","",Catálogo!$C359&amp;"|"&amp;COUNTIF(Catálogo!$C$4:$C359,Catálogo!$C359))</f>
        <v/>
      </c>
    </row>
    <row r="360" customFormat="false" ht="15" hidden="false" customHeight="true" outlineLevel="0" collapsed="false">
      <c r="A360" s="1" t="str">
        <f aca="false">IF(Catálogo!$C360="","",Catálogo!$C360&amp;"|"&amp;COUNTIF(Catálogo!$C$4:$C360,Catálogo!$C360))</f>
        <v/>
      </c>
    </row>
    <row r="361" customFormat="false" ht="15" hidden="false" customHeight="true" outlineLevel="0" collapsed="false">
      <c r="A361" s="1" t="str">
        <f aca="false">IF(Catálogo!$C361="","",Catálogo!$C361&amp;"|"&amp;COUNTIF(Catálogo!$C$4:$C361,Catálogo!$C361))</f>
        <v/>
      </c>
    </row>
    <row r="362" customFormat="false" ht="15" hidden="false" customHeight="true" outlineLevel="0" collapsed="false">
      <c r="A362" s="1" t="str">
        <f aca="false">IF(Catálogo!$C362="","",Catálogo!$C362&amp;"|"&amp;COUNTIF(Catálogo!$C$4:$C362,Catálogo!$C362))</f>
        <v/>
      </c>
    </row>
    <row r="363" customFormat="false" ht="15" hidden="false" customHeight="true" outlineLevel="0" collapsed="false">
      <c r="A363" s="1" t="str">
        <f aca="false">IF(Catálogo!$C363="","",Catálogo!$C363&amp;"|"&amp;COUNTIF(Catálogo!$C$4:$C363,Catálogo!$C363))</f>
        <v/>
      </c>
    </row>
    <row r="364" customFormat="false" ht="15" hidden="false" customHeight="true" outlineLevel="0" collapsed="false">
      <c r="A364" s="1" t="str">
        <f aca="false">IF(Catálogo!$C364="","",Catálogo!$C364&amp;"|"&amp;COUNTIF(Catálogo!$C$4:$C364,Catálogo!$C364))</f>
        <v/>
      </c>
    </row>
    <row r="365" customFormat="false" ht="15" hidden="false" customHeight="true" outlineLevel="0" collapsed="false">
      <c r="A365" s="1" t="str">
        <f aca="false">IF(Catálogo!$C365="","",Catálogo!$C365&amp;"|"&amp;COUNTIF(Catálogo!$C$4:$C365,Catálogo!$C365))</f>
        <v/>
      </c>
    </row>
    <row r="366" customFormat="false" ht="15" hidden="false" customHeight="true" outlineLevel="0" collapsed="false">
      <c r="A366" s="1" t="str">
        <f aca="false">IF(Catálogo!$C366="","",Catálogo!$C366&amp;"|"&amp;COUNTIF(Catálogo!$C$4:$C366,Catálogo!$C366))</f>
        <v/>
      </c>
    </row>
    <row r="367" customFormat="false" ht="15" hidden="false" customHeight="true" outlineLevel="0" collapsed="false">
      <c r="A367" s="1" t="str">
        <f aca="false">IF(Catálogo!$C367="","",Catálogo!$C367&amp;"|"&amp;COUNTIF(Catálogo!$C$4:$C367,Catálogo!$C367))</f>
        <v/>
      </c>
    </row>
    <row r="368" customFormat="false" ht="15" hidden="false" customHeight="true" outlineLevel="0" collapsed="false">
      <c r="A368" s="1" t="str">
        <f aca="false">IF(Catálogo!$C368="","",Catálogo!$C368&amp;"|"&amp;COUNTIF(Catálogo!$C$4:$C368,Catálogo!$C368))</f>
        <v/>
      </c>
    </row>
    <row r="369" customFormat="false" ht="15" hidden="false" customHeight="true" outlineLevel="0" collapsed="false">
      <c r="A369" s="1" t="str">
        <f aca="false">IF(Catálogo!$C369="","",Catálogo!$C369&amp;"|"&amp;COUNTIF(Catálogo!$C$4:$C369,Catálogo!$C369))</f>
        <v/>
      </c>
    </row>
    <row r="370" customFormat="false" ht="15" hidden="false" customHeight="true" outlineLevel="0" collapsed="false">
      <c r="A370" s="1" t="str">
        <f aca="false">IF(Catálogo!$C370="","",Catálogo!$C370&amp;"|"&amp;COUNTIF(Catálogo!$C$4:$C370,Catálogo!$C370))</f>
        <v/>
      </c>
    </row>
    <row r="371" customFormat="false" ht="15" hidden="false" customHeight="true" outlineLevel="0" collapsed="false">
      <c r="A371" s="1" t="str">
        <f aca="false">IF(Catálogo!$C371="","",Catálogo!$C371&amp;"|"&amp;COUNTIF(Catálogo!$C$4:$C371,Catálogo!$C371))</f>
        <v/>
      </c>
    </row>
    <row r="372" customFormat="false" ht="15" hidden="false" customHeight="true" outlineLevel="0" collapsed="false">
      <c r="A372" s="1" t="str">
        <f aca="false">IF(Catálogo!$C372="","",Catálogo!$C372&amp;"|"&amp;COUNTIF(Catálogo!$C$4:$C372,Catálogo!$C372))</f>
        <v/>
      </c>
    </row>
    <row r="373" customFormat="false" ht="15" hidden="false" customHeight="true" outlineLevel="0" collapsed="false">
      <c r="A373" s="1" t="str">
        <f aca="false">IF(Catálogo!$C373="","",Catálogo!$C373&amp;"|"&amp;COUNTIF(Catálogo!$C$4:$C373,Catálogo!$C373))</f>
        <v/>
      </c>
    </row>
    <row r="374" customFormat="false" ht="15" hidden="false" customHeight="true" outlineLevel="0" collapsed="false">
      <c r="A374" s="1" t="str">
        <f aca="false">IF(Catálogo!$C374="","",Catálogo!$C374&amp;"|"&amp;COUNTIF(Catálogo!$C$4:$C374,Catálogo!$C374))</f>
        <v/>
      </c>
    </row>
    <row r="375" customFormat="false" ht="15" hidden="false" customHeight="true" outlineLevel="0" collapsed="false">
      <c r="A375" s="1" t="str">
        <f aca="false">IF(Catálogo!$C375="","",Catálogo!$C375&amp;"|"&amp;COUNTIF(Catálogo!$C$4:$C375,Catálogo!$C375))</f>
        <v/>
      </c>
    </row>
    <row r="376" customFormat="false" ht="15" hidden="false" customHeight="true" outlineLevel="0" collapsed="false">
      <c r="A376" s="1" t="str">
        <f aca="false">IF(Catálogo!$C376="","",Catálogo!$C376&amp;"|"&amp;COUNTIF(Catálogo!$C$4:$C376,Catálogo!$C376))</f>
        <v/>
      </c>
    </row>
    <row r="377" customFormat="false" ht="15" hidden="false" customHeight="true" outlineLevel="0" collapsed="false">
      <c r="A377" s="1" t="str">
        <f aca="false">IF(Catálogo!$C377="","",Catálogo!$C377&amp;"|"&amp;COUNTIF(Catálogo!$C$4:$C377,Catálogo!$C377))</f>
        <v/>
      </c>
    </row>
    <row r="378" customFormat="false" ht="15" hidden="false" customHeight="true" outlineLevel="0" collapsed="false">
      <c r="A378" s="1" t="str">
        <f aca="false">IF(Catálogo!$C378="","",Catálogo!$C378&amp;"|"&amp;COUNTIF(Catálogo!$C$4:$C378,Catálogo!$C378))</f>
        <v/>
      </c>
    </row>
    <row r="379" customFormat="false" ht="15" hidden="false" customHeight="true" outlineLevel="0" collapsed="false">
      <c r="A379" s="1" t="str">
        <f aca="false">IF(Catálogo!$C379="","",Catálogo!$C379&amp;"|"&amp;COUNTIF(Catálogo!$C$4:$C379,Catálogo!$C379))</f>
        <v/>
      </c>
    </row>
    <row r="380" customFormat="false" ht="15" hidden="false" customHeight="true" outlineLevel="0" collapsed="false">
      <c r="A380" s="1" t="str">
        <f aca="false">IF(Catálogo!$C380="","",Catálogo!$C380&amp;"|"&amp;COUNTIF(Catálogo!$C$4:$C380,Catálogo!$C380))</f>
        <v/>
      </c>
    </row>
    <row r="381" customFormat="false" ht="15" hidden="false" customHeight="true" outlineLevel="0" collapsed="false">
      <c r="A381" s="1" t="str">
        <f aca="false">IF(Catálogo!$C381="","",Catálogo!$C381&amp;"|"&amp;COUNTIF(Catálogo!$C$4:$C381,Catálogo!$C381))</f>
        <v/>
      </c>
    </row>
    <row r="382" customFormat="false" ht="15" hidden="false" customHeight="true" outlineLevel="0" collapsed="false">
      <c r="A382" s="1" t="str">
        <f aca="false">IF(Catálogo!$C382="","",Catálogo!$C382&amp;"|"&amp;COUNTIF(Catálogo!$C$4:$C382,Catálogo!$C382))</f>
        <v/>
      </c>
    </row>
    <row r="383" customFormat="false" ht="15" hidden="false" customHeight="true" outlineLevel="0" collapsed="false">
      <c r="A383" s="1" t="str">
        <f aca="false">IF(Catálogo!$C383="","",Catálogo!$C383&amp;"|"&amp;COUNTIF(Catálogo!$C$4:$C383,Catálogo!$C383))</f>
        <v/>
      </c>
    </row>
    <row r="384" customFormat="false" ht="15" hidden="false" customHeight="true" outlineLevel="0" collapsed="false">
      <c r="A384" s="1" t="str">
        <f aca="false">IF(Catálogo!$C384="","",Catálogo!$C384&amp;"|"&amp;COUNTIF(Catálogo!$C$4:$C384,Catálogo!$C384))</f>
        <v/>
      </c>
    </row>
    <row r="385" customFormat="false" ht="15" hidden="false" customHeight="true" outlineLevel="0" collapsed="false">
      <c r="A385" s="1" t="str">
        <f aca="false">IF(Catálogo!$C385="","",Catálogo!$C385&amp;"|"&amp;COUNTIF(Catálogo!$C$4:$C385,Catálogo!$C385))</f>
        <v/>
      </c>
    </row>
    <row r="386" customFormat="false" ht="15" hidden="false" customHeight="true" outlineLevel="0" collapsed="false">
      <c r="A386" s="1" t="str">
        <f aca="false">IF(Catálogo!$C386="","",Catálogo!$C386&amp;"|"&amp;COUNTIF(Catálogo!$C$4:$C386,Catálogo!$C386))</f>
        <v/>
      </c>
    </row>
    <row r="387" customFormat="false" ht="15" hidden="false" customHeight="true" outlineLevel="0" collapsed="false">
      <c r="A387" s="1" t="str">
        <f aca="false">IF(Catálogo!$C387="","",Catálogo!$C387&amp;"|"&amp;COUNTIF(Catálogo!$C$4:$C387,Catálogo!$C387))</f>
        <v/>
      </c>
    </row>
    <row r="388" customFormat="false" ht="15" hidden="false" customHeight="true" outlineLevel="0" collapsed="false">
      <c r="A388" s="1" t="str">
        <f aca="false">IF(Catálogo!$C388="","",Catálogo!$C388&amp;"|"&amp;COUNTIF(Catálogo!$C$4:$C388,Catálogo!$C388))</f>
        <v/>
      </c>
    </row>
    <row r="389" customFormat="false" ht="15" hidden="false" customHeight="true" outlineLevel="0" collapsed="false">
      <c r="A389" s="1" t="str">
        <f aca="false">IF(Catálogo!$C389="","",Catálogo!$C389&amp;"|"&amp;COUNTIF(Catálogo!$C$4:$C389,Catálogo!$C389))</f>
        <v/>
      </c>
    </row>
    <row r="390" customFormat="false" ht="15" hidden="false" customHeight="true" outlineLevel="0" collapsed="false">
      <c r="A390" s="1" t="str">
        <f aca="false">IF(Catálogo!$C390="","",Catálogo!$C390&amp;"|"&amp;COUNTIF(Catálogo!$C$4:$C390,Catálogo!$C390))</f>
        <v/>
      </c>
    </row>
    <row r="391" customFormat="false" ht="15" hidden="false" customHeight="true" outlineLevel="0" collapsed="false">
      <c r="A391" s="1" t="str">
        <f aca="false">IF(Catálogo!$C391="","",Catálogo!$C391&amp;"|"&amp;COUNTIF(Catálogo!$C$4:$C391,Catálogo!$C391))</f>
        <v/>
      </c>
    </row>
    <row r="392" customFormat="false" ht="15" hidden="false" customHeight="true" outlineLevel="0" collapsed="false">
      <c r="A392" s="1" t="str">
        <f aca="false">IF(Catálogo!$C392="","",Catálogo!$C392&amp;"|"&amp;COUNTIF(Catálogo!$C$4:$C392,Catálogo!$C392))</f>
        <v/>
      </c>
    </row>
    <row r="393" customFormat="false" ht="15" hidden="false" customHeight="true" outlineLevel="0" collapsed="false">
      <c r="A393" s="1" t="str">
        <f aca="false">IF(Catálogo!$C393="","",Catálogo!$C393&amp;"|"&amp;COUNTIF(Catálogo!$C$4:$C393,Catálogo!$C393))</f>
        <v/>
      </c>
    </row>
    <row r="394" customFormat="false" ht="15" hidden="false" customHeight="true" outlineLevel="0" collapsed="false">
      <c r="A394" s="1" t="str">
        <f aca="false">IF(Catálogo!$C394="","",Catálogo!$C394&amp;"|"&amp;COUNTIF(Catálogo!$C$4:$C394,Catálogo!$C394))</f>
        <v/>
      </c>
    </row>
    <row r="395" customFormat="false" ht="15" hidden="false" customHeight="true" outlineLevel="0" collapsed="false">
      <c r="A395" s="1" t="str">
        <f aca="false">IF(Catálogo!$C395="","",Catálogo!$C395&amp;"|"&amp;COUNTIF(Catálogo!$C$4:$C395,Catálogo!$C395))</f>
        <v/>
      </c>
    </row>
    <row r="396" customFormat="false" ht="15" hidden="false" customHeight="true" outlineLevel="0" collapsed="false">
      <c r="A396" s="1" t="str">
        <f aca="false">IF(Catálogo!$C396="","",Catálogo!$C396&amp;"|"&amp;COUNTIF(Catálogo!$C$4:$C396,Catálogo!$C396))</f>
        <v/>
      </c>
    </row>
    <row r="397" customFormat="false" ht="15" hidden="false" customHeight="true" outlineLevel="0" collapsed="false">
      <c r="A397" s="1" t="str">
        <f aca="false">IF(Catálogo!$C397="","",Catálogo!$C397&amp;"|"&amp;COUNTIF(Catálogo!$C$4:$C397,Catálogo!$C397))</f>
        <v/>
      </c>
    </row>
    <row r="398" customFormat="false" ht="15" hidden="false" customHeight="true" outlineLevel="0" collapsed="false">
      <c r="A398" s="1" t="str">
        <f aca="false">IF(Catálogo!$C398="","",Catálogo!$C398&amp;"|"&amp;COUNTIF(Catálogo!$C$4:$C398,Catálogo!$C398))</f>
        <v/>
      </c>
    </row>
    <row r="399" customFormat="false" ht="15" hidden="false" customHeight="true" outlineLevel="0" collapsed="false">
      <c r="A399" s="1" t="str">
        <f aca="false">IF(Catálogo!$C399="","",Catálogo!$C399&amp;"|"&amp;COUNTIF(Catálogo!$C$4:$C399,Catálogo!$C399))</f>
        <v/>
      </c>
    </row>
    <row r="400" customFormat="false" ht="15" hidden="false" customHeight="true" outlineLevel="0" collapsed="false">
      <c r="A400" s="1" t="str">
        <f aca="false">IF(Catálogo!$C400="","",Catálogo!$C400&amp;"|"&amp;COUNTIF(Catálogo!$C$4:$C400,Catálogo!$C400))</f>
        <v/>
      </c>
    </row>
    <row r="401" customFormat="false" ht="15" hidden="false" customHeight="true" outlineLevel="0" collapsed="false">
      <c r="A401" s="1" t="str">
        <f aca="false">IF(Catálogo!$C401="","",Catálogo!$C401&amp;"|"&amp;COUNTIF(Catálogo!$C$4:$C401,Catálogo!$C401))</f>
        <v/>
      </c>
    </row>
    <row r="402" customFormat="false" ht="15" hidden="false" customHeight="true" outlineLevel="0" collapsed="false">
      <c r="A402" s="1" t="str">
        <f aca="false">IF(Catálogo!$C402="","",Catálogo!$C402&amp;"|"&amp;COUNTIF(Catálogo!$C$4:$C402,Catálogo!$C402))</f>
        <v/>
      </c>
    </row>
    <row r="403" customFormat="false" ht="15" hidden="false" customHeight="true" outlineLevel="0" collapsed="false">
      <c r="A403" s="1" t="str">
        <f aca="false">IF(Catálogo!$C403="","",Catálogo!$C403&amp;"|"&amp;COUNTIF(Catálogo!$C$4:$C403,Catálogo!$C403))</f>
        <v/>
      </c>
    </row>
    <row r="404" customFormat="false" ht="15" hidden="false" customHeight="true" outlineLevel="0" collapsed="false">
      <c r="A404" s="1" t="str">
        <f aca="false">IF(Catálogo!$C404="","",Catálogo!$C404&amp;"|"&amp;COUNTIF(Catálogo!$C$4:$C404,Catálogo!$C404))</f>
        <v/>
      </c>
    </row>
    <row r="405" customFormat="false" ht="15" hidden="false" customHeight="true" outlineLevel="0" collapsed="false">
      <c r="A405" s="1" t="str">
        <f aca="false">IF(Catálogo!$C405="","",Catálogo!$C405&amp;"|"&amp;COUNTIF(Catálogo!$C$4:$C405,Catálogo!$C405))</f>
        <v/>
      </c>
    </row>
    <row r="406" customFormat="false" ht="15" hidden="false" customHeight="true" outlineLevel="0" collapsed="false">
      <c r="A406" s="1" t="str">
        <f aca="false">IF(Catálogo!$C406="","",Catálogo!$C406&amp;"|"&amp;COUNTIF(Catálogo!$C$4:$C406,Catálogo!$C406))</f>
        <v/>
      </c>
    </row>
    <row r="407" customFormat="false" ht="15" hidden="false" customHeight="true" outlineLevel="0" collapsed="false">
      <c r="A407" s="1" t="str">
        <f aca="false">IF(Catálogo!$C407="","",Catálogo!$C407&amp;"|"&amp;COUNTIF(Catálogo!$C$4:$C407,Catálogo!$C407))</f>
        <v/>
      </c>
    </row>
    <row r="408" customFormat="false" ht="15" hidden="false" customHeight="true" outlineLevel="0" collapsed="false">
      <c r="A408" s="1" t="str">
        <f aca="false">IF(Catálogo!$C408="","",Catálogo!$C408&amp;"|"&amp;COUNTIF(Catálogo!$C$4:$C408,Catálogo!$C408))</f>
        <v/>
      </c>
    </row>
    <row r="409" customFormat="false" ht="15" hidden="false" customHeight="true" outlineLevel="0" collapsed="false">
      <c r="A409" s="1" t="str">
        <f aca="false">IF(Catálogo!$C409="","",Catálogo!$C409&amp;"|"&amp;COUNTIF(Catálogo!$C$4:$C409,Catálogo!$C409))</f>
        <v/>
      </c>
    </row>
    <row r="410" customFormat="false" ht="15" hidden="false" customHeight="true" outlineLevel="0" collapsed="false">
      <c r="A410" s="1" t="str">
        <f aca="false">IF(Catálogo!$C410="","",Catálogo!$C410&amp;"|"&amp;COUNTIF(Catálogo!$C$4:$C410,Catálogo!$C410))</f>
        <v/>
      </c>
    </row>
    <row r="411" customFormat="false" ht="15" hidden="false" customHeight="true" outlineLevel="0" collapsed="false">
      <c r="A411" s="1" t="str">
        <f aca="false">IF(Catálogo!$C411="","",Catálogo!$C411&amp;"|"&amp;COUNTIF(Catálogo!$C$4:$C411,Catálogo!$C411))</f>
        <v/>
      </c>
    </row>
    <row r="412" customFormat="false" ht="15" hidden="false" customHeight="true" outlineLevel="0" collapsed="false">
      <c r="A412" s="1" t="str">
        <f aca="false">IF(Catálogo!$C412="","",Catálogo!$C412&amp;"|"&amp;COUNTIF(Catálogo!$C$4:$C412,Catálogo!$C412))</f>
        <v/>
      </c>
    </row>
    <row r="413" customFormat="false" ht="15" hidden="false" customHeight="true" outlineLevel="0" collapsed="false">
      <c r="A413" s="1" t="str">
        <f aca="false">IF(Catálogo!$C413="","",Catálogo!$C413&amp;"|"&amp;COUNTIF(Catálogo!$C$4:$C413,Catálogo!$C413))</f>
        <v/>
      </c>
    </row>
    <row r="414" customFormat="false" ht="15" hidden="false" customHeight="true" outlineLevel="0" collapsed="false">
      <c r="A414" s="1" t="str">
        <f aca="false">IF(Catálogo!$C414="","",Catálogo!$C414&amp;"|"&amp;COUNTIF(Catálogo!$C$4:$C414,Catálogo!$C414))</f>
        <v/>
      </c>
    </row>
    <row r="415" customFormat="false" ht="15" hidden="false" customHeight="true" outlineLevel="0" collapsed="false">
      <c r="A415" s="1" t="str">
        <f aca="false">IF(Catálogo!$C415="","",Catálogo!$C415&amp;"|"&amp;COUNTIF(Catálogo!$C$4:$C415,Catálogo!$C415))</f>
        <v/>
      </c>
    </row>
    <row r="416" customFormat="false" ht="15" hidden="false" customHeight="true" outlineLevel="0" collapsed="false">
      <c r="A416" s="1" t="str">
        <f aca="false">IF(Catálogo!$C416="","",Catálogo!$C416&amp;"|"&amp;COUNTIF(Catálogo!$C$4:$C416,Catálogo!$C416))</f>
        <v/>
      </c>
    </row>
    <row r="417" customFormat="false" ht="15" hidden="false" customHeight="true" outlineLevel="0" collapsed="false">
      <c r="A417" s="1" t="str">
        <f aca="false">IF(Catálogo!$C417="","",Catálogo!$C417&amp;"|"&amp;COUNTIF(Catálogo!$C$4:$C417,Catálogo!$C417))</f>
        <v/>
      </c>
    </row>
    <row r="418" customFormat="false" ht="15" hidden="false" customHeight="true" outlineLevel="0" collapsed="false">
      <c r="A418" s="1" t="str">
        <f aca="false">IF(Catálogo!$C418="","",Catálogo!$C418&amp;"|"&amp;COUNTIF(Catálogo!$C$4:$C418,Catálogo!$C418))</f>
        <v/>
      </c>
    </row>
    <row r="419" customFormat="false" ht="15" hidden="false" customHeight="true" outlineLevel="0" collapsed="false">
      <c r="A419" s="1" t="str">
        <f aca="false">IF(Catálogo!$C419="","",Catálogo!$C419&amp;"|"&amp;COUNTIF(Catálogo!$C$4:$C419,Catálogo!$C419))</f>
        <v/>
      </c>
    </row>
    <row r="420" customFormat="false" ht="15" hidden="false" customHeight="true" outlineLevel="0" collapsed="false">
      <c r="A420" s="1" t="str">
        <f aca="false">IF(Catálogo!$C420="","",Catálogo!$C420&amp;"|"&amp;COUNTIF(Catálogo!$C$4:$C420,Catálogo!$C420))</f>
        <v/>
      </c>
    </row>
    <row r="421" customFormat="false" ht="15" hidden="false" customHeight="true" outlineLevel="0" collapsed="false">
      <c r="A421" s="1" t="str">
        <f aca="false">IF(Catálogo!$C421="","",Catálogo!$C421&amp;"|"&amp;COUNTIF(Catálogo!$C$4:$C421,Catálogo!$C421))</f>
        <v/>
      </c>
    </row>
    <row r="422" customFormat="false" ht="15" hidden="false" customHeight="true" outlineLevel="0" collapsed="false">
      <c r="A422" s="1" t="str">
        <f aca="false">IF(Catálogo!$C422="","",Catálogo!$C422&amp;"|"&amp;COUNTIF(Catálogo!$C$4:$C422,Catálogo!$C422))</f>
        <v/>
      </c>
    </row>
    <row r="423" customFormat="false" ht="15" hidden="false" customHeight="true" outlineLevel="0" collapsed="false">
      <c r="A423" s="1" t="str">
        <f aca="false">IF(Catálogo!$C423="","",Catálogo!$C423&amp;"|"&amp;COUNTIF(Catálogo!$C$4:$C423,Catálogo!$C423))</f>
        <v/>
      </c>
    </row>
    <row r="424" customFormat="false" ht="15" hidden="false" customHeight="true" outlineLevel="0" collapsed="false">
      <c r="A424" s="1" t="str">
        <f aca="false">IF(Catálogo!$C424="","",Catálogo!$C424&amp;"|"&amp;COUNTIF(Catálogo!$C$4:$C424,Catálogo!$C424))</f>
        <v/>
      </c>
    </row>
    <row r="425" customFormat="false" ht="15" hidden="false" customHeight="true" outlineLevel="0" collapsed="false">
      <c r="A425" s="1" t="str">
        <f aca="false">IF(Catálogo!$C425="","",Catálogo!$C425&amp;"|"&amp;COUNTIF(Catálogo!$C$4:$C425,Catálogo!$C425))</f>
        <v/>
      </c>
    </row>
    <row r="426" customFormat="false" ht="15" hidden="false" customHeight="true" outlineLevel="0" collapsed="false">
      <c r="A426" s="1" t="str">
        <f aca="false">IF(Catálogo!$C426="","",Catálogo!$C426&amp;"|"&amp;COUNTIF(Catálogo!$C$4:$C426,Catálogo!$C426))</f>
        <v/>
      </c>
    </row>
    <row r="427" customFormat="false" ht="15" hidden="false" customHeight="true" outlineLevel="0" collapsed="false">
      <c r="A427" s="1" t="str">
        <f aca="false">IF(Catálogo!$C427="","",Catálogo!$C427&amp;"|"&amp;COUNTIF(Catálogo!$C$4:$C427,Catálogo!$C427))</f>
        <v/>
      </c>
    </row>
    <row r="428" customFormat="false" ht="15" hidden="false" customHeight="true" outlineLevel="0" collapsed="false">
      <c r="A428" s="1" t="str">
        <f aca="false">IF(Catálogo!$C428="","",Catálogo!$C428&amp;"|"&amp;COUNTIF(Catálogo!$C$4:$C428,Catálogo!$C428))</f>
        <v/>
      </c>
    </row>
    <row r="429" customFormat="false" ht="15" hidden="false" customHeight="true" outlineLevel="0" collapsed="false">
      <c r="A429" s="1" t="str">
        <f aca="false">IF(Catálogo!$C429="","",Catálogo!$C429&amp;"|"&amp;COUNTIF(Catálogo!$C$4:$C429,Catálogo!$C429))</f>
        <v/>
      </c>
    </row>
    <row r="430" customFormat="false" ht="15" hidden="false" customHeight="true" outlineLevel="0" collapsed="false">
      <c r="A430" s="1" t="str">
        <f aca="false">IF(Catálogo!$C430="","",Catálogo!$C430&amp;"|"&amp;COUNTIF(Catálogo!$C$4:$C430,Catálogo!$C430))</f>
        <v/>
      </c>
    </row>
    <row r="431" customFormat="false" ht="15" hidden="false" customHeight="true" outlineLevel="0" collapsed="false">
      <c r="A431" s="1" t="str">
        <f aca="false">IF(Catálogo!$C431="","",Catálogo!$C431&amp;"|"&amp;COUNTIF(Catálogo!$C$4:$C431,Catálogo!$C431))</f>
        <v/>
      </c>
    </row>
    <row r="432" customFormat="false" ht="15" hidden="false" customHeight="true" outlineLevel="0" collapsed="false">
      <c r="A432" s="1" t="str">
        <f aca="false">IF(Catálogo!$C432="","",Catálogo!$C432&amp;"|"&amp;COUNTIF(Catálogo!$C$4:$C432,Catálogo!$C432))</f>
        <v/>
      </c>
    </row>
    <row r="433" customFormat="false" ht="15" hidden="false" customHeight="true" outlineLevel="0" collapsed="false">
      <c r="A433" s="1" t="str">
        <f aca="false">IF(Catálogo!$C433="","",Catálogo!$C433&amp;"|"&amp;COUNTIF(Catálogo!$C$4:$C433,Catálogo!$C433))</f>
        <v/>
      </c>
    </row>
    <row r="434" customFormat="false" ht="15" hidden="false" customHeight="true" outlineLevel="0" collapsed="false">
      <c r="A434" s="1" t="str">
        <f aca="false">IF(Catálogo!$C434="","",Catálogo!$C434&amp;"|"&amp;COUNTIF(Catálogo!$C$4:$C434,Catálogo!$C434))</f>
        <v/>
      </c>
    </row>
    <row r="435" customFormat="false" ht="15" hidden="false" customHeight="true" outlineLevel="0" collapsed="false">
      <c r="A435" s="1" t="str">
        <f aca="false">IF(Catálogo!$C435="","",Catálogo!$C435&amp;"|"&amp;COUNTIF(Catálogo!$C$4:$C435,Catálogo!$C435))</f>
        <v/>
      </c>
    </row>
    <row r="436" customFormat="false" ht="15" hidden="false" customHeight="true" outlineLevel="0" collapsed="false">
      <c r="A436" s="1" t="str">
        <f aca="false">IF(Catálogo!$C436="","",Catálogo!$C436&amp;"|"&amp;COUNTIF(Catálogo!$C$4:$C436,Catálogo!$C436))</f>
        <v/>
      </c>
    </row>
    <row r="437" customFormat="false" ht="15" hidden="false" customHeight="true" outlineLevel="0" collapsed="false">
      <c r="A437" s="1" t="str">
        <f aca="false">IF(Catálogo!$C437="","",Catálogo!$C437&amp;"|"&amp;COUNTIF(Catálogo!$C$4:$C437,Catálogo!$C437))</f>
        <v/>
      </c>
    </row>
    <row r="438" customFormat="false" ht="15" hidden="false" customHeight="true" outlineLevel="0" collapsed="false">
      <c r="A438" s="1" t="str">
        <f aca="false">IF(Catálogo!$C438="","",Catálogo!$C438&amp;"|"&amp;COUNTIF(Catálogo!$C$4:$C438,Catálogo!$C438))</f>
        <v/>
      </c>
    </row>
    <row r="439" customFormat="false" ht="15" hidden="false" customHeight="true" outlineLevel="0" collapsed="false">
      <c r="A439" s="1" t="str">
        <f aca="false">IF(Catálogo!$C439="","",Catálogo!$C439&amp;"|"&amp;COUNTIF(Catálogo!$C$4:$C439,Catálogo!$C439))</f>
        <v/>
      </c>
    </row>
    <row r="440" customFormat="false" ht="15" hidden="false" customHeight="true" outlineLevel="0" collapsed="false">
      <c r="A440" s="1" t="str">
        <f aca="false">IF(Catálogo!$C440="","",Catálogo!$C440&amp;"|"&amp;COUNTIF(Catálogo!$C$4:$C440,Catálogo!$C440))</f>
        <v/>
      </c>
    </row>
    <row r="441" customFormat="false" ht="15" hidden="false" customHeight="true" outlineLevel="0" collapsed="false">
      <c r="A441" s="1" t="str">
        <f aca="false">IF(Catálogo!$C441="","",Catálogo!$C441&amp;"|"&amp;COUNTIF(Catálogo!$C$4:$C441,Catálogo!$C441))</f>
        <v/>
      </c>
    </row>
    <row r="442" customFormat="false" ht="15" hidden="false" customHeight="true" outlineLevel="0" collapsed="false">
      <c r="A442" s="1" t="str">
        <f aca="false">IF(Catálogo!$C442="","",Catálogo!$C442&amp;"|"&amp;COUNTIF(Catálogo!$C$4:$C442,Catálogo!$C442))</f>
        <v/>
      </c>
    </row>
    <row r="443" customFormat="false" ht="15" hidden="false" customHeight="true" outlineLevel="0" collapsed="false">
      <c r="A443" s="1" t="str">
        <f aca="false">IF(Catálogo!$C443="","",Catálogo!$C443&amp;"|"&amp;COUNTIF(Catálogo!$C$4:$C443,Catálogo!$C443))</f>
        <v/>
      </c>
    </row>
    <row r="444" customFormat="false" ht="15" hidden="false" customHeight="true" outlineLevel="0" collapsed="false">
      <c r="A444" s="1" t="str">
        <f aca="false">IF(Catálogo!$C444="","",Catálogo!$C444&amp;"|"&amp;COUNTIF(Catálogo!$C$4:$C444,Catálogo!$C444))</f>
        <v/>
      </c>
    </row>
    <row r="445" customFormat="false" ht="15" hidden="false" customHeight="true" outlineLevel="0" collapsed="false">
      <c r="A445" s="1" t="str">
        <f aca="false">IF(Catálogo!$C445="","",Catálogo!$C445&amp;"|"&amp;COUNTIF(Catálogo!$C$4:$C445,Catálogo!$C445))</f>
        <v/>
      </c>
    </row>
    <row r="446" customFormat="false" ht="15" hidden="false" customHeight="true" outlineLevel="0" collapsed="false">
      <c r="A446" s="1" t="str">
        <f aca="false">IF(Catálogo!$C446="","",Catálogo!$C446&amp;"|"&amp;COUNTIF(Catálogo!$C$4:$C446,Catálogo!$C446))</f>
        <v/>
      </c>
    </row>
    <row r="447" customFormat="false" ht="15" hidden="false" customHeight="true" outlineLevel="0" collapsed="false">
      <c r="A447" s="1" t="str">
        <f aca="false">IF(Catálogo!$C447="","",Catálogo!$C447&amp;"|"&amp;COUNTIF(Catálogo!$C$4:$C447,Catálogo!$C447))</f>
        <v/>
      </c>
    </row>
    <row r="448" customFormat="false" ht="15" hidden="false" customHeight="true" outlineLevel="0" collapsed="false">
      <c r="A448" s="1" t="str">
        <f aca="false">IF(Catálogo!$C448="","",Catálogo!$C448&amp;"|"&amp;COUNTIF(Catálogo!$C$4:$C448,Catálogo!$C448))</f>
        <v/>
      </c>
    </row>
    <row r="449" customFormat="false" ht="15" hidden="false" customHeight="true" outlineLevel="0" collapsed="false">
      <c r="A449" s="1" t="str">
        <f aca="false">IF(Catálogo!$C449="","",Catálogo!$C449&amp;"|"&amp;COUNTIF(Catálogo!$C$4:$C449,Catálogo!$C449))</f>
        <v/>
      </c>
    </row>
    <row r="450" customFormat="false" ht="15" hidden="false" customHeight="true" outlineLevel="0" collapsed="false">
      <c r="A450" s="1" t="str">
        <f aca="false">IF(Catálogo!$C450="","",Catálogo!$C450&amp;"|"&amp;COUNTIF(Catálogo!$C$4:$C450,Catálogo!$C450))</f>
        <v/>
      </c>
    </row>
    <row r="451" customFormat="false" ht="15" hidden="false" customHeight="true" outlineLevel="0" collapsed="false">
      <c r="A451" s="1" t="str">
        <f aca="false">IF(Catálogo!$C451="","",Catálogo!$C451&amp;"|"&amp;COUNTIF(Catálogo!$C$4:$C451,Catálogo!$C451))</f>
        <v/>
      </c>
    </row>
    <row r="452" customFormat="false" ht="15" hidden="false" customHeight="true" outlineLevel="0" collapsed="false">
      <c r="A452" s="1" t="str">
        <f aca="false">IF(Catálogo!$C452="","",Catálogo!$C452&amp;"|"&amp;COUNTIF(Catálogo!$C$4:$C452,Catálogo!$C452))</f>
        <v/>
      </c>
    </row>
    <row r="453" customFormat="false" ht="15" hidden="false" customHeight="true" outlineLevel="0" collapsed="false">
      <c r="A453" s="1" t="str">
        <f aca="false">IF(Catálogo!$C453="","",Catálogo!$C453&amp;"|"&amp;COUNTIF(Catálogo!$C$4:$C453,Catálogo!$C453))</f>
        <v/>
      </c>
    </row>
    <row r="454" customFormat="false" ht="15" hidden="false" customHeight="true" outlineLevel="0" collapsed="false">
      <c r="A454" s="1" t="str">
        <f aca="false">IF(Catálogo!$C454="","",Catálogo!$C454&amp;"|"&amp;COUNTIF(Catálogo!$C$4:$C454,Catálogo!$C454))</f>
        <v/>
      </c>
    </row>
    <row r="455" customFormat="false" ht="15" hidden="false" customHeight="true" outlineLevel="0" collapsed="false">
      <c r="A455" s="1" t="str">
        <f aca="false">IF(Catálogo!$C455="","",Catálogo!$C455&amp;"|"&amp;COUNTIF(Catálogo!$C$4:$C455,Catálogo!$C455))</f>
        <v/>
      </c>
    </row>
    <row r="456" customFormat="false" ht="15" hidden="false" customHeight="true" outlineLevel="0" collapsed="false">
      <c r="A456" s="1" t="str">
        <f aca="false">IF(Catálogo!$C456="","",Catálogo!$C456&amp;"|"&amp;COUNTIF(Catálogo!$C$4:$C456,Catálogo!$C456))</f>
        <v/>
      </c>
    </row>
    <row r="457" customFormat="false" ht="15" hidden="false" customHeight="true" outlineLevel="0" collapsed="false">
      <c r="A457" s="1" t="str">
        <f aca="false">IF(Catálogo!$C457="","",Catálogo!$C457&amp;"|"&amp;COUNTIF(Catálogo!$C$4:$C457,Catálogo!$C457))</f>
        <v/>
      </c>
    </row>
    <row r="458" customFormat="false" ht="15" hidden="false" customHeight="true" outlineLevel="0" collapsed="false">
      <c r="A458" s="1" t="str">
        <f aca="false">IF(Catálogo!$C458="","",Catálogo!$C458&amp;"|"&amp;COUNTIF(Catálogo!$C$4:$C458,Catálogo!$C458))</f>
        <v/>
      </c>
    </row>
    <row r="459" customFormat="false" ht="15" hidden="false" customHeight="true" outlineLevel="0" collapsed="false">
      <c r="A459" s="1" t="str">
        <f aca="false">IF(Catálogo!$C459="","",Catálogo!$C459&amp;"|"&amp;COUNTIF(Catálogo!$C$4:$C459,Catálogo!$C459))</f>
        <v/>
      </c>
    </row>
    <row r="460" customFormat="false" ht="15" hidden="false" customHeight="true" outlineLevel="0" collapsed="false">
      <c r="A460" s="1" t="str">
        <f aca="false">IF(Catálogo!$C460="","",Catálogo!$C460&amp;"|"&amp;COUNTIF(Catálogo!$C$4:$C460,Catálogo!$C460))</f>
        <v/>
      </c>
    </row>
    <row r="461" customFormat="false" ht="15" hidden="false" customHeight="true" outlineLevel="0" collapsed="false">
      <c r="A461" s="1" t="str">
        <f aca="false">IF(Catálogo!$C461="","",Catálogo!$C461&amp;"|"&amp;COUNTIF(Catálogo!$C$4:$C461,Catálogo!$C461))</f>
        <v/>
      </c>
    </row>
    <row r="462" customFormat="false" ht="15" hidden="false" customHeight="true" outlineLevel="0" collapsed="false">
      <c r="A462" s="1" t="str">
        <f aca="false">IF(Catálogo!$C462="","",Catálogo!$C462&amp;"|"&amp;COUNTIF(Catálogo!$C$4:$C462,Catálogo!$C462))</f>
        <v/>
      </c>
    </row>
    <row r="463" customFormat="false" ht="15" hidden="false" customHeight="true" outlineLevel="0" collapsed="false">
      <c r="A463" s="1" t="str">
        <f aca="false">IF(Catálogo!$C463="","",Catálogo!$C463&amp;"|"&amp;COUNTIF(Catálogo!$C$4:$C463,Catálogo!$C463))</f>
        <v/>
      </c>
    </row>
    <row r="464" customFormat="false" ht="15" hidden="false" customHeight="true" outlineLevel="0" collapsed="false">
      <c r="A464" s="1" t="str">
        <f aca="false">IF(Catálogo!$C464="","",Catálogo!$C464&amp;"|"&amp;COUNTIF(Catálogo!$C$4:$C464,Catálogo!$C464))</f>
        <v/>
      </c>
    </row>
    <row r="465" customFormat="false" ht="15" hidden="false" customHeight="true" outlineLevel="0" collapsed="false">
      <c r="A465" s="1" t="str">
        <f aca="false">IF(Catálogo!$C465="","",Catálogo!$C465&amp;"|"&amp;COUNTIF(Catálogo!$C$4:$C465,Catálogo!$C465))</f>
        <v/>
      </c>
    </row>
    <row r="466" customFormat="false" ht="15" hidden="false" customHeight="true" outlineLevel="0" collapsed="false">
      <c r="A466" s="1" t="str">
        <f aca="false">IF(Catálogo!$C466="","",Catálogo!$C466&amp;"|"&amp;COUNTIF(Catálogo!$C$4:$C466,Catálogo!$C466))</f>
        <v/>
      </c>
    </row>
    <row r="467" customFormat="false" ht="15" hidden="false" customHeight="true" outlineLevel="0" collapsed="false">
      <c r="A467" s="1" t="str">
        <f aca="false">IF(Catálogo!$C467="","",Catálogo!$C467&amp;"|"&amp;COUNTIF(Catálogo!$C$4:$C467,Catálogo!$C467))</f>
        <v/>
      </c>
    </row>
    <row r="468" customFormat="false" ht="15" hidden="false" customHeight="true" outlineLevel="0" collapsed="false">
      <c r="A468" s="1" t="str">
        <f aca="false">IF(Catálogo!$C468="","",Catálogo!$C468&amp;"|"&amp;COUNTIF(Catálogo!$C$4:$C468,Catálogo!$C468))</f>
        <v/>
      </c>
    </row>
    <row r="469" customFormat="false" ht="15" hidden="false" customHeight="true" outlineLevel="0" collapsed="false">
      <c r="A469" s="1" t="str">
        <f aca="false">IF(Catálogo!$C469="","",Catálogo!$C469&amp;"|"&amp;COUNTIF(Catálogo!$C$4:$C469,Catálogo!$C469))</f>
        <v/>
      </c>
    </row>
    <row r="470" customFormat="false" ht="15" hidden="false" customHeight="true" outlineLevel="0" collapsed="false">
      <c r="A470" s="1" t="str">
        <f aca="false">IF(Catálogo!$C470="","",Catálogo!$C470&amp;"|"&amp;COUNTIF(Catálogo!$C$4:$C470,Catálogo!$C470))</f>
        <v/>
      </c>
    </row>
    <row r="471" customFormat="false" ht="15" hidden="false" customHeight="true" outlineLevel="0" collapsed="false">
      <c r="A471" s="1" t="str">
        <f aca="false">IF(Catálogo!$C471="","",Catálogo!$C471&amp;"|"&amp;COUNTIF(Catálogo!$C$4:$C471,Catálogo!$C471))</f>
        <v/>
      </c>
    </row>
    <row r="472" customFormat="false" ht="15" hidden="false" customHeight="true" outlineLevel="0" collapsed="false">
      <c r="A472" s="1" t="str">
        <f aca="false">IF(Catálogo!$C472="","",Catálogo!$C472&amp;"|"&amp;COUNTIF(Catálogo!$C$4:$C472,Catálogo!$C472))</f>
        <v/>
      </c>
    </row>
    <row r="473" customFormat="false" ht="15" hidden="false" customHeight="true" outlineLevel="0" collapsed="false">
      <c r="A473" s="1" t="str">
        <f aca="false">IF(Catálogo!$C473="","",Catálogo!$C473&amp;"|"&amp;COUNTIF(Catálogo!$C$4:$C473,Catálogo!$C473))</f>
        <v/>
      </c>
    </row>
    <row r="474" customFormat="false" ht="15" hidden="false" customHeight="true" outlineLevel="0" collapsed="false">
      <c r="A474" s="1" t="str">
        <f aca="false">IF(Catálogo!$C474="","",Catálogo!$C474&amp;"|"&amp;COUNTIF(Catálogo!$C$4:$C474,Catálogo!$C474))</f>
        <v/>
      </c>
    </row>
    <row r="475" customFormat="false" ht="15" hidden="false" customHeight="true" outlineLevel="0" collapsed="false">
      <c r="A475" s="1" t="str">
        <f aca="false">IF(Catálogo!$C475="","",Catálogo!$C475&amp;"|"&amp;COUNTIF(Catálogo!$C$4:$C475,Catálogo!$C475))</f>
        <v/>
      </c>
    </row>
    <row r="476" customFormat="false" ht="15" hidden="false" customHeight="true" outlineLevel="0" collapsed="false">
      <c r="A476" s="1" t="str">
        <f aca="false">IF(Catálogo!$C476="","",Catálogo!$C476&amp;"|"&amp;COUNTIF(Catálogo!$C$4:$C476,Catálogo!$C476))</f>
        <v/>
      </c>
    </row>
    <row r="477" customFormat="false" ht="15" hidden="false" customHeight="true" outlineLevel="0" collapsed="false">
      <c r="A477" s="1" t="str">
        <f aca="false">IF(Catálogo!$C477="","",Catálogo!$C477&amp;"|"&amp;COUNTIF(Catálogo!$C$4:$C477,Catálogo!$C477))</f>
        <v/>
      </c>
    </row>
    <row r="478" customFormat="false" ht="15" hidden="false" customHeight="true" outlineLevel="0" collapsed="false">
      <c r="A478" s="1" t="str">
        <f aca="false">IF(Catálogo!$C478="","",Catálogo!$C478&amp;"|"&amp;COUNTIF(Catálogo!$C$4:$C478,Catálogo!$C478))</f>
        <v/>
      </c>
    </row>
    <row r="479" customFormat="false" ht="15" hidden="false" customHeight="true" outlineLevel="0" collapsed="false">
      <c r="A479" s="1" t="str">
        <f aca="false">IF(Catálogo!$C479="","",Catálogo!$C479&amp;"|"&amp;COUNTIF(Catálogo!$C$4:$C479,Catálogo!$C479))</f>
        <v/>
      </c>
    </row>
    <row r="480" customFormat="false" ht="15" hidden="false" customHeight="true" outlineLevel="0" collapsed="false">
      <c r="A480" s="1" t="str">
        <f aca="false">IF(Catálogo!$C480="","",Catálogo!$C480&amp;"|"&amp;COUNTIF(Catálogo!$C$4:$C480,Catálogo!$C480))</f>
        <v/>
      </c>
    </row>
    <row r="481" customFormat="false" ht="15" hidden="false" customHeight="true" outlineLevel="0" collapsed="false">
      <c r="A481" s="1" t="str">
        <f aca="false">IF(Catálogo!$C481="","",Catálogo!$C481&amp;"|"&amp;COUNTIF(Catálogo!$C$4:$C481,Catálogo!$C481))</f>
        <v/>
      </c>
    </row>
    <row r="482" customFormat="false" ht="15" hidden="false" customHeight="true" outlineLevel="0" collapsed="false">
      <c r="A482" s="1" t="str">
        <f aca="false">IF(Catálogo!$C482="","",Catálogo!$C482&amp;"|"&amp;COUNTIF(Catálogo!$C$4:$C482,Catálogo!$C482))</f>
        <v/>
      </c>
    </row>
    <row r="483" customFormat="false" ht="15" hidden="false" customHeight="true" outlineLevel="0" collapsed="false">
      <c r="A483" s="1" t="str">
        <f aca="false">IF(Catálogo!$C483="","",Catálogo!$C483&amp;"|"&amp;COUNTIF(Catálogo!$C$4:$C483,Catálogo!$C483))</f>
        <v/>
      </c>
    </row>
    <row r="484" customFormat="false" ht="15" hidden="false" customHeight="true" outlineLevel="0" collapsed="false">
      <c r="A484" s="1" t="str">
        <f aca="false">IF(Catálogo!$C484="","",Catálogo!$C484&amp;"|"&amp;COUNTIF(Catálogo!$C$4:$C484,Catálogo!$C484))</f>
        <v/>
      </c>
    </row>
    <row r="485" customFormat="false" ht="15" hidden="false" customHeight="true" outlineLevel="0" collapsed="false">
      <c r="A485" s="1" t="str">
        <f aca="false">IF(Catálogo!$C485="","",Catálogo!$C485&amp;"|"&amp;COUNTIF(Catálogo!$C$4:$C485,Catálogo!$C485))</f>
        <v/>
      </c>
    </row>
    <row r="486" customFormat="false" ht="15" hidden="false" customHeight="true" outlineLevel="0" collapsed="false">
      <c r="A486" s="1" t="str">
        <f aca="false">IF(Catálogo!$C486="","",Catálogo!$C486&amp;"|"&amp;COUNTIF(Catálogo!$C$4:$C486,Catálogo!$C486))</f>
        <v/>
      </c>
    </row>
    <row r="487" customFormat="false" ht="15" hidden="false" customHeight="true" outlineLevel="0" collapsed="false">
      <c r="A487" s="1" t="str">
        <f aca="false">IF(Catálogo!$C487="","",Catálogo!$C487&amp;"|"&amp;COUNTIF(Catálogo!$C$4:$C487,Catálogo!$C487))</f>
        <v/>
      </c>
    </row>
    <row r="488" customFormat="false" ht="15" hidden="false" customHeight="true" outlineLevel="0" collapsed="false">
      <c r="A488" s="1" t="str">
        <f aca="false">IF(Catálogo!$C488="","",Catálogo!$C488&amp;"|"&amp;COUNTIF(Catálogo!$C$4:$C488,Catálogo!$C488))</f>
        <v/>
      </c>
    </row>
    <row r="489" customFormat="false" ht="15" hidden="false" customHeight="true" outlineLevel="0" collapsed="false">
      <c r="A489" s="1" t="str">
        <f aca="false">IF(Catálogo!$C489="","",Catálogo!$C489&amp;"|"&amp;COUNTIF(Catálogo!$C$4:$C489,Catálogo!$C489))</f>
        <v/>
      </c>
    </row>
    <row r="490" customFormat="false" ht="15" hidden="false" customHeight="true" outlineLevel="0" collapsed="false">
      <c r="A490" s="1" t="str">
        <f aca="false">IF(Catálogo!$C490="","",Catálogo!$C490&amp;"|"&amp;COUNTIF(Catálogo!$C$4:$C490,Catálogo!$C490))</f>
        <v/>
      </c>
    </row>
    <row r="491" customFormat="false" ht="15" hidden="false" customHeight="true" outlineLevel="0" collapsed="false">
      <c r="A491" s="1" t="str">
        <f aca="false">IF(Catálogo!$C491="","",Catálogo!$C491&amp;"|"&amp;COUNTIF(Catálogo!$C$4:$C491,Catálogo!$C491))</f>
        <v/>
      </c>
    </row>
    <row r="492" customFormat="false" ht="15" hidden="false" customHeight="true" outlineLevel="0" collapsed="false">
      <c r="A492" s="1" t="str">
        <f aca="false">IF(Catálogo!$C492="","",Catálogo!$C492&amp;"|"&amp;COUNTIF(Catálogo!$C$4:$C492,Catálogo!$C492))</f>
        <v/>
      </c>
    </row>
    <row r="493" customFormat="false" ht="15" hidden="false" customHeight="true" outlineLevel="0" collapsed="false">
      <c r="A493" s="1" t="str">
        <f aca="false">IF(Catálogo!$C493="","",Catálogo!$C493&amp;"|"&amp;COUNTIF(Catálogo!$C$4:$C493,Catálogo!$C493))</f>
        <v/>
      </c>
    </row>
    <row r="494" customFormat="false" ht="15" hidden="false" customHeight="true" outlineLevel="0" collapsed="false">
      <c r="A494" s="1" t="str">
        <f aca="false">IF(Catálogo!$C494="","",Catálogo!$C494&amp;"|"&amp;COUNTIF(Catálogo!$C$4:$C494,Catálogo!$C494))</f>
        <v/>
      </c>
    </row>
    <row r="495" customFormat="false" ht="15" hidden="false" customHeight="true" outlineLevel="0" collapsed="false">
      <c r="A495" s="1" t="str">
        <f aca="false">IF(Catálogo!$C495="","",Catálogo!$C495&amp;"|"&amp;COUNTIF(Catálogo!$C$4:$C495,Catálogo!$C495))</f>
        <v/>
      </c>
    </row>
    <row r="496" customFormat="false" ht="15" hidden="false" customHeight="true" outlineLevel="0" collapsed="false">
      <c r="A496" s="1" t="str">
        <f aca="false">IF(Catálogo!$C496="","",Catálogo!$C496&amp;"|"&amp;COUNTIF(Catálogo!$C$4:$C496,Catálogo!$C496))</f>
        <v/>
      </c>
    </row>
    <row r="497" customFormat="false" ht="15" hidden="false" customHeight="true" outlineLevel="0" collapsed="false">
      <c r="A497" s="1" t="str">
        <f aca="false">IF(Catálogo!$C497="","",Catálogo!$C497&amp;"|"&amp;COUNTIF(Catálogo!$C$4:$C497,Catálogo!$C497))</f>
        <v/>
      </c>
    </row>
    <row r="498" customFormat="false" ht="15" hidden="false" customHeight="true" outlineLevel="0" collapsed="false">
      <c r="A498" s="1" t="str">
        <f aca="false">IF(Catálogo!$C498="","",Catálogo!$C498&amp;"|"&amp;COUNTIF(Catálogo!$C$4:$C498,Catálogo!$C498))</f>
        <v/>
      </c>
    </row>
    <row r="499" customFormat="false" ht="15" hidden="false" customHeight="true" outlineLevel="0" collapsed="false">
      <c r="A499" s="1" t="str">
        <f aca="false">IF(Catálogo!$C499="","",Catálogo!$C499&amp;"|"&amp;COUNTIF(Catálogo!$C$4:$C499,Catálogo!$C499))</f>
        <v/>
      </c>
    </row>
    <row r="500" customFormat="false" ht="15" hidden="false" customHeight="true" outlineLevel="0" collapsed="false">
      <c r="A500" s="1" t="str">
        <f aca="false">IF(Catálogo!$C500="","",Catálogo!$C500&amp;"|"&amp;COUNTIF(Catálogo!$C$4:$C500,Catálogo!$C500))</f>
        <v/>
      </c>
    </row>
    <row r="501" customFormat="false" ht="15" hidden="false" customHeight="true" outlineLevel="0" collapsed="false">
      <c r="A501" s="1" t="str">
        <f aca="false">IF(Catálogo!$C501="","",Catálogo!$C501&amp;"|"&amp;COUNTIF(Catálogo!$C$4:$C501,Catálogo!$C501))</f>
        <v/>
      </c>
    </row>
    <row r="502" customFormat="false" ht="15" hidden="false" customHeight="true" outlineLevel="0" collapsed="false">
      <c r="A502" s="1" t="str">
        <f aca="false">IF(Catálogo!$C502="","",Catálogo!$C502&amp;"|"&amp;COUNTIF(Catálogo!$C$4:$C502,Catálogo!$C502))</f>
        <v/>
      </c>
    </row>
    <row r="503" customFormat="false" ht="15" hidden="false" customHeight="true" outlineLevel="0" collapsed="false">
      <c r="A503" s="1" t="str">
        <f aca="false">IF(Catálogo!$C503="","",Catálogo!$C503&amp;"|"&amp;COUNTIF(Catálogo!$C$4:$C503,Catálogo!$C503))</f>
        <v/>
      </c>
    </row>
    <row r="504" customFormat="false" ht="15" hidden="false" customHeight="true" outlineLevel="0" collapsed="false">
      <c r="A504" s="1" t="str">
        <f aca="false">IF(Catálogo!$C504="","",Catálogo!$C504&amp;"|"&amp;COUNTIF(Catálogo!$C$4:$C504,Catálogo!$C504))</f>
        <v/>
      </c>
    </row>
    <row r="505" customFormat="false" ht="15" hidden="false" customHeight="true" outlineLevel="0" collapsed="false">
      <c r="A505" s="1" t="str">
        <f aca="false">IF(Catálogo!$C505="","",Catálogo!$C505&amp;"|"&amp;COUNTIF(Catálogo!$C$4:$C505,Catálogo!$C505))</f>
        <v/>
      </c>
    </row>
    <row r="506" customFormat="false" ht="15" hidden="false" customHeight="true" outlineLevel="0" collapsed="false">
      <c r="A506" s="1" t="str">
        <f aca="false">IF(Catálogo!$C506="","",Catálogo!$C506&amp;"|"&amp;COUNTIF(Catálogo!$C$4:$C506,Catálogo!$C506))</f>
        <v/>
      </c>
    </row>
    <row r="507" customFormat="false" ht="15" hidden="false" customHeight="true" outlineLevel="0" collapsed="false">
      <c r="A507" s="1" t="str">
        <f aca="false">IF(Catálogo!$C507="","",Catálogo!$C507&amp;"|"&amp;COUNTIF(Catálogo!$C$4:$C507,Catálogo!$C507))</f>
        <v/>
      </c>
    </row>
    <row r="508" customFormat="false" ht="15" hidden="false" customHeight="true" outlineLevel="0" collapsed="false">
      <c r="A508" s="1" t="str">
        <f aca="false">IF(Catálogo!$C508="","",Catálogo!$C508&amp;"|"&amp;COUNTIF(Catálogo!$C$4:$C508,Catálogo!$C508))</f>
        <v/>
      </c>
    </row>
    <row r="509" customFormat="false" ht="15" hidden="false" customHeight="true" outlineLevel="0" collapsed="false">
      <c r="A509" s="1" t="str">
        <f aca="false">IF(Catálogo!$C509="","",Catálogo!$C509&amp;"|"&amp;COUNTIF(Catálogo!$C$4:$C509,Catálogo!$C509))</f>
        <v/>
      </c>
    </row>
    <row r="510" customFormat="false" ht="15" hidden="false" customHeight="true" outlineLevel="0" collapsed="false">
      <c r="A510" s="1" t="str">
        <f aca="false">IF(Catálogo!$C510="","",Catálogo!$C510&amp;"|"&amp;COUNTIF(Catálogo!$C$4:$C510,Catálogo!$C510))</f>
        <v/>
      </c>
    </row>
    <row r="511" customFormat="false" ht="15" hidden="false" customHeight="true" outlineLevel="0" collapsed="false">
      <c r="A511" s="1" t="str">
        <f aca="false">IF(Catálogo!$C511="","",Catálogo!$C511&amp;"|"&amp;COUNTIF(Catálogo!$C$4:$C511,Catálogo!$C511))</f>
        <v/>
      </c>
    </row>
    <row r="512" customFormat="false" ht="15" hidden="false" customHeight="true" outlineLevel="0" collapsed="false">
      <c r="A512" s="1" t="str">
        <f aca="false">IF(Catálogo!$C512="","",Catálogo!$C512&amp;"|"&amp;COUNTIF(Catálogo!$C$4:$C512,Catálogo!$C512))</f>
        <v/>
      </c>
    </row>
    <row r="513" customFormat="false" ht="15" hidden="false" customHeight="true" outlineLevel="0" collapsed="false">
      <c r="A513" s="1" t="str">
        <f aca="false">IF(Catálogo!$C513="","",Catálogo!$C513&amp;"|"&amp;COUNTIF(Catálogo!$C$4:$C513,Catálogo!$C513))</f>
        <v/>
      </c>
    </row>
    <row r="514" customFormat="false" ht="15" hidden="false" customHeight="true" outlineLevel="0" collapsed="false">
      <c r="A514" s="1" t="str">
        <f aca="false">IF(Catálogo!$C514="","",Catálogo!$C514&amp;"|"&amp;COUNTIF(Catálogo!$C$4:$C514,Catálogo!$C514))</f>
        <v/>
      </c>
    </row>
    <row r="515" customFormat="false" ht="15" hidden="false" customHeight="true" outlineLevel="0" collapsed="false">
      <c r="A515" s="1" t="str">
        <f aca="false">IF(Catálogo!$C515="","",Catálogo!$C515&amp;"|"&amp;COUNTIF(Catálogo!$C$4:$C515,Catálogo!$C515))</f>
        <v/>
      </c>
    </row>
    <row r="516" customFormat="false" ht="15" hidden="false" customHeight="true" outlineLevel="0" collapsed="false">
      <c r="A516" s="1" t="str">
        <f aca="false">IF(Catálogo!$C516="","",Catálogo!$C516&amp;"|"&amp;COUNTIF(Catálogo!$C$4:$C516,Catálogo!$C516))</f>
        <v/>
      </c>
    </row>
    <row r="517" customFormat="false" ht="15" hidden="false" customHeight="true" outlineLevel="0" collapsed="false">
      <c r="A517" s="1" t="str">
        <f aca="false">IF(Catálogo!$C517="","",Catálogo!$C517&amp;"|"&amp;COUNTIF(Catálogo!$C$4:$C517,Catálogo!$C517))</f>
        <v/>
      </c>
    </row>
    <row r="518" customFormat="false" ht="15" hidden="false" customHeight="true" outlineLevel="0" collapsed="false">
      <c r="A518" s="1" t="str">
        <f aca="false">IF(Catálogo!$C518="","",Catálogo!$C518&amp;"|"&amp;COUNTIF(Catálogo!$C$4:$C518,Catálogo!$C518))</f>
        <v/>
      </c>
    </row>
    <row r="519" customFormat="false" ht="15" hidden="false" customHeight="true" outlineLevel="0" collapsed="false">
      <c r="A519" s="1" t="str">
        <f aca="false">IF(Catálogo!$C519="","",Catálogo!$C519&amp;"|"&amp;COUNTIF(Catálogo!$C$4:$C519,Catálogo!$C519))</f>
        <v/>
      </c>
    </row>
    <row r="520" customFormat="false" ht="15" hidden="false" customHeight="true" outlineLevel="0" collapsed="false">
      <c r="A520" s="1" t="str">
        <f aca="false">IF(Catálogo!$C520="","",Catálogo!$C520&amp;"|"&amp;COUNTIF(Catálogo!$C$4:$C520,Catálogo!$C520))</f>
        <v/>
      </c>
    </row>
    <row r="521" customFormat="false" ht="15" hidden="false" customHeight="true" outlineLevel="0" collapsed="false">
      <c r="A521" s="1" t="str">
        <f aca="false">IF(Catálogo!$C521="","",Catálogo!$C521&amp;"|"&amp;COUNTIF(Catálogo!$C$4:$C521,Catálogo!$C521))</f>
        <v/>
      </c>
    </row>
    <row r="522" customFormat="false" ht="15" hidden="false" customHeight="true" outlineLevel="0" collapsed="false">
      <c r="A522" s="1" t="str">
        <f aca="false">IF(Catálogo!$C522="","",Catálogo!$C522&amp;"|"&amp;COUNTIF(Catálogo!$C$4:$C522,Catálogo!$C522))</f>
        <v/>
      </c>
    </row>
    <row r="523" customFormat="false" ht="15" hidden="false" customHeight="true" outlineLevel="0" collapsed="false">
      <c r="A523" s="1" t="str">
        <f aca="false">IF(Catálogo!$C523="","",Catálogo!$C523&amp;"|"&amp;COUNTIF(Catálogo!$C$4:$C523,Catálogo!$C523))</f>
        <v/>
      </c>
    </row>
    <row r="524" customFormat="false" ht="15" hidden="false" customHeight="true" outlineLevel="0" collapsed="false">
      <c r="A524" s="1" t="str">
        <f aca="false">IF(Catálogo!$C524="","",Catálogo!$C524&amp;"|"&amp;COUNTIF(Catálogo!$C$4:$C524,Catálogo!$C524))</f>
        <v/>
      </c>
    </row>
    <row r="525" customFormat="false" ht="15" hidden="false" customHeight="true" outlineLevel="0" collapsed="false">
      <c r="A525" s="1" t="str">
        <f aca="false">IF(Catálogo!$C525="","",Catálogo!$C525&amp;"|"&amp;COUNTIF(Catálogo!$C$4:$C525,Catálogo!$C525))</f>
        <v/>
      </c>
    </row>
    <row r="526" customFormat="false" ht="15" hidden="false" customHeight="true" outlineLevel="0" collapsed="false">
      <c r="A526" s="1" t="str">
        <f aca="false">IF(Catálogo!$C526="","",Catálogo!$C526&amp;"|"&amp;COUNTIF(Catálogo!$C$4:$C526,Catálogo!$C526))</f>
        <v/>
      </c>
    </row>
    <row r="527" customFormat="false" ht="15" hidden="false" customHeight="true" outlineLevel="0" collapsed="false">
      <c r="A527" s="1" t="str">
        <f aca="false">IF(Catálogo!$C527="","",Catálogo!$C527&amp;"|"&amp;COUNTIF(Catálogo!$C$4:$C527,Catálogo!$C527))</f>
        <v/>
      </c>
    </row>
    <row r="528" customFormat="false" ht="15" hidden="false" customHeight="true" outlineLevel="0" collapsed="false">
      <c r="A528" s="1" t="str">
        <f aca="false">IF(Catálogo!$C528="","",Catálogo!$C528&amp;"|"&amp;COUNTIF(Catálogo!$C$4:$C528,Catálogo!$C528))</f>
        <v/>
      </c>
    </row>
    <row r="529" customFormat="false" ht="15" hidden="false" customHeight="true" outlineLevel="0" collapsed="false">
      <c r="A529" s="1" t="str">
        <f aca="false">IF(Catálogo!$C529="","",Catálogo!$C529&amp;"|"&amp;COUNTIF(Catálogo!$C$4:$C529,Catálogo!$C529))</f>
        <v/>
      </c>
    </row>
    <row r="530" customFormat="false" ht="15" hidden="false" customHeight="true" outlineLevel="0" collapsed="false">
      <c r="A530" s="1" t="str">
        <f aca="false">IF(Catálogo!$C530="","",Catálogo!$C530&amp;"|"&amp;COUNTIF(Catálogo!$C$4:$C530,Catálogo!$C530))</f>
        <v/>
      </c>
    </row>
    <row r="531" customFormat="false" ht="15" hidden="false" customHeight="true" outlineLevel="0" collapsed="false">
      <c r="A531" s="1" t="str">
        <f aca="false">IF(Catálogo!$C531="","",Catálogo!$C531&amp;"|"&amp;COUNTIF(Catálogo!$C$4:$C531,Catálogo!$C531))</f>
        <v/>
      </c>
    </row>
    <row r="532" customFormat="false" ht="15" hidden="false" customHeight="true" outlineLevel="0" collapsed="false">
      <c r="A532" s="1" t="str">
        <f aca="false">IF(Catálogo!$C532="","",Catálogo!$C532&amp;"|"&amp;COUNTIF(Catálogo!$C$4:$C532,Catálogo!$C532))</f>
        <v/>
      </c>
    </row>
    <row r="533" customFormat="false" ht="15" hidden="false" customHeight="true" outlineLevel="0" collapsed="false">
      <c r="A533" s="1" t="str">
        <f aca="false">IF(Catálogo!$C533="","",Catálogo!$C533&amp;"|"&amp;COUNTIF(Catálogo!$C$4:$C533,Catálogo!$C533))</f>
        <v/>
      </c>
    </row>
    <row r="534" customFormat="false" ht="15" hidden="false" customHeight="true" outlineLevel="0" collapsed="false">
      <c r="A534" s="1" t="str">
        <f aca="false">IF(Catálogo!$C534="","",Catálogo!$C534&amp;"|"&amp;COUNTIF(Catálogo!$C$4:$C534,Catálogo!$C534))</f>
        <v/>
      </c>
    </row>
    <row r="535" customFormat="false" ht="15" hidden="false" customHeight="true" outlineLevel="0" collapsed="false">
      <c r="A535" s="1" t="str">
        <f aca="false">IF(Catálogo!$C535="","",Catálogo!$C535&amp;"|"&amp;COUNTIF(Catálogo!$C$4:$C535,Catálogo!$C535))</f>
        <v/>
      </c>
    </row>
    <row r="536" customFormat="false" ht="15" hidden="false" customHeight="true" outlineLevel="0" collapsed="false">
      <c r="A536" s="1" t="str">
        <f aca="false">IF(Catálogo!$C536="","",Catálogo!$C536&amp;"|"&amp;COUNTIF(Catálogo!$C$4:$C536,Catálogo!$C536))</f>
        <v/>
      </c>
    </row>
    <row r="537" customFormat="false" ht="15" hidden="false" customHeight="true" outlineLevel="0" collapsed="false">
      <c r="A537" s="1" t="str">
        <f aca="false">IF(Catálogo!$C537="","",Catálogo!$C537&amp;"|"&amp;COUNTIF(Catálogo!$C$4:$C537,Catálogo!$C537))</f>
        <v/>
      </c>
    </row>
    <row r="538" customFormat="false" ht="15" hidden="false" customHeight="true" outlineLevel="0" collapsed="false">
      <c r="A538" s="1" t="str">
        <f aca="false">IF(Catálogo!$C538="","",Catálogo!$C538&amp;"|"&amp;COUNTIF(Catálogo!$C$4:$C538,Catálogo!$C538))</f>
        <v/>
      </c>
    </row>
    <row r="539" customFormat="false" ht="15" hidden="false" customHeight="true" outlineLevel="0" collapsed="false">
      <c r="A539" s="1" t="str">
        <f aca="false">IF(Catálogo!$C539="","",Catálogo!$C539&amp;"|"&amp;COUNTIF(Catálogo!$C$4:$C539,Catálogo!$C539))</f>
        <v/>
      </c>
    </row>
    <row r="540" customFormat="false" ht="15" hidden="false" customHeight="true" outlineLevel="0" collapsed="false">
      <c r="A540" s="1" t="str">
        <f aca="false">IF(Catálogo!$C540="","",Catálogo!$C540&amp;"|"&amp;COUNTIF(Catálogo!$C$4:$C540,Catálogo!$C540))</f>
        <v/>
      </c>
    </row>
    <row r="541" customFormat="false" ht="15" hidden="false" customHeight="true" outlineLevel="0" collapsed="false">
      <c r="A541" s="1" t="str">
        <f aca="false">IF(Catálogo!$C541="","",Catálogo!$C541&amp;"|"&amp;COUNTIF(Catálogo!$C$4:$C541,Catálogo!$C541))</f>
        <v/>
      </c>
    </row>
    <row r="542" customFormat="false" ht="15" hidden="false" customHeight="true" outlineLevel="0" collapsed="false">
      <c r="A542" s="1" t="str">
        <f aca="false">IF(Catálogo!$C542="","",Catálogo!$C542&amp;"|"&amp;COUNTIF(Catálogo!$C$4:$C542,Catálogo!$C542))</f>
        <v/>
      </c>
    </row>
    <row r="543" customFormat="false" ht="15" hidden="false" customHeight="true" outlineLevel="0" collapsed="false">
      <c r="A543" s="1" t="str">
        <f aca="false">IF(Catálogo!$C543="","",Catálogo!$C543&amp;"|"&amp;COUNTIF(Catálogo!$C$4:$C543,Catálogo!$C543))</f>
        <v/>
      </c>
    </row>
    <row r="544" customFormat="false" ht="15" hidden="false" customHeight="true" outlineLevel="0" collapsed="false">
      <c r="A544" s="1" t="str">
        <f aca="false">IF(Catálogo!$C544="","",Catálogo!$C544&amp;"|"&amp;COUNTIF(Catálogo!$C$4:$C544,Catálogo!$C544))</f>
        <v/>
      </c>
    </row>
    <row r="545" customFormat="false" ht="15" hidden="false" customHeight="true" outlineLevel="0" collapsed="false">
      <c r="A545" s="1" t="str">
        <f aca="false">IF(Catálogo!$C545="","",Catálogo!$C545&amp;"|"&amp;COUNTIF(Catálogo!$C$4:$C545,Catálogo!$C545))</f>
        <v/>
      </c>
    </row>
    <row r="546" customFormat="false" ht="15" hidden="false" customHeight="true" outlineLevel="0" collapsed="false">
      <c r="A546" s="1" t="str">
        <f aca="false">IF(Catálogo!$C546="","",Catálogo!$C546&amp;"|"&amp;COUNTIF(Catálogo!$C$4:$C546,Catálogo!$C546))</f>
        <v/>
      </c>
    </row>
    <row r="547" customFormat="false" ht="15" hidden="false" customHeight="true" outlineLevel="0" collapsed="false">
      <c r="A547" s="1" t="str">
        <f aca="false">IF(Catálogo!$C547="","",Catálogo!$C547&amp;"|"&amp;COUNTIF(Catálogo!$C$4:$C547,Catálogo!$C547))</f>
        <v/>
      </c>
    </row>
    <row r="548" customFormat="false" ht="15" hidden="false" customHeight="true" outlineLevel="0" collapsed="false">
      <c r="A548" s="1" t="str">
        <f aca="false">IF(Catálogo!$C548="","",Catálogo!$C548&amp;"|"&amp;COUNTIF(Catálogo!$C$4:$C548,Catálogo!$C548))</f>
        <v/>
      </c>
    </row>
    <row r="549" customFormat="false" ht="15" hidden="false" customHeight="true" outlineLevel="0" collapsed="false">
      <c r="A549" s="1" t="str">
        <f aca="false">IF(Catálogo!$C549="","",Catálogo!$C549&amp;"|"&amp;COUNTIF(Catálogo!$C$4:$C549,Catálogo!$C549))</f>
        <v/>
      </c>
    </row>
    <row r="550" customFormat="false" ht="15" hidden="false" customHeight="true" outlineLevel="0" collapsed="false">
      <c r="A550" s="1" t="str">
        <f aca="false">IF(Catálogo!$C550="","",Catálogo!$C550&amp;"|"&amp;COUNTIF(Catálogo!$C$4:$C550,Catálogo!$C550))</f>
        <v/>
      </c>
    </row>
    <row r="551" customFormat="false" ht="15" hidden="false" customHeight="true" outlineLevel="0" collapsed="false">
      <c r="A551" s="1" t="str">
        <f aca="false">IF(Catálogo!$C551="","",Catálogo!$C551&amp;"|"&amp;COUNTIF(Catálogo!$C$4:$C551,Catálogo!$C551))</f>
        <v/>
      </c>
    </row>
    <row r="552" customFormat="false" ht="15" hidden="false" customHeight="true" outlineLevel="0" collapsed="false">
      <c r="A552" s="1" t="str">
        <f aca="false">IF(Catálogo!$C552="","",Catálogo!$C552&amp;"|"&amp;COUNTIF(Catálogo!$C$4:$C552,Catálogo!$C552))</f>
        <v/>
      </c>
    </row>
    <row r="553" customFormat="false" ht="15" hidden="false" customHeight="true" outlineLevel="0" collapsed="false">
      <c r="A553" s="1" t="str">
        <f aca="false">IF(Catálogo!$C553="","",Catálogo!$C553&amp;"|"&amp;COUNTIF(Catálogo!$C$4:$C553,Catálogo!$C553))</f>
        <v/>
      </c>
    </row>
    <row r="554" customFormat="false" ht="15" hidden="false" customHeight="true" outlineLevel="0" collapsed="false">
      <c r="A554" s="1" t="str">
        <f aca="false">IF(Catálogo!$C554="","",Catálogo!$C554&amp;"|"&amp;COUNTIF(Catálogo!$C$4:$C554,Catálogo!$C554))</f>
        <v/>
      </c>
    </row>
    <row r="555" customFormat="false" ht="15" hidden="false" customHeight="true" outlineLevel="0" collapsed="false">
      <c r="A555" s="1" t="str">
        <f aca="false">IF(Catálogo!$C555="","",Catálogo!$C555&amp;"|"&amp;COUNTIF(Catálogo!$C$4:$C555,Catálogo!$C555))</f>
        <v/>
      </c>
    </row>
    <row r="556" customFormat="false" ht="15" hidden="false" customHeight="true" outlineLevel="0" collapsed="false">
      <c r="A556" s="1" t="str">
        <f aca="false">IF(Catálogo!$C556="","",Catálogo!$C556&amp;"|"&amp;COUNTIF(Catálogo!$C$4:$C556,Catálogo!$C556))</f>
        <v/>
      </c>
    </row>
    <row r="557" customFormat="false" ht="15" hidden="false" customHeight="true" outlineLevel="0" collapsed="false">
      <c r="A557" s="1" t="str">
        <f aca="false">IF(Catálogo!$C557="","",Catálogo!$C557&amp;"|"&amp;COUNTIF(Catálogo!$C$4:$C557,Catálogo!$C557))</f>
        <v/>
      </c>
    </row>
    <row r="558" customFormat="false" ht="15" hidden="false" customHeight="true" outlineLevel="0" collapsed="false">
      <c r="A558" s="1" t="str">
        <f aca="false">IF(Catálogo!$C558="","",Catálogo!$C558&amp;"|"&amp;COUNTIF(Catálogo!$C$4:$C558,Catálogo!$C558))</f>
        <v/>
      </c>
    </row>
    <row r="559" customFormat="false" ht="15" hidden="false" customHeight="true" outlineLevel="0" collapsed="false">
      <c r="A559" s="1" t="str">
        <f aca="false">IF(Catálogo!$C559="","",Catálogo!$C559&amp;"|"&amp;COUNTIF(Catálogo!$C$4:$C559,Catálogo!$C559))</f>
        <v/>
      </c>
    </row>
    <row r="560" customFormat="false" ht="15" hidden="false" customHeight="true" outlineLevel="0" collapsed="false">
      <c r="A560" s="1" t="str">
        <f aca="false">IF(Catálogo!$C560="","",Catálogo!$C560&amp;"|"&amp;COUNTIF(Catálogo!$C$4:$C560,Catálogo!$C560))</f>
        <v/>
      </c>
    </row>
    <row r="561" customFormat="false" ht="15" hidden="false" customHeight="true" outlineLevel="0" collapsed="false">
      <c r="A561" s="1" t="str">
        <f aca="false">IF(Catálogo!$C561="","",Catálogo!$C561&amp;"|"&amp;COUNTIF(Catálogo!$C$4:$C561,Catálogo!$C561))</f>
        <v/>
      </c>
    </row>
    <row r="562" customFormat="false" ht="15" hidden="false" customHeight="true" outlineLevel="0" collapsed="false">
      <c r="A562" s="1" t="str">
        <f aca="false">IF(Catálogo!$C562="","",Catálogo!$C562&amp;"|"&amp;COUNTIF(Catálogo!$C$4:$C562,Catálogo!$C562))</f>
        <v/>
      </c>
    </row>
    <row r="563" customFormat="false" ht="15" hidden="false" customHeight="true" outlineLevel="0" collapsed="false">
      <c r="A563" s="1" t="str">
        <f aca="false">IF(Catálogo!$C563="","",Catálogo!$C563&amp;"|"&amp;COUNTIF(Catálogo!$C$4:$C563,Catálogo!$C563))</f>
        <v/>
      </c>
    </row>
    <row r="564" customFormat="false" ht="15" hidden="false" customHeight="true" outlineLevel="0" collapsed="false">
      <c r="A564" s="1" t="str">
        <f aca="false">IF(Catálogo!$C564="","",Catálogo!$C564&amp;"|"&amp;COUNTIF(Catálogo!$C$4:$C564,Catálogo!$C564))</f>
        <v/>
      </c>
    </row>
    <row r="565" customFormat="false" ht="15" hidden="false" customHeight="true" outlineLevel="0" collapsed="false">
      <c r="A565" s="1" t="str">
        <f aca="false">IF(Catálogo!$C565="","",Catálogo!$C565&amp;"|"&amp;COUNTIF(Catálogo!$C$4:$C565,Catálogo!$C565))</f>
        <v/>
      </c>
    </row>
    <row r="566" customFormat="false" ht="15" hidden="false" customHeight="true" outlineLevel="0" collapsed="false">
      <c r="A566" s="1" t="str">
        <f aca="false">IF(Catálogo!$C566="","",Catálogo!$C566&amp;"|"&amp;COUNTIF(Catálogo!$C$4:$C566,Catálogo!$C566))</f>
        <v/>
      </c>
    </row>
    <row r="567" customFormat="false" ht="15" hidden="false" customHeight="true" outlineLevel="0" collapsed="false">
      <c r="A567" s="1" t="str">
        <f aca="false">IF(Catálogo!$C567="","",Catálogo!$C567&amp;"|"&amp;COUNTIF(Catálogo!$C$4:$C567,Catálogo!$C567))</f>
        <v/>
      </c>
    </row>
    <row r="568" customFormat="false" ht="15" hidden="false" customHeight="true" outlineLevel="0" collapsed="false">
      <c r="A568" s="1" t="str">
        <f aca="false">IF(Catálogo!$C568="","",Catálogo!$C568&amp;"|"&amp;COUNTIF(Catálogo!$C$4:$C568,Catálogo!$C568))</f>
        <v/>
      </c>
    </row>
    <row r="569" customFormat="false" ht="15" hidden="false" customHeight="true" outlineLevel="0" collapsed="false">
      <c r="A569" s="1" t="str">
        <f aca="false">IF(Catálogo!$C569="","",Catálogo!$C569&amp;"|"&amp;COUNTIF(Catálogo!$C$4:$C569,Catálogo!$C569))</f>
        <v/>
      </c>
    </row>
    <row r="570" customFormat="false" ht="15" hidden="false" customHeight="true" outlineLevel="0" collapsed="false">
      <c r="A570" s="1" t="str">
        <f aca="false">IF(Catálogo!$C570="","",Catálogo!$C570&amp;"|"&amp;COUNTIF(Catálogo!$C$4:$C570,Catálogo!$C570))</f>
        <v/>
      </c>
    </row>
    <row r="571" customFormat="false" ht="15" hidden="false" customHeight="true" outlineLevel="0" collapsed="false">
      <c r="A571" s="1" t="str">
        <f aca="false">IF(Catálogo!$C571="","",Catálogo!$C571&amp;"|"&amp;COUNTIF(Catálogo!$C$4:$C571,Catálogo!$C571))</f>
        <v/>
      </c>
    </row>
    <row r="572" customFormat="false" ht="15" hidden="false" customHeight="true" outlineLevel="0" collapsed="false">
      <c r="A572" s="1" t="str">
        <f aca="false">IF(Catálogo!$C572="","",Catálogo!$C572&amp;"|"&amp;COUNTIF(Catálogo!$C$4:$C572,Catálogo!$C572))</f>
        <v/>
      </c>
    </row>
    <row r="573" customFormat="false" ht="15" hidden="false" customHeight="true" outlineLevel="0" collapsed="false">
      <c r="A573" s="1" t="str">
        <f aca="false">IF(Catálogo!$C573="","",Catálogo!$C573&amp;"|"&amp;COUNTIF(Catálogo!$C$4:$C573,Catálogo!$C573))</f>
        <v/>
      </c>
    </row>
    <row r="574" customFormat="false" ht="15" hidden="false" customHeight="true" outlineLevel="0" collapsed="false">
      <c r="A574" s="1" t="str">
        <f aca="false">IF(Catálogo!$C574="","",Catálogo!$C574&amp;"|"&amp;COUNTIF(Catálogo!$C$4:$C574,Catálogo!$C574))</f>
        <v/>
      </c>
    </row>
    <row r="575" customFormat="false" ht="15" hidden="false" customHeight="true" outlineLevel="0" collapsed="false">
      <c r="A575" s="1" t="str">
        <f aca="false">IF(Catálogo!$C575="","",Catálogo!$C575&amp;"|"&amp;COUNTIF(Catálogo!$C$4:$C575,Catálogo!$C575))</f>
        <v/>
      </c>
    </row>
    <row r="576" customFormat="false" ht="15" hidden="false" customHeight="true" outlineLevel="0" collapsed="false">
      <c r="A576" s="1" t="str">
        <f aca="false">IF(Catálogo!$C576="","",Catálogo!$C576&amp;"|"&amp;COUNTIF(Catálogo!$C$4:$C576,Catálogo!$C576))</f>
        <v/>
      </c>
    </row>
    <row r="577" customFormat="false" ht="15" hidden="false" customHeight="true" outlineLevel="0" collapsed="false">
      <c r="A577" s="1" t="str">
        <f aca="false">IF(Catálogo!$C577="","",Catálogo!$C577&amp;"|"&amp;COUNTIF(Catálogo!$C$4:$C577,Catálogo!$C577))</f>
        <v/>
      </c>
    </row>
    <row r="578" customFormat="false" ht="15" hidden="false" customHeight="true" outlineLevel="0" collapsed="false">
      <c r="A578" s="1" t="str">
        <f aca="false">IF(Catálogo!$C578="","",Catálogo!$C578&amp;"|"&amp;COUNTIF(Catálogo!$C$4:$C578,Catálogo!$C578))</f>
        <v/>
      </c>
    </row>
    <row r="579" customFormat="false" ht="15" hidden="false" customHeight="true" outlineLevel="0" collapsed="false">
      <c r="A579" s="1" t="str">
        <f aca="false">IF(Catálogo!$C579="","",Catálogo!$C579&amp;"|"&amp;COUNTIF(Catálogo!$C$4:$C579,Catálogo!$C579))</f>
        <v/>
      </c>
    </row>
    <row r="580" customFormat="false" ht="15" hidden="false" customHeight="true" outlineLevel="0" collapsed="false">
      <c r="A580" s="1" t="str">
        <f aca="false">IF(Catálogo!$C580="","",Catálogo!$C580&amp;"|"&amp;COUNTIF(Catálogo!$C$4:$C580,Catálogo!$C580))</f>
        <v/>
      </c>
    </row>
    <row r="581" customFormat="false" ht="15" hidden="false" customHeight="true" outlineLevel="0" collapsed="false">
      <c r="A581" s="1" t="str">
        <f aca="false">IF(Catálogo!$C581="","",Catálogo!$C581&amp;"|"&amp;COUNTIF(Catálogo!$C$4:$C581,Catálogo!$C581))</f>
        <v/>
      </c>
    </row>
    <row r="582" customFormat="false" ht="15" hidden="false" customHeight="true" outlineLevel="0" collapsed="false">
      <c r="A582" s="1" t="str">
        <f aca="false">IF(Catálogo!$C582="","",Catálogo!$C582&amp;"|"&amp;COUNTIF(Catálogo!$C$4:$C582,Catálogo!$C582))</f>
        <v/>
      </c>
    </row>
    <row r="583" customFormat="false" ht="15" hidden="false" customHeight="true" outlineLevel="0" collapsed="false">
      <c r="A583" s="1" t="str">
        <f aca="false">IF(Catálogo!$C583="","",Catálogo!$C583&amp;"|"&amp;COUNTIF(Catálogo!$C$4:$C583,Catálogo!$C583))</f>
        <v/>
      </c>
    </row>
    <row r="584" customFormat="false" ht="15" hidden="false" customHeight="true" outlineLevel="0" collapsed="false">
      <c r="A584" s="1" t="str">
        <f aca="false">IF(Catálogo!$C584="","",Catálogo!$C584&amp;"|"&amp;COUNTIF(Catálogo!$C$4:$C584,Catálogo!$C584))</f>
        <v/>
      </c>
    </row>
    <row r="585" customFormat="false" ht="15" hidden="false" customHeight="true" outlineLevel="0" collapsed="false">
      <c r="A585" s="1" t="str">
        <f aca="false">IF(Catálogo!$C585="","",Catálogo!$C585&amp;"|"&amp;COUNTIF(Catálogo!$C$4:$C585,Catálogo!$C585))</f>
        <v/>
      </c>
    </row>
    <row r="586" customFormat="false" ht="15" hidden="false" customHeight="true" outlineLevel="0" collapsed="false">
      <c r="A586" s="1" t="str">
        <f aca="false">IF(Catálogo!$C586="","",Catálogo!$C586&amp;"|"&amp;COUNTIF(Catálogo!$C$4:$C586,Catálogo!$C586))</f>
        <v/>
      </c>
    </row>
    <row r="587" customFormat="false" ht="15" hidden="false" customHeight="true" outlineLevel="0" collapsed="false">
      <c r="A587" s="1" t="str">
        <f aca="false">IF(Catálogo!$C587="","",Catálogo!$C587&amp;"|"&amp;COUNTIF(Catálogo!$C$4:$C587,Catálogo!$C587))</f>
        <v/>
      </c>
    </row>
    <row r="588" customFormat="false" ht="15" hidden="false" customHeight="true" outlineLevel="0" collapsed="false">
      <c r="A588" s="1" t="str">
        <f aca="false">IF(Catálogo!$C588="","",Catálogo!$C588&amp;"|"&amp;COUNTIF(Catálogo!$C$4:$C588,Catálogo!$C588))</f>
        <v/>
      </c>
    </row>
    <row r="589" customFormat="false" ht="15" hidden="false" customHeight="true" outlineLevel="0" collapsed="false">
      <c r="A589" s="1" t="str">
        <f aca="false">IF(Catálogo!$C589="","",Catálogo!$C589&amp;"|"&amp;COUNTIF(Catálogo!$C$4:$C589,Catálogo!$C589))</f>
        <v/>
      </c>
    </row>
    <row r="590" customFormat="false" ht="15" hidden="false" customHeight="true" outlineLevel="0" collapsed="false">
      <c r="A590" s="1" t="str">
        <f aca="false">IF(Catálogo!$C590="","",Catálogo!$C590&amp;"|"&amp;COUNTIF(Catálogo!$C$4:$C590,Catálogo!$C590))</f>
        <v/>
      </c>
    </row>
    <row r="591" customFormat="false" ht="15" hidden="false" customHeight="true" outlineLevel="0" collapsed="false">
      <c r="A591" s="1" t="str">
        <f aca="false">IF(Catálogo!$C591="","",Catálogo!$C591&amp;"|"&amp;COUNTIF(Catálogo!$C$4:$C591,Catálogo!$C591))</f>
        <v/>
      </c>
    </row>
    <row r="592" customFormat="false" ht="15" hidden="false" customHeight="true" outlineLevel="0" collapsed="false">
      <c r="A592" s="1" t="str">
        <f aca="false">IF(Catálogo!$C592="","",Catálogo!$C592&amp;"|"&amp;COUNTIF(Catálogo!$C$4:$C592,Catálogo!$C592))</f>
        <v/>
      </c>
    </row>
    <row r="593" customFormat="false" ht="15" hidden="false" customHeight="true" outlineLevel="0" collapsed="false">
      <c r="A593" s="1" t="str">
        <f aca="false">IF(Catálogo!$C593="","",Catálogo!$C593&amp;"|"&amp;COUNTIF(Catálogo!$C$4:$C593,Catálogo!$C593))</f>
        <v/>
      </c>
    </row>
    <row r="594" customFormat="false" ht="15" hidden="false" customHeight="true" outlineLevel="0" collapsed="false">
      <c r="A594" s="1" t="str">
        <f aca="false">IF(Catálogo!$C594="","",Catálogo!$C594&amp;"|"&amp;COUNTIF(Catálogo!$C$4:$C594,Catálogo!$C594))</f>
        <v/>
      </c>
    </row>
    <row r="595" customFormat="false" ht="15" hidden="false" customHeight="true" outlineLevel="0" collapsed="false">
      <c r="A595" s="1" t="str">
        <f aca="false">IF(Catálogo!$C595="","",Catálogo!$C595&amp;"|"&amp;COUNTIF(Catálogo!$C$4:$C595,Catálogo!$C595))</f>
        <v/>
      </c>
    </row>
    <row r="596" customFormat="false" ht="15" hidden="false" customHeight="true" outlineLevel="0" collapsed="false">
      <c r="A596" s="1" t="str">
        <f aca="false">IF(Catálogo!$C596="","",Catálogo!$C596&amp;"|"&amp;COUNTIF(Catálogo!$C$4:$C596,Catálogo!$C596))</f>
        <v/>
      </c>
    </row>
    <row r="597" customFormat="false" ht="15" hidden="false" customHeight="true" outlineLevel="0" collapsed="false">
      <c r="A597" s="1" t="str">
        <f aca="false">IF(Catálogo!$C597="","",Catálogo!$C597&amp;"|"&amp;COUNTIF(Catálogo!$C$4:$C597,Catálogo!$C597))</f>
        <v/>
      </c>
    </row>
    <row r="598" customFormat="false" ht="15" hidden="false" customHeight="true" outlineLevel="0" collapsed="false">
      <c r="A598" s="1" t="str">
        <f aca="false">IF(Catálogo!$C598="","",Catálogo!$C598&amp;"|"&amp;COUNTIF(Catálogo!$C$4:$C598,Catálogo!$C598))</f>
        <v/>
      </c>
    </row>
    <row r="599" customFormat="false" ht="15" hidden="false" customHeight="true" outlineLevel="0" collapsed="false">
      <c r="A599" s="1" t="str">
        <f aca="false">IF(Catálogo!$C599="","",Catálogo!$C599&amp;"|"&amp;COUNTIF(Catálogo!$C$4:$C599,Catálogo!$C599))</f>
        <v/>
      </c>
    </row>
    <row r="600" customFormat="false" ht="15" hidden="false" customHeight="true" outlineLevel="0" collapsed="false">
      <c r="A600" s="1" t="str">
        <f aca="false">IF(Catálogo!$C600="","",Catálogo!$C600&amp;"|"&amp;COUNTIF(Catálogo!$C$4:$C600,Catálogo!$C600))</f>
        <v/>
      </c>
    </row>
    <row r="601" customFormat="false" ht="15" hidden="false" customHeight="true" outlineLevel="0" collapsed="false">
      <c r="A601" s="1" t="str">
        <f aca="false">IF(Catálogo!$C601="","",Catálogo!$C601&amp;"|"&amp;COUNTIF(Catálogo!$C$4:$C601,Catálogo!$C601))</f>
        <v/>
      </c>
    </row>
    <row r="602" customFormat="false" ht="15" hidden="false" customHeight="true" outlineLevel="0" collapsed="false">
      <c r="A602" s="1" t="str">
        <f aca="false">IF(Catálogo!$C602="","",Catálogo!$C602&amp;"|"&amp;COUNTIF(Catálogo!$C$4:$C602,Catálogo!$C602))</f>
        <v/>
      </c>
    </row>
    <row r="603" customFormat="false" ht="15" hidden="false" customHeight="true" outlineLevel="0" collapsed="false">
      <c r="A603" s="1" t="str">
        <f aca="false">IF(Catálogo!$C603="","",Catálogo!$C603&amp;"|"&amp;COUNTIF(Catálogo!$C$4:$C603,Catálogo!$C603))</f>
        <v/>
      </c>
    </row>
    <row r="604" customFormat="false" ht="15" hidden="false" customHeight="true" outlineLevel="0" collapsed="false">
      <c r="A604" s="1" t="str">
        <f aca="false">IF(Catálogo!$C604="","",Catálogo!$C604&amp;"|"&amp;COUNTIF(Catálogo!$C$4:$C604,Catálogo!$C604))</f>
        <v/>
      </c>
    </row>
    <row r="605" customFormat="false" ht="15" hidden="false" customHeight="true" outlineLevel="0" collapsed="false">
      <c r="A605" s="1" t="str">
        <f aca="false">IF(Catálogo!$C605="","",Catálogo!$C605&amp;"|"&amp;COUNTIF(Catálogo!$C$4:$C605,Catálogo!$C605))</f>
        <v/>
      </c>
    </row>
    <row r="606" customFormat="false" ht="15" hidden="false" customHeight="true" outlineLevel="0" collapsed="false">
      <c r="A606" s="1" t="str">
        <f aca="false">IF(Catálogo!$C606="","",Catálogo!$C606&amp;"|"&amp;COUNTIF(Catálogo!$C$4:$C606,Catálogo!$C606))</f>
        <v/>
      </c>
    </row>
    <row r="607" customFormat="false" ht="15" hidden="false" customHeight="true" outlineLevel="0" collapsed="false">
      <c r="A607" s="1" t="str">
        <f aca="false">IF(Catálogo!$C607="","",Catálogo!$C607&amp;"|"&amp;COUNTIF(Catálogo!$C$4:$C607,Catálogo!$C607))</f>
        <v/>
      </c>
    </row>
    <row r="608" customFormat="false" ht="15" hidden="false" customHeight="true" outlineLevel="0" collapsed="false">
      <c r="A608" s="1" t="str">
        <f aca="false">IF(Catálogo!$C608="","",Catálogo!$C608&amp;"|"&amp;COUNTIF(Catálogo!$C$4:$C608,Catálogo!$C608))</f>
        <v/>
      </c>
    </row>
    <row r="609" customFormat="false" ht="15" hidden="false" customHeight="true" outlineLevel="0" collapsed="false">
      <c r="A609" s="1" t="str">
        <f aca="false">IF(Catálogo!$C609="","",Catálogo!$C609&amp;"|"&amp;COUNTIF(Catálogo!$C$4:$C609,Catálogo!$C609))</f>
        <v/>
      </c>
    </row>
    <row r="610" customFormat="false" ht="15" hidden="false" customHeight="true" outlineLevel="0" collapsed="false">
      <c r="A610" s="1" t="str">
        <f aca="false">IF(Catálogo!$C610="","",Catálogo!$C610&amp;"|"&amp;COUNTIF(Catálogo!$C$4:$C610,Catálogo!$C610))</f>
        <v/>
      </c>
    </row>
    <row r="611" customFormat="false" ht="15" hidden="false" customHeight="true" outlineLevel="0" collapsed="false">
      <c r="A611" s="1" t="str">
        <f aca="false">IF(Catálogo!$C611="","",Catálogo!$C611&amp;"|"&amp;COUNTIF(Catálogo!$C$4:$C611,Catálogo!$C611))</f>
        <v/>
      </c>
    </row>
    <row r="612" customFormat="false" ht="15" hidden="false" customHeight="true" outlineLevel="0" collapsed="false">
      <c r="A612" s="1" t="str">
        <f aca="false">IF(Catálogo!$C612="","",Catálogo!$C612&amp;"|"&amp;COUNTIF(Catálogo!$C$4:$C612,Catálogo!$C612))</f>
        <v/>
      </c>
    </row>
    <row r="613" customFormat="false" ht="15" hidden="false" customHeight="true" outlineLevel="0" collapsed="false">
      <c r="A613" s="1" t="str">
        <f aca="false">IF(Catálogo!$C613="","",Catálogo!$C613&amp;"|"&amp;COUNTIF(Catálogo!$C$4:$C613,Catálogo!$C613))</f>
        <v/>
      </c>
    </row>
    <row r="614" customFormat="false" ht="15" hidden="false" customHeight="true" outlineLevel="0" collapsed="false">
      <c r="A614" s="1" t="str">
        <f aca="false">IF(Catálogo!$C614="","",Catálogo!$C614&amp;"|"&amp;COUNTIF(Catálogo!$C$4:$C614,Catálogo!$C614))</f>
        <v/>
      </c>
    </row>
    <row r="615" customFormat="false" ht="15" hidden="false" customHeight="true" outlineLevel="0" collapsed="false">
      <c r="A615" s="1" t="str">
        <f aca="false">IF(Catálogo!$C615="","",Catálogo!$C615&amp;"|"&amp;COUNTIF(Catálogo!$C$4:$C615,Catálogo!$C615))</f>
        <v/>
      </c>
    </row>
    <row r="616" customFormat="false" ht="15" hidden="false" customHeight="true" outlineLevel="0" collapsed="false">
      <c r="A616" s="1" t="str">
        <f aca="false">IF(Catálogo!$C616="","",Catálogo!$C616&amp;"|"&amp;COUNTIF(Catálogo!$C$4:$C616,Catálogo!$C616))</f>
        <v/>
      </c>
    </row>
    <row r="617" customFormat="false" ht="15" hidden="false" customHeight="true" outlineLevel="0" collapsed="false">
      <c r="A617" s="1" t="str">
        <f aca="false">IF(Catálogo!$C617="","",Catálogo!$C617&amp;"|"&amp;COUNTIF(Catálogo!$C$4:$C617,Catálogo!$C617))</f>
        <v/>
      </c>
    </row>
    <row r="618" customFormat="false" ht="15" hidden="false" customHeight="true" outlineLevel="0" collapsed="false">
      <c r="A618" s="1" t="str">
        <f aca="false">IF(Catálogo!$C618="","",Catálogo!$C618&amp;"|"&amp;COUNTIF(Catálogo!$C$4:$C618,Catálogo!$C618))</f>
        <v/>
      </c>
    </row>
    <row r="619" customFormat="false" ht="15" hidden="false" customHeight="true" outlineLevel="0" collapsed="false">
      <c r="A619" s="1" t="str">
        <f aca="false">IF(Catálogo!$C619="","",Catálogo!$C619&amp;"|"&amp;COUNTIF(Catálogo!$C$4:$C619,Catálogo!$C619))</f>
        <v/>
      </c>
    </row>
    <row r="620" customFormat="false" ht="15" hidden="false" customHeight="true" outlineLevel="0" collapsed="false">
      <c r="A620" s="1" t="str">
        <f aca="false">IF(Catálogo!$C620="","",Catálogo!$C620&amp;"|"&amp;COUNTIF(Catálogo!$C$4:$C620,Catálogo!$C620))</f>
        <v/>
      </c>
    </row>
    <row r="621" customFormat="false" ht="15" hidden="false" customHeight="true" outlineLevel="0" collapsed="false">
      <c r="A621" s="1" t="str">
        <f aca="false">IF(Catálogo!$C621="","",Catálogo!$C621&amp;"|"&amp;COUNTIF(Catálogo!$C$4:$C621,Catálogo!$C621))</f>
        <v/>
      </c>
    </row>
    <row r="622" customFormat="false" ht="15" hidden="false" customHeight="true" outlineLevel="0" collapsed="false">
      <c r="A622" s="1" t="str">
        <f aca="false">IF(Catálogo!$C622="","",Catálogo!$C622&amp;"|"&amp;COUNTIF(Catálogo!$C$4:$C622,Catálogo!$C622))</f>
        <v/>
      </c>
    </row>
    <row r="623" customFormat="false" ht="15" hidden="false" customHeight="true" outlineLevel="0" collapsed="false">
      <c r="A623" s="1" t="str">
        <f aca="false">IF(Catálogo!$C623="","",Catálogo!$C623&amp;"|"&amp;COUNTIF(Catálogo!$C$4:$C623,Catálogo!$C623))</f>
        <v/>
      </c>
    </row>
    <row r="624" customFormat="false" ht="15" hidden="false" customHeight="true" outlineLevel="0" collapsed="false">
      <c r="A624" s="1" t="str">
        <f aca="false">IF(Catálogo!$C624="","",Catálogo!$C624&amp;"|"&amp;COUNTIF(Catálogo!$C$4:$C624,Catálogo!$C624))</f>
        <v/>
      </c>
    </row>
    <row r="625" customFormat="false" ht="15" hidden="false" customHeight="true" outlineLevel="0" collapsed="false">
      <c r="A625" s="1" t="str">
        <f aca="false">IF(Catálogo!$C625="","",Catálogo!$C625&amp;"|"&amp;COUNTIF(Catálogo!$C$4:$C625,Catálogo!$C625))</f>
        <v/>
      </c>
    </row>
    <row r="626" customFormat="false" ht="15" hidden="false" customHeight="true" outlineLevel="0" collapsed="false">
      <c r="A626" s="1" t="str">
        <f aca="false">IF(Catálogo!$C626="","",Catálogo!$C626&amp;"|"&amp;COUNTIF(Catálogo!$C$4:$C626,Catálogo!$C626))</f>
        <v/>
      </c>
    </row>
    <row r="627" customFormat="false" ht="15" hidden="false" customHeight="true" outlineLevel="0" collapsed="false">
      <c r="A627" s="1" t="str">
        <f aca="false">IF(Catálogo!$C627="","",Catálogo!$C627&amp;"|"&amp;COUNTIF(Catálogo!$C$4:$C627,Catálogo!$C627))</f>
        <v/>
      </c>
    </row>
    <row r="628" customFormat="false" ht="15" hidden="false" customHeight="true" outlineLevel="0" collapsed="false">
      <c r="A628" s="1" t="str">
        <f aca="false">IF(Catálogo!$C628="","",Catálogo!$C628&amp;"|"&amp;COUNTIF(Catálogo!$C$4:$C628,Catálogo!$C628))</f>
        <v/>
      </c>
    </row>
    <row r="629" customFormat="false" ht="15" hidden="false" customHeight="true" outlineLevel="0" collapsed="false">
      <c r="A629" s="1" t="str">
        <f aca="false">IF(Catálogo!$C629="","",Catálogo!$C629&amp;"|"&amp;COUNTIF(Catálogo!$C$4:$C629,Catálogo!$C629))</f>
        <v/>
      </c>
    </row>
    <row r="630" customFormat="false" ht="15" hidden="false" customHeight="true" outlineLevel="0" collapsed="false">
      <c r="A630" s="1" t="str">
        <f aca="false">IF(Catálogo!$C630="","",Catálogo!$C630&amp;"|"&amp;COUNTIF(Catálogo!$C$4:$C630,Catálogo!$C630))</f>
        <v/>
      </c>
    </row>
    <row r="631" customFormat="false" ht="15" hidden="false" customHeight="true" outlineLevel="0" collapsed="false">
      <c r="A631" s="1" t="str">
        <f aca="false">IF(Catálogo!$C631="","",Catálogo!$C631&amp;"|"&amp;COUNTIF(Catálogo!$C$4:$C631,Catálogo!$C631))</f>
        <v/>
      </c>
    </row>
    <row r="632" customFormat="false" ht="15" hidden="false" customHeight="true" outlineLevel="0" collapsed="false">
      <c r="A632" s="1" t="str">
        <f aca="false">IF(Catálogo!$C632="","",Catálogo!$C632&amp;"|"&amp;COUNTIF(Catálogo!$C$4:$C632,Catálogo!$C632))</f>
        <v/>
      </c>
    </row>
    <row r="633" customFormat="false" ht="15" hidden="false" customHeight="true" outlineLevel="0" collapsed="false">
      <c r="A633" s="1" t="str">
        <f aca="false">IF(Catálogo!$C633="","",Catálogo!$C633&amp;"|"&amp;COUNTIF(Catálogo!$C$4:$C633,Catálogo!$C633))</f>
        <v/>
      </c>
    </row>
    <row r="634" customFormat="false" ht="15" hidden="false" customHeight="true" outlineLevel="0" collapsed="false">
      <c r="A634" s="1" t="str">
        <f aca="false">IF(Catálogo!$C634="","",Catálogo!$C634&amp;"|"&amp;COUNTIF(Catálogo!$C$4:$C634,Catálogo!$C634))</f>
        <v/>
      </c>
    </row>
    <row r="635" customFormat="false" ht="15" hidden="false" customHeight="true" outlineLevel="0" collapsed="false">
      <c r="A635" s="1" t="str">
        <f aca="false">IF(Catálogo!$C635="","",Catálogo!$C635&amp;"|"&amp;COUNTIF(Catálogo!$C$4:$C635,Catálogo!$C635))</f>
        <v/>
      </c>
    </row>
    <row r="636" customFormat="false" ht="15" hidden="false" customHeight="true" outlineLevel="0" collapsed="false">
      <c r="A636" s="1" t="str">
        <f aca="false">IF(Catálogo!$C636="","",Catálogo!$C636&amp;"|"&amp;COUNTIF(Catálogo!$C$4:$C636,Catálogo!$C636))</f>
        <v/>
      </c>
    </row>
    <row r="637" customFormat="false" ht="15" hidden="false" customHeight="true" outlineLevel="0" collapsed="false">
      <c r="A637" s="1" t="str">
        <f aca="false">IF(Catálogo!$C637="","",Catálogo!$C637&amp;"|"&amp;COUNTIF(Catálogo!$C$4:$C637,Catálogo!$C637))</f>
        <v/>
      </c>
    </row>
    <row r="638" customFormat="false" ht="15" hidden="false" customHeight="true" outlineLevel="0" collapsed="false">
      <c r="A638" s="1" t="str">
        <f aca="false">IF(Catálogo!$C638="","",Catálogo!$C638&amp;"|"&amp;COUNTIF(Catálogo!$C$4:$C638,Catálogo!$C638))</f>
        <v/>
      </c>
    </row>
    <row r="639" customFormat="false" ht="15" hidden="false" customHeight="true" outlineLevel="0" collapsed="false">
      <c r="A639" s="1" t="str">
        <f aca="false">IF(Catálogo!$C639="","",Catálogo!$C639&amp;"|"&amp;COUNTIF(Catálogo!$C$4:$C639,Catálogo!$C639))</f>
        <v/>
      </c>
    </row>
    <row r="640" customFormat="false" ht="15" hidden="false" customHeight="true" outlineLevel="0" collapsed="false">
      <c r="A640" s="1" t="str">
        <f aca="false">IF(Catálogo!$C640="","",Catálogo!$C640&amp;"|"&amp;COUNTIF(Catálogo!$C$4:$C640,Catálogo!$C640))</f>
        <v/>
      </c>
    </row>
    <row r="641" customFormat="false" ht="15" hidden="false" customHeight="true" outlineLevel="0" collapsed="false">
      <c r="A641" s="1" t="str">
        <f aca="false">IF(Catálogo!$C641="","",Catálogo!$C641&amp;"|"&amp;COUNTIF(Catálogo!$C$4:$C641,Catálogo!$C641))</f>
        <v/>
      </c>
    </row>
    <row r="642" customFormat="false" ht="15" hidden="false" customHeight="true" outlineLevel="0" collapsed="false">
      <c r="A642" s="1" t="str">
        <f aca="false">IF(Catálogo!$C642="","",Catálogo!$C642&amp;"|"&amp;COUNTIF(Catálogo!$C$4:$C642,Catálogo!$C642))</f>
        <v/>
      </c>
    </row>
    <row r="643" customFormat="false" ht="15" hidden="false" customHeight="true" outlineLevel="0" collapsed="false">
      <c r="A643" s="1" t="str">
        <f aca="false">IF(Catálogo!$C643="","",Catálogo!$C643&amp;"|"&amp;COUNTIF(Catálogo!$C$4:$C643,Catálogo!$C643))</f>
        <v/>
      </c>
    </row>
    <row r="644" customFormat="false" ht="15" hidden="false" customHeight="true" outlineLevel="0" collapsed="false">
      <c r="A644" s="1" t="str">
        <f aca="false">IF(Catálogo!$C644="","",Catálogo!$C644&amp;"|"&amp;COUNTIF(Catálogo!$C$4:$C644,Catálogo!$C644))</f>
        <v/>
      </c>
    </row>
    <row r="645" customFormat="false" ht="15" hidden="false" customHeight="true" outlineLevel="0" collapsed="false">
      <c r="A645" s="1" t="str">
        <f aca="false">IF(Catálogo!$C645="","",Catálogo!$C645&amp;"|"&amp;COUNTIF(Catálogo!$C$4:$C645,Catálogo!$C645))</f>
        <v/>
      </c>
    </row>
    <row r="646" customFormat="false" ht="15" hidden="false" customHeight="true" outlineLevel="0" collapsed="false">
      <c r="A646" s="1" t="str">
        <f aca="false">IF(Catálogo!$C646="","",Catálogo!$C646&amp;"|"&amp;COUNTIF(Catálogo!$C$4:$C646,Catálogo!$C646))</f>
        <v/>
      </c>
    </row>
    <row r="647" customFormat="false" ht="15" hidden="false" customHeight="true" outlineLevel="0" collapsed="false">
      <c r="A647" s="1" t="str">
        <f aca="false">IF(Catálogo!$C647="","",Catálogo!$C647&amp;"|"&amp;COUNTIF(Catálogo!$C$4:$C647,Catálogo!$C647))</f>
        <v/>
      </c>
    </row>
    <row r="648" customFormat="false" ht="15" hidden="false" customHeight="true" outlineLevel="0" collapsed="false">
      <c r="A648" s="1" t="str">
        <f aca="false">IF(Catálogo!$C648="","",Catálogo!$C648&amp;"|"&amp;COUNTIF(Catálogo!$C$4:$C648,Catálogo!$C648))</f>
        <v/>
      </c>
    </row>
    <row r="649" customFormat="false" ht="15" hidden="false" customHeight="true" outlineLevel="0" collapsed="false">
      <c r="A649" s="1" t="str">
        <f aca="false">IF(Catálogo!$C649="","",Catálogo!$C649&amp;"|"&amp;COUNTIF(Catálogo!$C$4:$C649,Catálogo!$C649))</f>
        <v/>
      </c>
    </row>
    <row r="650" customFormat="false" ht="15" hidden="false" customHeight="true" outlineLevel="0" collapsed="false">
      <c r="A650" s="1" t="str">
        <f aca="false">IF(Catálogo!$C650="","",Catálogo!$C650&amp;"|"&amp;COUNTIF(Catálogo!$C$4:$C650,Catálogo!$C650))</f>
        <v/>
      </c>
    </row>
    <row r="651" customFormat="false" ht="15" hidden="false" customHeight="true" outlineLevel="0" collapsed="false">
      <c r="A651" s="1" t="str">
        <f aca="false">IF(Catálogo!$C651="","",Catálogo!$C651&amp;"|"&amp;COUNTIF(Catálogo!$C$4:$C651,Catálogo!$C651))</f>
        <v/>
      </c>
    </row>
    <row r="652" customFormat="false" ht="15" hidden="false" customHeight="true" outlineLevel="0" collapsed="false">
      <c r="A652" s="1" t="str">
        <f aca="false">IF(Catálogo!$C652="","",Catálogo!$C652&amp;"|"&amp;COUNTIF(Catálogo!$C$4:$C652,Catálogo!$C652))</f>
        <v/>
      </c>
    </row>
    <row r="653" customFormat="false" ht="15" hidden="false" customHeight="true" outlineLevel="0" collapsed="false">
      <c r="A653" s="1" t="str">
        <f aca="false">IF(Catálogo!$C653="","",Catálogo!$C653&amp;"|"&amp;COUNTIF(Catálogo!$C$4:$C653,Catálogo!$C653))</f>
        <v/>
      </c>
    </row>
    <row r="654" customFormat="false" ht="15" hidden="false" customHeight="true" outlineLevel="0" collapsed="false">
      <c r="A654" s="1" t="str">
        <f aca="false">IF(Catálogo!$C654="","",Catálogo!$C654&amp;"|"&amp;COUNTIF(Catálogo!$C$4:$C654,Catálogo!$C654))</f>
        <v/>
      </c>
    </row>
    <row r="655" customFormat="false" ht="15" hidden="false" customHeight="true" outlineLevel="0" collapsed="false">
      <c r="A655" s="1" t="str">
        <f aca="false">IF(Catálogo!$C655="","",Catálogo!$C655&amp;"|"&amp;COUNTIF(Catálogo!$C$4:$C655,Catálogo!$C655))</f>
        <v/>
      </c>
    </row>
    <row r="656" customFormat="false" ht="15" hidden="false" customHeight="true" outlineLevel="0" collapsed="false">
      <c r="A656" s="1" t="str">
        <f aca="false">IF(Catálogo!$C656="","",Catálogo!$C656&amp;"|"&amp;COUNTIF(Catálogo!$C$4:$C656,Catálogo!$C656))</f>
        <v/>
      </c>
    </row>
    <row r="657" customFormat="false" ht="15" hidden="false" customHeight="true" outlineLevel="0" collapsed="false">
      <c r="A657" s="1" t="str">
        <f aca="false">IF(Catálogo!$C657="","",Catálogo!$C657&amp;"|"&amp;COUNTIF(Catálogo!$C$4:$C657,Catálogo!$C657))</f>
        <v/>
      </c>
    </row>
    <row r="658" customFormat="false" ht="15" hidden="false" customHeight="true" outlineLevel="0" collapsed="false">
      <c r="A658" s="1" t="str">
        <f aca="false">IF(Catálogo!$C658="","",Catálogo!$C658&amp;"|"&amp;COUNTIF(Catálogo!$C$4:$C658,Catálogo!$C658))</f>
        <v/>
      </c>
    </row>
    <row r="659" customFormat="false" ht="15" hidden="false" customHeight="true" outlineLevel="0" collapsed="false">
      <c r="A659" s="1" t="str">
        <f aca="false">IF(Catálogo!$C659="","",Catálogo!$C659&amp;"|"&amp;COUNTIF(Catálogo!$C$4:$C659,Catálogo!$C659))</f>
        <v/>
      </c>
    </row>
    <row r="660" customFormat="false" ht="15" hidden="false" customHeight="true" outlineLevel="0" collapsed="false">
      <c r="A660" s="1" t="str">
        <f aca="false">IF(Catálogo!$C660="","",Catálogo!$C660&amp;"|"&amp;COUNTIF(Catálogo!$C$4:$C660,Catálogo!$C660))</f>
        <v/>
      </c>
    </row>
    <row r="661" customFormat="false" ht="15" hidden="false" customHeight="true" outlineLevel="0" collapsed="false">
      <c r="A661" s="1" t="str">
        <f aca="false">IF(Catálogo!$C661="","",Catálogo!$C661&amp;"|"&amp;COUNTIF(Catálogo!$C$4:$C661,Catálogo!$C661))</f>
        <v/>
      </c>
    </row>
    <row r="662" customFormat="false" ht="15" hidden="false" customHeight="true" outlineLevel="0" collapsed="false">
      <c r="A662" s="1" t="str">
        <f aca="false">IF(Catálogo!$C662="","",Catálogo!$C662&amp;"|"&amp;COUNTIF(Catálogo!$C$4:$C662,Catálogo!$C662))</f>
        <v/>
      </c>
    </row>
    <row r="663" customFormat="false" ht="15" hidden="false" customHeight="true" outlineLevel="0" collapsed="false">
      <c r="A663" s="1" t="str">
        <f aca="false">IF(Catálogo!$C663="","",Catálogo!$C663&amp;"|"&amp;COUNTIF(Catálogo!$C$4:$C663,Catálogo!$C663))</f>
        <v/>
      </c>
    </row>
    <row r="664" customFormat="false" ht="15" hidden="false" customHeight="true" outlineLevel="0" collapsed="false">
      <c r="A664" s="1" t="str">
        <f aca="false">IF(Catálogo!$C664="","",Catálogo!$C664&amp;"|"&amp;COUNTIF(Catálogo!$C$4:$C664,Catálogo!$C664))</f>
        <v/>
      </c>
    </row>
    <row r="665" customFormat="false" ht="15" hidden="false" customHeight="true" outlineLevel="0" collapsed="false">
      <c r="A665" s="1" t="str">
        <f aca="false">IF(Catálogo!$C665="","",Catálogo!$C665&amp;"|"&amp;COUNTIF(Catálogo!$C$4:$C665,Catálogo!$C665))</f>
        <v/>
      </c>
    </row>
    <row r="666" customFormat="false" ht="15" hidden="false" customHeight="true" outlineLevel="0" collapsed="false">
      <c r="A666" s="1" t="str">
        <f aca="false">IF(Catálogo!$C666="","",Catálogo!$C666&amp;"|"&amp;COUNTIF(Catálogo!$C$4:$C666,Catálogo!$C666))</f>
        <v/>
      </c>
    </row>
    <row r="667" customFormat="false" ht="15" hidden="false" customHeight="true" outlineLevel="0" collapsed="false">
      <c r="A667" s="1" t="str">
        <f aca="false">IF(Catálogo!$C667="","",Catálogo!$C667&amp;"|"&amp;COUNTIF(Catálogo!$C$4:$C667,Catálogo!$C667))</f>
        <v/>
      </c>
    </row>
    <row r="668" customFormat="false" ht="15" hidden="false" customHeight="true" outlineLevel="0" collapsed="false">
      <c r="A668" s="1" t="str">
        <f aca="false">IF(Catálogo!$C668="","",Catálogo!$C668&amp;"|"&amp;COUNTIF(Catálogo!$C$4:$C668,Catálogo!$C668))</f>
        <v/>
      </c>
    </row>
    <row r="669" customFormat="false" ht="15" hidden="false" customHeight="true" outlineLevel="0" collapsed="false">
      <c r="A669" s="1" t="str">
        <f aca="false">IF(Catálogo!$C669="","",Catálogo!$C669&amp;"|"&amp;COUNTIF(Catálogo!$C$4:$C669,Catálogo!$C669))</f>
        <v/>
      </c>
    </row>
    <row r="670" customFormat="false" ht="15" hidden="false" customHeight="true" outlineLevel="0" collapsed="false">
      <c r="A670" s="1" t="str">
        <f aca="false">IF(Catálogo!$C670="","",Catálogo!$C670&amp;"|"&amp;COUNTIF(Catálogo!$C$4:$C670,Catálogo!$C670))</f>
        <v/>
      </c>
    </row>
    <row r="671" customFormat="false" ht="15" hidden="false" customHeight="true" outlineLevel="0" collapsed="false">
      <c r="A671" s="1" t="str">
        <f aca="false">IF(Catálogo!$C671="","",Catálogo!$C671&amp;"|"&amp;COUNTIF(Catálogo!$C$4:$C671,Catálogo!$C671))</f>
        <v/>
      </c>
    </row>
    <row r="672" customFormat="false" ht="15" hidden="false" customHeight="true" outlineLevel="0" collapsed="false">
      <c r="A672" s="1" t="str">
        <f aca="false">IF(Catálogo!$C672="","",Catálogo!$C672&amp;"|"&amp;COUNTIF(Catálogo!$C$4:$C672,Catálogo!$C672))</f>
        <v/>
      </c>
    </row>
    <row r="673" customFormat="false" ht="15" hidden="false" customHeight="true" outlineLevel="0" collapsed="false">
      <c r="A673" s="1" t="str">
        <f aca="false">IF(Catálogo!$C673="","",Catálogo!$C673&amp;"|"&amp;COUNTIF(Catálogo!$C$4:$C673,Catálogo!$C673))</f>
        <v/>
      </c>
    </row>
    <row r="674" customFormat="false" ht="15" hidden="false" customHeight="true" outlineLevel="0" collapsed="false">
      <c r="A674" s="1" t="str">
        <f aca="false">IF(Catálogo!$C674="","",Catálogo!$C674&amp;"|"&amp;COUNTIF(Catálogo!$C$4:$C674,Catálogo!$C674))</f>
        <v/>
      </c>
    </row>
    <row r="675" customFormat="false" ht="15" hidden="false" customHeight="true" outlineLevel="0" collapsed="false">
      <c r="A675" s="1" t="str">
        <f aca="false">IF(Catálogo!$C675="","",Catálogo!$C675&amp;"|"&amp;COUNTIF(Catálogo!$C$4:$C675,Catálogo!$C675))</f>
        <v/>
      </c>
    </row>
    <row r="676" customFormat="false" ht="15" hidden="false" customHeight="true" outlineLevel="0" collapsed="false">
      <c r="A676" s="1" t="str">
        <f aca="false">IF(Catálogo!$C676="","",Catálogo!$C676&amp;"|"&amp;COUNTIF(Catálogo!$C$4:$C676,Catálogo!$C676))</f>
        <v/>
      </c>
    </row>
    <row r="677" customFormat="false" ht="15" hidden="false" customHeight="true" outlineLevel="0" collapsed="false">
      <c r="A677" s="1" t="str">
        <f aca="false">IF(Catálogo!$C677="","",Catálogo!$C677&amp;"|"&amp;COUNTIF(Catálogo!$C$4:$C677,Catálogo!$C677))</f>
        <v/>
      </c>
    </row>
    <row r="678" customFormat="false" ht="15" hidden="false" customHeight="true" outlineLevel="0" collapsed="false">
      <c r="A678" s="1" t="str">
        <f aca="false">IF(Catálogo!$C678="","",Catálogo!$C678&amp;"|"&amp;COUNTIF(Catálogo!$C$4:$C678,Catálogo!$C678))</f>
        <v/>
      </c>
    </row>
    <row r="679" customFormat="false" ht="15" hidden="false" customHeight="true" outlineLevel="0" collapsed="false">
      <c r="A679" s="1" t="str">
        <f aca="false">IF(Catálogo!$C679="","",Catálogo!$C679&amp;"|"&amp;COUNTIF(Catálogo!$C$4:$C679,Catálogo!$C679))</f>
        <v/>
      </c>
    </row>
    <row r="680" customFormat="false" ht="15" hidden="false" customHeight="true" outlineLevel="0" collapsed="false">
      <c r="A680" s="1" t="str">
        <f aca="false">IF(Catálogo!$C680="","",Catálogo!$C680&amp;"|"&amp;COUNTIF(Catálogo!$C$4:$C680,Catálogo!$C680))</f>
        <v/>
      </c>
    </row>
    <row r="681" customFormat="false" ht="15" hidden="false" customHeight="true" outlineLevel="0" collapsed="false">
      <c r="A681" s="1" t="str">
        <f aca="false">IF(Catálogo!$C681="","",Catálogo!$C681&amp;"|"&amp;COUNTIF(Catálogo!$C$4:$C681,Catálogo!$C681))</f>
        <v/>
      </c>
    </row>
    <row r="682" customFormat="false" ht="15" hidden="false" customHeight="true" outlineLevel="0" collapsed="false">
      <c r="A682" s="1" t="str">
        <f aca="false">IF(Catálogo!$C682="","",Catálogo!$C682&amp;"|"&amp;COUNTIF(Catálogo!$C$4:$C682,Catálogo!$C682))</f>
        <v/>
      </c>
    </row>
    <row r="683" customFormat="false" ht="15" hidden="false" customHeight="true" outlineLevel="0" collapsed="false">
      <c r="A683" s="1" t="str">
        <f aca="false">IF(Catálogo!$C683="","",Catálogo!$C683&amp;"|"&amp;COUNTIF(Catálogo!$C$4:$C683,Catálogo!$C683))</f>
        <v/>
      </c>
    </row>
    <row r="684" customFormat="false" ht="15" hidden="false" customHeight="true" outlineLevel="0" collapsed="false">
      <c r="A684" s="1" t="str">
        <f aca="false">IF(Catálogo!$C684="","",Catálogo!$C684&amp;"|"&amp;COUNTIF(Catálogo!$C$4:$C684,Catálogo!$C684))</f>
        <v/>
      </c>
    </row>
    <row r="685" customFormat="false" ht="15" hidden="false" customHeight="true" outlineLevel="0" collapsed="false">
      <c r="A685" s="1" t="str">
        <f aca="false">IF(Catálogo!$C685="","",Catálogo!$C685&amp;"|"&amp;COUNTIF(Catálogo!$C$4:$C685,Catálogo!$C685))</f>
        <v/>
      </c>
    </row>
    <row r="686" customFormat="false" ht="15" hidden="false" customHeight="true" outlineLevel="0" collapsed="false">
      <c r="A686" s="1" t="str">
        <f aca="false">IF(Catálogo!$C686="","",Catálogo!$C686&amp;"|"&amp;COUNTIF(Catálogo!$C$4:$C686,Catálogo!$C686))</f>
        <v/>
      </c>
    </row>
    <row r="687" customFormat="false" ht="15" hidden="false" customHeight="true" outlineLevel="0" collapsed="false">
      <c r="A687" s="1" t="str">
        <f aca="false">IF(Catálogo!$C687="","",Catálogo!$C687&amp;"|"&amp;COUNTIF(Catálogo!$C$4:$C687,Catálogo!$C687))</f>
        <v/>
      </c>
    </row>
    <row r="688" customFormat="false" ht="15" hidden="false" customHeight="true" outlineLevel="0" collapsed="false">
      <c r="A688" s="1" t="str">
        <f aca="false">IF(Catálogo!$C688="","",Catálogo!$C688&amp;"|"&amp;COUNTIF(Catálogo!$C$4:$C688,Catálogo!$C688))</f>
        <v/>
      </c>
    </row>
    <row r="689" customFormat="false" ht="15" hidden="false" customHeight="true" outlineLevel="0" collapsed="false">
      <c r="A689" s="1" t="str">
        <f aca="false">IF(Catálogo!$C689="","",Catálogo!$C689&amp;"|"&amp;COUNTIF(Catálogo!$C$4:$C689,Catálogo!$C689))</f>
        <v/>
      </c>
    </row>
    <row r="690" customFormat="false" ht="15" hidden="false" customHeight="true" outlineLevel="0" collapsed="false">
      <c r="A690" s="1" t="str">
        <f aca="false">IF(Catálogo!$C690="","",Catálogo!$C690&amp;"|"&amp;COUNTIF(Catálogo!$C$4:$C690,Catálogo!$C690))</f>
        <v/>
      </c>
    </row>
    <row r="691" customFormat="false" ht="15" hidden="false" customHeight="true" outlineLevel="0" collapsed="false">
      <c r="A691" s="1" t="str">
        <f aca="false">IF(Catálogo!$C691="","",Catálogo!$C691&amp;"|"&amp;COUNTIF(Catálogo!$C$4:$C691,Catálogo!$C691))</f>
        <v/>
      </c>
    </row>
    <row r="692" customFormat="false" ht="15" hidden="false" customHeight="true" outlineLevel="0" collapsed="false">
      <c r="A692" s="1" t="str">
        <f aca="false">IF(Catálogo!$C692="","",Catálogo!$C692&amp;"|"&amp;COUNTIF(Catálogo!$C$4:$C692,Catálogo!$C692))</f>
        <v/>
      </c>
    </row>
    <row r="693" customFormat="false" ht="15" hidden="false" customHeight="true" outlineLevel="0" collapsed="false">
      <c r="A693" s="1" t="str">
        <f aca="false">IF(Catálogo!$C693="","",Catálogo!$C693&amp;"|"&amp;COUNTIF(Catálogo!$C$4:$C693,Catálogo!$C693))</f>
        <v/>
      </c>
    </row>
    <row r="694" customFormat="false" ht="15" hidden="false" customHeight="true" outlineLevel="0" collapsed="false">
      <c r="A694" s="1" t="str">
        <f aca="false">IF(Catálogo!$C694="","",Catálogo!$C694&amp;"|"&amp;COUNTIF(Catálogo!$C$4:$C694,Catálogo!$C694))</f>
        <v/>
      </c>
    </row>
    <row r="695" customFormat="false" ht="15" hidden="false" customHeight="true" outlineLevel="0" collapsed="false">
      <c r="A695" s="1" t="str">
        <f aca="false">IF(Catálogo!$C695="","",Catálogo!$C695&amp;"|"&amp;COUNTIF(Catálogo!$C$4:$C695,Catálogo!$C695))</f>
        <v/>
      </c>
    </row>
    <row r="696" customFormat="false" ht="15" hidden="false" customHeight="true" outlineLevel="0" collapsed="false">
      <c r="A696" s="1" t="str">
        <f aca="false">IF(Catálogo!$C696="","",Catálogo!$C696&amp;"|"&amp;COUNTIF(Catálogo!$C$4:$C696,Catálogo!$C696))</f>
        <v/>
      </c>
    </row>
    <row r="697" customFormat="false" ht="15" hidden="false" customHeight="true" outlineLevel="0" collapsed="false">
      <c r="A697" s="1" t="str">
        <f aca="false">IF(Catálogo!$C697="","",Catálogo!$C697&amp;"|"&amp;COUNTIF(Catálogo!$C$4:$C697,Catálogo!$C697))</f>
        <v/>
      </c>
    </row>
    <row r="698" customFormat="false" ht="15" hidden="false" customHeight="true" outlineLevel="0" collapsed="false">
      <c r="A698" s="1" t="str">
        <f aca="false">IF(Catálogo!$C698="","",Catálogo!$C698&amp;"|"&amp;COUNTIF(Catálogo!$C$4:$C698,Catálogo!$C698))</f>
        <v/>
      </c>
    </row>
    <row r="699" customFormat="false" ht="15" hidden="false" customHeight="true" outlineLevel="0" collapsed="false">
      <c r="A699" s="1" t="str">
        <f aca="false">IF(Catálogo!$C699="","",Catálogo!$C699&amp;"|"&amp;COUNTIF(Catálogo!$C$4:$C699,Catálogo!$C699))</f>
        <v/>
      </c>
    </row>
    <row r="700" customFormat="false" ht="15" hidden="false" customHeight="true" outlineLevel="0" collapsed="false">
      <c r="A700" s="1" t="str">
        <f aca="false">IF(Catálogo!$C700="","",Catálogo!$C700&amp;"|"&amp;COUNTIF(Catálogo!$C$4:$C700,Catálogo!$C700))</f>
        <v/>
      </c>
    </row>
    <row r="701" customFormat="false" ht="15" hidden="false" customHeight="true" outlineLevel="0" collapsed="false">
      <c r="A701" s="1" t="str">
        <f aca="false">IF(Catálogo!$C701="","",Catálogo!$C701&amp;"|"&amp;COUNTIF(Catálogo!$C$4:$C701,Catálogo!$C701))</f>
        <v/>
      </c>
    </row>
    <row r="702" customFormat="false" ht="15" hidden="false" customHeight="true" outlineLevel="0" collapsed="false">
      <c r="A702" s="1" t="str">
        <f aca="false">IF(Catálogo!$C702="","",Catálogo!$C702&amp;"|"&amp;COUNTIF(Catálogo!$C$4:$C702,Catálogo!$C702))</f>
        <v/>
      </c>
    </row>
    <row r="703" customFormat="false" ht="15" hidden="false" customHeight="true" outlineLevel="0" collapsed="false">
      <c r="A703" s="1" t="str">
        <f aca="false">IF(Catálogo!$C703="","",Catálogo!$C703&amp;"|"&amp;COUNTIF(Catálogo!$C$4:$C703,Catálogo!$C703))</f>
        <v/>
      </c>
    </row>
    <row r="704" customFormat="false" ht="15" hidden="false" customHeight="true" outlineLevel="0" collapsed="false">
      <c r="A704" s="1" t="str">
        <f aca="false">IF(Catálogo!$C704="","",Catálogo!$C704&amp;"|"&amp;COUNTIF(Catálogo!$C$4:$C704,Catálogo!$C704))</f>
        <v/>
      </c>
    </row>
    <row r="705" customFormat="false" ht="15" hidden="false" customHeight="true" outlineLevel="0" collapsed="false">
      <c r="A705" s="1" t="str">
        <f aca="false">IF(Catálogo!$C705="","",Catálogo!$C705&amp;"|"&amp;COUNTIF(Catálogo!$C$4:$C705,Catálogo!$C705))</f>
        <v/>
      </c>
    </row>
    <row r="706" customFormat="false" ht="15" hidden="false" customHeight="true" outlineLevel="0" collapsed="false">
      <c r="A706" s="1" t="str">
        <f aca="false">IF(Catálogo!$C706="","",Catálogo!$C706&amp;"|"&amp;COUNTIF(Catálogo!$C$4:$C706,Catálogo!$C706))</f>
        <v/>
      </c>
    </row>
    <row r="707" customFormat="false" ht="15" hidden="false" customHeight="true" outlineLevel="0" collapsed="false">
      <c r="A707" s="1" t="str">
        <f aca="false">IF(Catálogo!$C707="","",Catálogo!$C707&amp;"|"&amp;COUNTIF(Catálogo!$C$4:$C707,Catálogo!$C707))</f>
        <v/>
      </c>
    </row>
    <row r="708" customFormat="false" ht="15" hidden="false" customHeight="true" outlineLevel="0" collapsed="false">
      <c r="A708" s="1" t="str">
        <f aca="false">IF(Catálogo!$C708="","",Catálogo!$C708&amp;"|"&amp;COUNTIF(Catálogo!$C$4:$C708,Catálogo!$C708))</f>
        <v/>
      </c>
    </row>
    <row r="709" customFormat="false" ht="15" hidden="false" customHeight="true" outlineLevel="0" collapsed="false">
      <c r="A709" s="1" t="str">
        <f aca="false">IF(Catálogo!$C709="","",Catálogo!$C709&amp;"|"&amp;COUNTIF(Catálogo!$C$4:$C709,Catálogo!$C709))</f>
        <v/>
      </c>
    </row>
    <row r="710" customFormat="false" ht="15" hidden="false" customHeight="true" outlineLevel="0" collapsed="false">
      <c r="A710" s="1" t="str">
        <f aca="false">IF(Catálogo!$C710="","",Catálogo!$C710&amp;"|"&amp;COUNTIF(Catálogo!$C$4:$C710,Catálogo!$C710))</f>
        <v/>
      </c>
    </row>
    <row r="711" customFormat="false" ht="15" hidden="false" customHeight="true" outlineLevel="0" collapsed="false">
      <c r="A711" s="1" t="str">
        <f aca="false">IF(Catálogo!$C711="","",Catálogo!$C711&amp;"|"&amp;COUNTIF(Catálogo!$C$4:$C711,Catálogo!$C711))</f>
        <v/>
      </c>
    </row>
    <row r="712" customFormat="false" ht="15" hidden="false" customHeight="true" outlineLevel="0" collapsed="false">
      <c r="A712" s="1" t="str">
        <f aca="false">IF(Catálogo!$C712="","",Catálogo!$C712&amp;"|"&amp;COUNTIF(Catálogo!$C$4:$C712,Catálogo!$C712))</f>
        <v/>
      </c>
    </row>
    <row r="713" customFormat="false" ht="15" hidden="false" customHeight="true" outlineLevel="0" collapsed="false">
      <c r="A713" s="1" t="str">
        <f aca="false">IF(Catálogo!$C713="","",Catálogo!$C713&amp;"|"&amp;COUNTIF(Catálogo!$C$4:$C713,Catálogo!$C713))</f>
        <v/>
      </c>
    </row>
    <row r="714" customFormat="false" ht="15" hidden="false" customHeight="true" outlineLevel="0" collapsed="false">
      <c r="A714" s="1" t="str">
        <f aca="false">IF(Catálogo!$C714="","",Catálogo!$C714&amp;"|"&amp;COUNTIF(Catálogo!$C$4:$C714,Catálogo!$C714))</f>
        <v/>
      </c>
    </row>
    <row r="715" customFormat="false" ht="15" hidden="false" customHeight="true" outlineLevel="0" collapsed="false">
      <c r="A715" s="1" t="str">
        <f aca="false">IF(Catálogo!$C715="","",Catálogo!$C715&amp;"|"&amp;COUNTIF(Catálogo!$C$4:$C715,Catálogo!$C715))</f>
        <v/>
      </c>
    </row>
    <row r="716" customFormat="false" ht="15" hidden="false" customHeight="true" outlineLevel="0" collapsed="false">
      <c r="A716" s="1" t="str">
        <f aca="false">IF(Catálogo!$C716="","",Catálogo!$C716&amp;"|"&amp;COUNTIF(Catálogo!$C$4:$C716,Catálogo!$C716))</f>
        <v/>
      </c>
    </row>
    <row r="717" customFormat="false" ht="15" hidden="false" customHeight="true" outlineLevel="0" collapsed="false">
      <c r="A717" s="1" t="str">
        <f aca="false">IF(Catálogo!$C717="","",Catálogo!$C717&amp;"|"&amp;COUNTIF(Catálogo!$C$4:$C717,Catálogo!$C717))</f>
        <v/>
      </c>
    </row>
    <row r="718" customFormat="false" ht="15" hidden="false" customHeight="true" outlineLevel="0" collapsed="false">
      <c r="A718" s="1" t="str">
        <f aca="false">IF(Catálogo!$C718="","",Catálogo!$C718&amp;"|"&amp;COUNTIF(Catálogo!$C$4:$C718,Catálogo!$C718))</f>
        <v/>
      </c>
    </row>
    <row r="719" customFormat="false" ht="15" hidden="false" customHeight="true" outlineLevel="0" collapsed="false">
      <c r="A719" s="1" t="str">
        <f aca="false">IF(Catálogo!$C719="","",Catálogo!$C719&amp;"|"&amp;COUNTIF(Catálogo!$C$4:$C719,Catálogo!$C719))</f>
        <v/>
      </c>
    </row>
    <row r="720" customFormat="false" ht="15" hidden="false" customHeight="true" outlineLevel="0" collapsed="false">
      <c r="A720" s="1" t="str">
        <f aca="false">IF(Catálogo!$C720="","",Catálogo!$C720&amp;"|"&amp;COUNTIF(Catálogo!$C$4:$C720,Catálogo!$C720))</f>
        <v/>
      </c>
    </row>
    <row r="721" customFormat="false" ht="15" hidden="false" customHeight="true" outlineLevel="0" collapsed="false">
      <c r="A721" s="1" t="str">
        <f aca="false">IF(Catálogo!$C721="","",Catálogo!$C721&amp;"|"&amp;COUNTIF(Catálogo!$C$4:$C721,Catálogo!$C721))</f>
        <v/>
      </c>
    </row>
    <row r="722" customFormat="false" ht="15" hidden="false" customHeight="true" outlineLevel="0" collapsed="false">
      <c r="A722" s="1" t="str">
        <f aca="false">IF(Catálogo!$C722="","",Catálogo!$C722&amp;"|"&amp;COUNTIF(Catálogo!$C$4:$C722,Catálogo!$C722))</f>
        <v/>
      </c>
    </row>
    <row r="723" customFormat="false" ht="15" hidden="false" customHeight="true" outlineLevel="0" collapsed="false">
      <c r="A723" s="1" t="str">
        <f aca="false">IF(Catálogo!$C723="","",Catálogo!$C723&amp;"|"&amp;COUNTIF(Catálogo!$C$4:$C723,Catálogo!$C723))</f>
        <v/>
      </c>
    </row>
    <row r="724" customFormat="false" ht="15" hidden="false" customHeight="true" outlineLevel="0" collapsed="false">
      <c r="A724" s="1" t="str">
        <f aca="false">IF(Catálogo!$C724="","",Catálogo!$C724&amp;"|"&amp;COUNTIF(Catálogo!$C$4:$C724,Catálogo!$C724))</f>
        <v/>
      </c>
    </row>
    <row r="725" customFormat="false" ht="15" hidden="false" customHeight="true" outlineLevel="0" collapsed="false">
      <c r="A725" s="1" t="str">
        <f aca="false">IF(Catálogo!$C725="","",Catálogo!$C725&amp;"|"&amp;COUNTIF(Catálogo!$C$4:$C725,Catálogo!$C725))</f>
        <v/>
      </c>
    </row>
    <row r="726" customFormat="false" ht="15" hidden="false" customHeight="true" outlineLevel="0" collapsed="false">
      <c r="A726" s="1" t="str">
        <f aca="false">IF(Catálogo!$C726="","",Catálogo!$C726&amp;"|"&amp;COUNTIF(Catálogo!$C$4:$C726,Catálogo!$C726))</f>
        <v/>
      </c>
    </row>
    <row r="727" customFormat="false" ht="15" hidden="false" customHeight="true" outlineLevel="0" collapsed="false">
      <c r="A727" s="1" t="str">
        <f aca="false">IF(Catálogo!$C727="","",Catálogo!$C727&amp;"|"&amp;COUNTIF(Catálogo!$C$4:$C727,Catálogo!$C727))</f>
        <v/>
      </c>
    </row>
    <row r="728" customFormat="false" ht="15" hidden="false" customHeight="true" outlineLevel="0" collapsed="false">
      <c r="A728" s="1" t="str">
        <f aca="false">IF(Catálogo!$C728="","",Catálogo!$C728&amp;"|"&amp;COUNTIF(Catálogo!$C$4:$C728,Catálogo!$C728))</f>
        <v/>
      </c>
    </row>
    <row r="729" customFormat="false" ht="15" hidden="false" customHeight="true" outlineLevel="0" collapsed="false">
      <c r="A729" s="1" t="str">
        <f aca="false">IF(Catálogo!$C729="","",Catálogo!$C729&amp;"|"&amp;COUNTIF(Catálogo!$C$4:$C729,Catálogo!$C729))</f>
        <v/>
      </c>
    </row>
    <row r="730" customFormat="false" ht="15" hidden="false" customHeight="true" outlineLevel="0" collapsed="false">
      <c r="A730" s="1" t="str">
        <f aca="false">IF(Catálogo!$C730="","",Catálogo!$C730&amp;"|"&amp;COUNTIF(Catálogo!$C$4:$C730,Catálogo!$C730))</f>
        <v/>
      </c>
    </row>
    <row r="731" customFormat="false" ht="15" hidden="false" customHeight="true" outlineLevel="0" collapsed="false">
      <c r="A731" s="1" t="str">
        <f aca="false">IF(Catálogo!$C731="","",Catálogo!$C731&amp;"|"&amp;COUNTIF(Catálogo!$C$4:$C731,Catálogo!$C731))</f>
        <v/>
      </c>
    </row>
    <row r="732" customFormat="false" ht="15" hidden="false" customHeight="true" outlineLevel="0" collapsed="false">
      <c r="A732" s="1" t="str">
        <f aca="false">IF(Catálogo!$C732="","",Catálogo!$C732&amp;"|"&amp;COUNTIF(Catálogo!$C$4:$C732,Catálogo!$C732))</f>
        <v/>
      </c>
    </row>
    <row r="733" customFormat="false" ht="15" hidden="false" customHeight="true" outlineLevel="0" collapsed="false">
      <c r="A733" s="1" t="str">
        <f aca="false">IF(Catálogo!$C733="","",Catálogo!$C733&amp;"|"&amp;COUNTIF(Catálogo!$C$4:$C733,Catálogo!$C733))</f>
        <v/>
      </c>
    </row>
    <row r="734" customFormat="false" ht="15" hidden="false" customHeight="true" outlineLevel="0" collapsed="false">
      <c r="A734" s="1" t="str">
        <f aca="false">IF(Catálogo!$C734="","",Catálogo!$C734&amp;"|"&amp;COUNTIF(Catálogo!$C$4:$C734,Catálogo!$C734))</f>
        <v/>
      </c>
    </row>
    <row r="735" customFormat="false" ht="15" hidden="false" customHeight="true" outlineLevel="0" collapsed="false">
      <c r="A735" s="1" t="str">
        <f aca="false">IF(Catálogo!$C735="","",Catálogo!$C735&amp;"|"&amp;COUNTIF(Catálogo!$C$4:$C735,Catálogo!$C735))</f>
        <v/>
      </c>
    </row>
    <row r="736" customFormat="false" ht="15" hidden="false" customHeight="true" outlineLevel="0" collapsed="false">
      <c r="A736" s="1" t="str">
        <f aca="false">IF(Catálogo!$C736="","",Catálogo!$C736&amp;"|"&amp;COUNTIF(Catálogo!$C$4:$C736,Catálogo!$C736))</f>
        <v/>
      </c>
    </row>
    <row r="737" customFormat="false" ht="15" hidden="false" customHeight="true" outlineLevel="0" collapsed="false">
      <c r="A737" s="1" t="str">
        <f aca="false">IF(Catálogo!$C737="","",Catálogo!$C737&amp;"|"&amp;COUNTIF(Catálogo!$C$4:$C737,Catálogo!$C737))</f>
        <v/>
      </c>
    </row>
    <row r="738" customFormat="false" ht="15" hidden="false" customHeight="true" outlineLevel="0" collapsed="false">
      <c r="A738" s="1" t="str">
        <f aca="false">IF(Catálogo!$C738="","",Catálogo!$C738&amp;"|"&amp;COUNTIF(Catálogo!$C$4:$C738,Catálogo!$C738))</f>
        <v/>
      </c>
    </row>
    <row r="739" customFormat="false" ht="15" hidden="false" customHeight="true" outlineLevel="0" collapsed="false">
      <c r="A739" s="1" t="str">
        <f aca="false">IF(Catálogo!$C739="","",Catálogo!$C739&amp;"|"&amp;COUNTIF(Catálogo!$C$4:$C739,Catálogo!$C739))</f>
        <v/>
      </c>
    </row>
    <row r="740" customFormat="false" ht="15" hidden="false" customHeight="true" outlineLevel="0" collapsed="false">
      <c r="A740" s="1" t="str">
        <f aca="false">IF(Catálogo!$C740="","",Catálogo!$C740&amp;"|"&amp;COUNTIF(Catálogo!$C$4:$C740,Catálogo!$C740))</f>
        <v/>
      </c>
    </row>
    <row r="741" customFormat="false" ht="15" hidden="false" customHeight="true" outlineLevel="0" collapsed="false">
      <c r="A741" s="1" t="str">
        <f aca="false">IF(Catálogo!$C741="","",Catálogo!$C741&amp;"|"&amp;COUNTIF(Catálogo!$C$4:$C741,Catálogo!$C741))</f>
        <v/>
      </c>
    </row>
    <row r="742" customFormat="false" ht="15" hidden="false" customHeight="true" outlineLevel="0" collapsed="false">
      <c r="A742" s="1" t="str">
        <f aca="false">IF(Catálogo!$C742="","",Catálogo!$C742&amp;"|"&amp;COUNTIF(Catálogo!$C$4:$C742,Catálogo!$C742))</f>
        <v/>
      </c>
    </row>
    <row r="743" customFormat="false" ht="15" hidden="false" customHeight="true" outlineLevel="0" collapsed="false">
      <c r="A743" s="1" t="str">
        <f aca="false">IF(Catálogo!$C743="","",Catálogo!$C743&amp;"|"&amp;COUNTIF(Catálogo!$C$4:$C743,Catálogo!$C743))</f>
        <v/>
      </c>
    </row>
    <row r="744" customFormat="false" ht="15" hidden="false" customHeight="true" outlineLevel="0" collapsed="false">
      <c r="A744" s="1" t="str">
        <f aca="false">IF(Catálogo!$C744="","",Catálogo!$C744&amp;"|"&amp;COUNTIF(Catálogo!$C$4:$C744,Catálogo!$C744))</f>
        <v/>
      </c>
    </row>
    <row r="745" customFormat="false" ht="15" hidden="false" customHeight="true" outlineLevel="0" collapsed="false">
      <c r="A745" s="1" t="str">
        <f aca="false">IF(Catálogo!$C745="","",Catálogo!$C745&amp;"|"&amp;COUNTIF(Catálogo!$C$4:$C745,Catálogo!$C745))</f>
        <v/>
      </c>
    </row>
    <row r="746" customFormat="false" ht="15" hidden="false" customHeight="true" outlineLevel="0" collapsed="false">
      <c r="A746" s="1" t="str">
        <f aca="false">IF(Catálogo!$C746="","",Catálogo!$C746&amp;"|"&amp;COUNTIF(Catálogo!$C$4:$C746,Catálogo!$C746))</f>
        <v/>
      </c>
    </row>
    <row r="747" customFormat="false" ht="15" hidden="false" customHeight="true" outlineLevel="0" collapsed="false">
      <c r="A747" s="1" t="str">
        <f aca="false">IF(Catálogo!$C747="","",Catálogo!$C747&amp;"|"&amp;COUNTIF(Catálogo!$C$4:$C747,Catálogo!$C747))</f>
        <v/>
      </c>
    </row>
    <row r="748" customFormat="false" ht="15" hidden="false" customHeight="true" outlineLevel="0" collapsed="false">
      <c r="A748" s="1" t="str">
        <f aca="false">IF(Catálogo!$C748="","",Catálogo!$C748&amp;"|"&amp;COUNTIF(Catálogo!$C$4:$C748,Catálogo!$C748))</f>
        <v/>
      </c>
    </row>
    <row r="749" customFormat="false" ht="15" hidden="false" customHeight="true" outlineLevel="0" collapsed="false">
      <c r="A749" s="1" t="str">
        <f aca="false">IF(Catálogo!$C749="","",Catálogo!$C749&amp;"|"&amp;COUNTIF(Catálogo!$C$4:$C749,Catálogo!$C749))</f>
        <v/>
      </c>
    </row>
    <row r="750" customFormat="false" ht="15" hidden="false" customHeight="true" outlineLevel="0" collapsed="false">
      <c r="A750" s="1" t="str">
        <f aca="false">IF(Catálogo!$C750="","",Catálogo!$C750&amp;"|"&amp;COUNTIF(Catálogo!$C$4:$C750,Catálogo!$C750))</f>
        <v/>
      </c>
    </row>
    <row r="751" customFormat="false" ht="15" hidden="false" customHeight="true" outlineLevel="0" collapsed="false">
      <c r="A751" s="1" t="str">
        <f aca="false">IF(Catálogo!$C751="","",Catálogo!$C751&amp;"|"&amp;COUNTIF(Catálogo!$C$4:$C751,Catálogo!$C751))</f>
        <v/>
      </c>
    </row>
    <row r="752" customFormat="false" ht="15" hidden="false" customHeight="true" outlineLevel="0" collapsed="false">
      <c r="A752" s="1" t="str">
        <f aca="false">IF(Catálogo!$C752="","",Catálogo!$C752&amp;"|"&amp;COUNTIF(Catálogo!$C$4:$C752,Catálogo!$C752))</f>
        <v/>
      </c>
    </row>
    <row r="753" customFormat="false" ht="15" hidden="false" customHeight="true" outlineLevel="0" collapsed="false">
      <c r="A753" s="1" t="str">
        <f aca="false">IF(Catálogo!$C753="","",Catálogo!$C753&amp;"|"&amp;COUNTIF(Catálogo!$C$4:$C753,Catálogo!$C753))</f>
        <v/>
      </c>
    </row>
    <row r="754" customFormat="false" ht="15" hidden="false" customHeight="true" outlineLevel="0" collapsed="false">
      <c r="A754" s="1" t="str">
        <f aca="false">IF(Catálogo!$C754="","",Catálogo!$C754&amp;"|"&amp;COUNTIF(Catálogo!$C$4:$C754,Catálogo!$C754))</f>
        <v/>
      </c>
    </row>
    <row r="755" customFormat="false" ht="15" hidden="false" customHeight="true" outlineLevel="0" collapsed="false">
      <c r="A755" s="1" t="str">
        <f aca="false">IF(Catálogo!$C755="","",Catálogo!$C755&amp;"|"&amp;COUNTIF(Catálogo!$C$4:$C755,Catálogo!$C755))</f>
        <v/>
      </c>
    </row>
    <row r="756" customFormat="false" ht="15" hidden="false" customHeight="true" outlineLevel="0" collapsed="false">
      <c r="A756" s="1" t="str">
        <f aca="false">IF(Catálogo!$C756="","",Catálogo!$C756&amp;"|"&amp;COUNTIF(Catálogo!$C$4:$C756,Catálogo!$C756))</f>
        <v/>
      </c>
    </row>
    <row r="757" customFormat="false" ht="15" hidden="false" customHeight="true" outlineLevel="0" collapsed="false">
      <c r="A757" s="1" t="str">
        <f aca="false">IF(Catálogo!$C757="","",Catálogo!$C757&amp;"|"&amp;COUNTIF(Catálogo!$C$4:$C757,Catálogo!$C757))</f>
        <v/>
      </c>
    </row>
    <row r="758" customFormat="false" ht="15" hidden="false" customHeight="true" outlineLevel="0" collapsed="false">
      <c r="A758" s="1" t="str">
        <f aca="false">IF(Catálogo!$C758="","",Catálogo!$C758&amp;"|"&amp;COUNTIF(Catálogo!$C$4:$C758,Catálogo!$C758))</f>
        <v/>
      </c>
    </row>
    <row r="759" customFormat="false" ht="15" hidden="false" customHeight="true" outlineLevel="0" collapsed="false">
      <c r="A759" s="1" t="str">
        <f aca="false">IF(Catálogo!$C759="","",Catálogo!$C759&amp;"|"&amp;COUNTIF(Catálogo!$C$4:$C759,Catálogo!$C759))</f>
        <v/>
      </c>
    </row>
    <row r="760" customFormat="false" ht="15" hidden="false" customHeight="true" outlineLevel="0" collapsed="false">
      <c r="A760" s="1" t="str">
        <f aca="false">IF(Catálogo!$C760="","",Catálogo!$C760&amp;"|"&amp;COUNTIF(Catálogo!$C$4:$C760,Catálogo!$C760))</f>
        <v/>
      </c>
    </row>
    <row r="761" customFormat="false" ht="15" hidden="false" customHeight="true" outlineLevel="0" collapsed="false">
      <c r="A761" s="1" t="str">
        <f aca="false">IF(Catálogo!$C761="","",Catálogo!$C761&amp;"|"&amp;COUNTIF(Catálogo!$C$4:$C761,Catálogo!$C761))</f>
        <v/>
      </c>
    </row>
    <row r="762" customFormat="false" ht="15" hidden="false" customHeight="true" outlineLevel="0" collapsed="false">
      <c r="A762" s="1" t="str">
        <f aca="false">IF(Catálogo!$C762="","",Catálogo!$C762&amp;"|"&amp;COUNTIF(Catálogo!$C$4:$C762,Catálogo!$C762))</f>
        <v/>
      </c>
    </row>
    <row r="763" customFormat="false" ht="15" hidden="false" customHeight="true" outlineLevel="0" collapsed="false">
      <c r="A763" s="1" t="str">
        <f aca="false">IF(Catálogo!$C763="","",Catálogo!$C763&amp;"|"&amp;COUNTIF(Catálogo!$C$4:$C763,Catálogo!$C763))</f>
        <v/>
      </c>
    </row>
    <row r="764" customFormat="false" ht="15" hidden="false" customHeight="true" outlineLevel="0" collapsed="false">
      <c r="A764" s="1" t="str">
        <f aca="false">IF(Catálogo!$C764="","",Catálogo!$C764&amp;"|"&amp;COUNTIF(Catálogo!$C$4:$C764,Catálogo!$C764))</f>
        <v/>
      </c>
    </row>
    <row r="765" customFormat="false" ht="15" hidden="false" customHeight="true" outlineLevel="0" collapsed="false">
      <c r="A765" s="1" t="str">
        <f aca="false">IF(Catálogo!$C765="","",Catálogo!$C765&amp;"|"&amp;COUNTIF(Catálogo!$C$4:$C765,Catálogo!$C765))</f>
        <v/>
      </c>
    </row>
    <row r="766" customFormat="false" ht="15" hidden="false" customHeight="true" outlineLevel="0" collapsed="false">
      <c r="A766" s="1" t="str">
        <f aca="false">IF(Catálogo!$C766="","",Catálogo!$C766&amp;"|"&amp;COUNTIF(Catálogo!$C$4:$C766,Catálogo!$C766))</f>
        <v/>
      </c>
    </row>
    <row r="767" customFormat="false" ht="15" hidden="false" customHeight="true" outlineLevel="0" collapsed="false">
      <c r="A767" s="1" t="str">
        <f aca="false">IF(Catálogo!$C767="","",Catálogo!$C767&amp;"|"&amp;COUNTIF(Catálogo!$C$4:$C767,Catálogo!$C767))</f>
        <v/>
      </c>
    </row>
    <row r="768" customFormat="false" ht="15" hidden="false" customHeight="true" outlineLevel="0" collapsed="false">
      <c r="A768" s="1" t="str">
        <f aca="false">IF(Catálogo!$C768="","",Catálogo!$C768&amp;"|"&amp;COUNTIF(Catálogo!$C$4:$C768,Catálogo!$C768))</f>
        <v/>
      </c>
    </row>
    <row r="769" customFormat="false" ht="15" hidden="false" customHeight="true" outlineLevel="0" collapsed="false">
      <c r="A769" s="1" t="str">
        <f aca="false">IF(Catálogo!$C769="","",Catálogo!$C769&amp;"|"&amp;COUNTIF(Catálogo!$C$4:$C769,Catálogo!$C769))</f>
        <v/>
      </c>
    </row>
    <row r="770" customFormat="false" ht="15" hidden="false" customHeight="true" outlineLevel="0" collapsed="false">
      <c r="A770" s="1" t="str">
        <f aca="false">IF(Catálogo!$C770="","",Catálogo!$C770&amp;"|"&amp;COUNTIF(Catálogo!$C$4:$C770,Catálogo!$C770))</f>
        <v/>
      </c>
    </row>
    <row r="771" customFormat="false" ht="15" hidden="false" customHeight="true" outlineLevel="0" collapsed="false">
      <c r="A771" s="1" t="str">
        <f aca="false">IF(Catálogo!$C771="","",Catálogo!$C771&amp;"|"&amp;COUNTIF(Catálogo!$C$4:$C771,Catálogo!$C771))</f>
        <v/>
      </c>
    </row>
    <row r="772" customFormat="false" ht="15" hidden="false" customHeight="true" outlineLevel="0" collapsed="false">
      <c r="A772" s="1" t="str">
        <f aca="false">IF(Catálogo!$C772="","",Catálogo!$C772&amp;"|"&amp;COUNTIF(Catálogo!$C$4:$C772,Catálogo!$C772))</f>
        <v/>
      </c>
    </row>
    <row r="773" customFormat="false" ht="15" hidden="false" customHeight="true" outlineLevel="0" collapsed="false">
      <c r="A773" s="1" t="str">
        <f aca="false">IF(Catálogo!$C773="","",Catálogo!$C773&amp;"|"&amp;COUNTIF(Catálogo!$C$4:$C773,Catálogo!$C773))</f>
        <v/>
      </c>
    </row>
    <row r="774" customFormat="false" ht="15" hidden="false" customHeight="true" outlineLevel="0" collapsed="false">
      <c r="A774" s="1" t="str">
        <f aca="false">IF(Catálogo!$C774="","",Catálogo!$C774&amp;"|"&amp;COUNTIF(Catálogo!$C$4:$C774,Catálogo!$C774))</f>
        <v/>
      </c>
    </row>
    <row r="775" customFormat="false" ht="15" hidden="false" customHeight="true" outlineLevel="0" collapsed="false">
      <c r="A775" s="1" t="str">
        <f aca="false">IF(Catálogo!$C775="","",Catálogo!$C775&amp;"|"&amp;COUNTIF(Catálogo!$C$4:$C775,Catálogo!$C775))</f>
        <v/>
      </c>
    </row>
    <row r="776" customFormat="false" ht="15" hidden="false" customHeight="true" outlineLevel="0" collapsed="false">
      <c r="A776" s="1" t="str">
        <f aca="false">IF(Catálogo!$C776="","",Catálogo!$C776&amp;"|"&amp;COUNTIF(Catálogo!$C$4:$C776,Catálogo!$C776))</f>
        <v/>
      </c>
    </row>
    <row r="777" customFormat="false" ht="15" hidden="false" customHeight="true" outlineLevel="0" collapsed="false">
      <c r="A777" s="1" t="str">
        <f aca="false">IF(Catálogo!$C777="","",Catálogo!$C777&amp;"|"&amp;COUNTIF(Catálogo!$C$4:$C777,Catálogo!$C777))</f>
        <v/>
      </c>
    </row>
    <row r="778" customFormat="false" ht="15" hidden="false" customHeight="true" outlineLevel="0" collapsed="false">
      <c r="A778" s="1" t="str">
        <f aca="false">IF(Catálogo!$C778="","",Catálogo!$C778&amp;"|"&amp;COUNTIF(Catálogo!$C$4:$C778,Catálogo!$C778))</f>
        <v/>
      </c>
    </row>
    <row r="779" customFormat="false" ht="15" hidden="false" customHeight="true" outlineLevel="0" collapsed="false">
      <c r="A779" s="1" t="str">
        <f aca="false">IF(Catálogo!$C779="","",Catálogo!$C779&amp;"|"&amp;COUNTIF(Catálogo!$C$4:$C779,Catálogo!$C779))</f>
        <v/>
      </c>
    </row>
    <row r="780" customFormat="false" ht="15" hidden="false" customHeight="true" outlineLevel="0" collapsed="false">
      <c r="A780" s="1" t="str">
        <f aca="false">IF(Catálogo!$C780="","",Catálogo!$C780&amp;"|"&amp;COUNTIF(Catálogo!$C$4:$C780,Catálogo!$C780))</f>
        <v/>
      </c>
    </row>
    <row r="781" customFormat="false" ht="15" hidden="false" customHeight="true" outlineLevel="0" collapsed="false">
      <c r="A781" s="1" t="str">
        <f aca="false">IF(Catálogo!$C781="","",Catálogo!$C781&amp;"|"&amp;COUNTIF(Catálogo!$C$4:$C781,Catálogo!$C781))</f>
        <v/>
      </c>
    </row>
    <row r="782" customFormat="false" ht="15" hidden="false" customHeight="true" outlineLevel="0" collapsed="false">
      <c r="A782" s="1" t="str">
        <f aca="false">IF(Catálogo!$C782="","",Catálogo!$C782&amp;"|"&amp;COUNTIF(Catálogo!$C$4:$C782,Catálogo!$C782))</f>
        <v/>
      </c>
    </row>
    <row r="783" customFormat="false" ht="15" hidden="false" customHeight="true" outlineLevel="0" collapsed="false">
      <c r="A783" s="1" t="str">
        <f aca="false">IF(Catálogo!$C783="","",Catálogo!$C783&amp;"|"&amp;COUNTIF(Catálogo!$C$4:$C783,Catálogo!$C783))</f>
        <v/>
      </c>
    </row>
    <row r="784" customFormat="false" ht="15" hidden="false" customHeight="true" outlineLevel="0" collapsed="false">
      <c r="A784" s="1" t="str">
        <f aca="false">IF(Catálogo!$C784="","",Catálogo!$C784&amp;"|"&amp;COUNTIF(Catálogo!$C$4:$C784,Catálogo!$C784))</f>
        <v/>
      </c>
    </row>
    <row r="785" customFormat="false" ht="15" hidden="false" customHeight="true" outlineLevel="0" collapsed="false">
      <c r="A785" s="1" t="str">
        <f aca="false">IF(Catálogo!$C785="","",Catálogo!$C785&amp;"|"&amp;COUNTIF(Catálogo!$C$4:$C785,Catálogo!$C785))</f>
        <v/>
      </c>
    </row>
    <row r="786" customFormat="false" ht="15" hidden="false" customHeight="true" outlineLevel="0" collapsed="false">
      <c r="A786" s="1" t="str">
        <f aca="false">IF(Catálogo!$C786="","",Catálogo!$C786&amp;"|"&amp;COUNTIF(Catálogo!$C$4:$C786,Catálogo!$C786))</f>
        <v/>
      </c>
    </row>
    <row r="787" customFormat="false" ht="15" hidden="false" customHeight="true" outlineLevel="0" collapsed="false">
      <c r="A787" s="1" t="str">
        <f aca="false">IF(Catálogo!$C787="","",Catálogo!$C787&amp;"|"&amp;COUNTIF(Catálogo!$C$4:$C787,Catálogo!$C787))</f>
        <v/>
      </c>
    </row>
    <row r="788" customFormat="false" ht="15" hidden="false" customHeight="true" outlineLevel="0" collapsed="false">
      <c r="A788" s="1" t="str">
        <f aca="false">IF(Catálogo!$C788="","",Catálogo!$C788&amp;"|"&amp;COUNTIF(Catálogo!$C$4:$C788,Catálogo!$C788))</f>
        <v/>
      </c>
    </row>
    <row r="789" customFormat="false" ht="15" hidden="false" customHeight="true" outlineLevel="0" collapsed="false">
      <c r="A789" s="1" t="str">
        <f aca="false">IF(Catálogo!$C789="","",Catálogo!$C789&amp;"|"&amp;COUNTIF(Catálogo!$C$4:$C789,Catálogo!$C789))</f>
        <v/>
      </c>
    </row>
    <row r="790" customFormat="false" ht="15" hidden="false" customHeight="true" outlineLevel="0" collapsed="false">
      <c r="A790" s="1" t="str">
        <f aca="false">IF(Catálogo!$C790="","",Catálogo!$C790&amp;"|"&amp;COUNTIF(Catálogo!$C$4:$C790,Catálogo!$C790))</f>
        <v/>
      </c>
    </row>
    <row r="791" customFormat="false" ht="15" hidden="false" customHeight="true" outlineLevel="0" collapsed="false">
      <c r="A791" s="1" t="str">
        <f aca="false">IF(Catálogo!$C791="","",Catálogo!$C791&amp;"|"&amp;COUNTIF(Catálogo!$C$4:$C791,Catálogo!$C791))</f>
        <v/>
      </c>
    </row>
    <row r="792" customFormat="false" ht="15" hidden="false" customHeight="true" outlineLevel="0" collapsed="false">
      <c r="A792" s="1" t="str">
        <f aca="false">IF(Catálogo!$C792="","",Catálogo!$C792&amp;"|"&amp;COUNTIF(Catálogo!$C$4:$C792,Catálogo!$C792))</f>
        <v/>
      </c>
    </row>
    <row r="793" customFormat="false" ht="15" hidden="false" customHeight="true" outlineLevel="0" collapsed="false">
      <c r="A793" s="1" t="str">
        <f aca="false">IF(Catálogo!$C793="","",Catálogo!$C793&amp;"|"&amp;COUNTIF(Catálogo!$C$4:$C793,Catálogo!$C793))</f>
        <v/>
      </c>
    </row>
    <row r="794" customFormat="false" ht="15" hidden="false" customHeight="true" outlineLevel="0" collapsed="false">
      <c r="A794" s="1" t="str">
        <f aca="false">IF(Catálogo!$C794="","",Catálogo!$C794&amp;"|"&amp;COUNTIF(Catálogo!$C$4:$C794,Catálogo!$C794))</f>
        <v/>
      </c>
    </row>
    <row r="795" customFormat="false" ht="15" hidden="false" customHeight="true" outlineLevel="0" collapsed="false">
      <c r="A795" s="1" t="str">
        <f aca="false">IF(Catálogo!$C795="","",Catálogo!$C795&amp;"|"&amp;COUNTIF(Catálogo!$C$4:$C795,Catálogo!$C795))</f>
        <v/>
      </c>
    </row>
    <row r="796" customFormat="false" ht="15" hidden="false" customHeight="true" outlineLevel="0" collapsed="false">
      <c r="A796" s="1" t="str">
        <f aca="false">IF(Catálogo!$C796="","",Catálogo!$C796&amp;"|"&amp;COUNTIF(Catálogo!$C$4:$C796,Catálogo!$C796))</f>
        <v/>
      </c>
    </row>
    <row r="797" customFormat="false" ht="15" hidden="false" customHeight="true" outlineLevel="0" collapsed="false">
      <c r="A797" s="1" t="str">
        <f aca="false">IF(Catálogo!$C797="","",Catálogo!$C797&amp;"|"&amp;COUNTIF(Catálogo!$C$4:$C797,Catálogo!$C797))</f>
        <v/>
      </c>
    </row>
    <row r="798" customFormat="false" ht="15" hidden="false" customHeight="true" outlineLevel="0" collapsed="false">
      <c r="A798" s="1" t="str">
        <f aca="false">IF(Catálogo!$C798="","",Catálogo!$C798&amp;"|"&amp;COUNTIF(Catálogo!$C$4:$C798,Catálogo!$C798))</f>
        <v/>
      </c>
    </row>
    <row r="799" customFormat="false" ht="15" hidden="false" customHeight="true" outlineLevel="0" collapsed="false">
      <c r="A799" s="1" t="str">
        <f aca="false">IF(Catálogo!$C799="","",Catálogo!$C799&amp;"|"&amp;COUNTIF(Catálogo!$C$4:$C799,Catálogo!$C799))</f>
        <v/>
      </c>
    </row>
    <row r="800" customFormat="false" ht="15" hidden="false" customHeight="true" outlineLevel="0" collapsed="false">
      <c r="A800" s="1" t="str">
        <f aca="false">IF(Catálogo!$C800="","",Catálogo!$C800&amp;"|"&amp;COUNTIF(Catálogo!$C$4:$C800,Catálogo!$C800))</f>
        <v/>
      </c>
    </row>
    <row r="801" customFormat="false" ht="15" hidden="false" customHeight="true" outlineLevel="0" collapsed="false">
      <c r="A801" s="1" t="str">
        <f aca="false">IF(Catálogo!$C801="","",Catálogo!$C801&amp;"|"&amp;COUNTIF(Catálogo!$C$4:$C801,Catálogo!$C801))</f>
        <v/>
      </c>
    </row>
    <row r="802" customFormat="false" ht="15" hidden="false" customHeight="true" outlineLevel="0" collapsed="false">
      <c r="A802" s="1" t="str">
        <f aca="false">IF(Catálogo!$C802="","",Catálogo!$C802&amp;"|"&amp;COUNTIF(Catálogo!$C$4:$C802,Catálogo!$C802))</f>
        <v/>
      </c>
    </row>
    <row r="803" customFormat="false" ht="15" hidden="false" customHeight="true" outlineLevel="0" collapsed="false">
      <c r="A803" s="1" t="str">
        <f aca="false">IF(Catálogo!$C803="","",Catálogo!$C803&amp;"|"&amp;COUNTIF(Catálogo!$C$4:$C803,Catálogo!$C803))</f>
        <v/>
      </c>
    </row>
    <row r="804" customFormat="false" ht="15" hidden="false" customHeight="true" outlineLevel="0" collapsed="false">
      <c r="A804" s="1" t="str">
        <f aca="false">IF(Catálogo!$C804="","",Catálogo!$C804&amp;"|"&amp;COUNTIF(Catálogo!$C$4:$C804,Catálogo!$C804))</f>
        <v/>
      </c>
    </row>
    <row r="805" customFormat="false" ht="15" hidden="false" customHeight="true" outlineLevel="0" collapsed="false">
      <c r="A805" s="1" t="str">
        <f aca="false">IF(Catálogo!$C805="","",Catálogo!$C805&amp;"|"&amp;COUNTIF(Catálogo!$C$4:$C805,Catálogo!$C805))</f>
        <v/>
      </c>
    </row>
    <row r="806" customFormat="false" ht="15" hidden="false" customHeight="true" outlineLevel="0" collapsed="false">
      <c r="A806" s="1" t="str">
        <f aca="false">IF(Catálogo!$C806="","",Catálogo!$C806&amp;"|"&amp;COUNTIF(Catálogo!$C$4:$C806,Catálogo!$C806))</f>
        <v/>
      </c>
    </row>
    <row r="807" customFormat="false" ht="15" hidden="false" customHeight="true" outlineLevel="0" collapsed="false">
      <c r="A807" s="1" t="str">
        <f aca="false">IF(Catálogo!$C807="","",Catálogo!$C807&amp;"|"&amp;COUNTIF(Catálogo!$C$4:$C807,Catálogo!$C807))</f>
        <v/>
      </c>
    </row>
    <row r="808" customFormat="false" ht="15" hidden="false" customHeight="true" outlineLevel="0" collapsed="false">
      <c r="A808" s="1" t="str">
        <f aca="false">IF(Catálogo!$C808="","",Catálogo!$C808&amp;"|"&amp;COUNTIF(Catálogo!$C$4:$C808,Catálogo!$C808))</f>
        <v/>
      </c>
    </row>
    <row r="809" customFormat="false" ht="15" hidden="false" customHeight="true" outlineLevel="0" collapsed="false">
      <c r="A809" s="1" t="str">
        <f aca="false">IF(Catálogo!$C809="","",Catálogo!$C809&amp;"|"&amp;COUNTIF(Catálogo!$C$4:$C809,Catálogo!$C809))</f>
        <v/>
      </c>
    </row>
    <row r="810" customFormat="false" ht="15" hidden="false" customHeight="true" outlineLevel="0" collapsed="false">
      <c r="A810" s="1" t="str">
        <f aca="false">IF(Catálogo!$C810="","",Catálogo!$C810&amp;"|"&amp;COUNTIF(Catálogo!$C$4:$C810,Catálogo!$C810))</f>
        <v/>
      </c>
    </row>
    <row r="811" customFormat="false" ht="15" hidden="false" customHeight="true" outlineLevel="0" collapsed="false">
      <c r="A811" s="1" t="str">
        <f aca="false">IF(Catálogo!$C811="","",Catálogo!$C811&amp;"|"&amp;COUNTIF(Catálogo!$C$4:$C811,Catálogo!$C811))</f>
        <v/>
      </c>
    </row>
    <row r="812" customFormat="false" ht="15" hidden="false" customHeight="true" outlineLevel="0" collapsed="false">
      <c r="A812" s="1" t="str">
        <f aca="false">IF(Catálogo!$C812="","",Catálogo!$C812&amp;"|"&amp;COUNTIF(Catálogo!$C$4:$C812,Catálogo!$C812))</f>
        <v/>
      </c>
    </row>
    <row r="813" customFormat="false" ht="15" hidden="false" customHeight="true" outlineLevel="0" collapsed="false">
      <c r="A813" s="1" t="str">
        <f aca="false">IF(Catálogo!$C813="","",Catálogo!$C813&amp;"|"&amp;COUNTIF(Catálogo!$C$4:$C813,Catálogo!$C813))</f>
        <v/>
      </c>
    </row>
    <row r="814" customFormat="false" ht="15" hidden="false" customHeight="true" outlineLevel="0" collapsed="false">
      <c r="A814" s="1" t="str">
        <f aca="false">IF(Catálogo!$C814="","",Catálogo!$C814&amp;"|"&amp;COUNTIF(Catálogo!$C$4:$C814,Catálogo!$C814))</f>
        <v/>
      </c>
    </row>
    <row r="815" customFormat="false" ht="15" hidden="false" customHeight="true" outlineLevel="0" collapsed="false">
      <c r="A815" s="1" t="str">
        <f aca="false">IF(Catálogo!$C815="","",Catálogo!$C815&amp;"|"&amp;COUNTIF(Catálogo!$C$4:$C815,Catálogo!$C815))</f>
        <v/>
      </c>
    </row>
    <row r="816" customFormat="false" ht="15" hidden="false" customHeight="true" outlineLevel="0" collapsed="false">
      <c r="A816" s="1" t="str">
        <f aca="false">IF(Catálogo!$C816="","",Catálogo!$C816&amp;"|"&amp;COUNTIF(Catálogo!$C$4:$C816,Catálogo!$C816))</f>
        <v/>
      </c>
    </row>
    <row r="817" customFormat="false" ht="15" hidden="false" customHeight="true" outlineLevel="0" collapsed="false">
      <c r="A817" s="1" t="str">
        <f aca="false">IF(Catálogo!$C817="","",Catálogo!$C817&amp;"|"&amp;COUNTIF(Catálogo!$C$4:$C817,Catálogo!$C817))</f>
        <v/>
      </c>
    </row>
    <row r="818" customFormat="false" ht="15" hidden="false" customHeight="true" outlineLevel="0" collapsed="false">
      <c r="A818" s="1" t="str">
        <f aca="false">IF(Catálogo!$C818="","",Catálogo!$C818&amp;"|"&amp;COUNTIF(Catálogo!$C$4:$C818,Catálogo!$C818))</f>
        <v/>
      </c>
    </row>
    <row r="819" customFormat="false" ht="15" hidden="false" customHeight="true" outlineLevel="0" collapsed="false">
      <c r="A819" s="1" t="str">
        <f aca="false">IF(Catálogo!$C819="","",Catálogo!$C819&amp;"|"&amp;COUNTIF(Catálogo!$C$4:$C819,Catálogo!$C819))</f>
        <v/>
      </c>
    </row>
    <row r="820" customFormat="false" ht="15" hidden="false" customHeight="true" outlineLevel="0" collapsed="false">
      <c r="A820" s="1" t="str">
        <f aca="false">IF(Catálogo!$C820="","",Catálogo!$C820&amp;"|"&amp;COUNTIF(Catálogo!$C$4:$C820,Catálogo!$C820))</f>
        <v/>
      </c>
    </row>
    <row r="821" customFormat="false" ht="15" hidden="false" customHeight="true" outlineLevel="0" collapsed="false">
      <c r="A821" s="1" t="str">
        <f aca="false">IF(Catálogo!$C821="","",Catálogo!$C821&amp;"|"&amp;COUNTIF(Catálogo!$C$4:$C821,Catálogo!$C821))</f>
        <v/>
      </c>
    </row>
    <row r="822" customFormat="false" ht="15" hidden="false" customHeight="true" outlineLevel="0" collapsed="false">
      <c r="A822" s="1" t="str">
        <f aca="false">IF(Catálogo!$C822="","",Catálogo!$C822&amp;"|"&amp;COUNTIF(Catálogo!$C$4:$C822,Catálogo!$C822))</f>
        <v/>
      </c>
    </row>
    <row r="823" customFormat="false" ht="15" hidden="false" customHeight="true" outlineLevel="0" collapsed="false">
      <c r="A823" s="1" t="str">
        <f aca="false">IF(Catálogo!$C823="","",Catálogo!$C823&amp;"|"&amp;COUNTIF(Catálogo!$C$4:$C823,Catálogo!$C823))</f>
        <v/>
      </c>
    </row>
    <row r="824" customFormat="false" ht="15" hidden="false" customHeight="true" outlineLevel="0" collapsed="false">
      <c r="A824" s="1" t="str">
        <f aca="false">IF(Catálogo!$C824="","",Catálogo!$C824&amp;"|"&amp;COUNTIF(Catálogo!$C$4:$C824,Catálogo!$C824))</f>
        <v/>
      </c>
    </row>
    <row r="825" customFormat="false" ht="15" hidden="false" customHeight="true" outlineLevel="0" collapsed="false">
      <c r="A825" s="1" t="str">
        <f aca="false">IF(Catálogo!$C825="","",Catálogo!$C825&amp;"|"&amp;COUNTIF(Catálogo!$C$4:$C825,Catálogo!$C825))</f>
        <v/>
      </c>
    </row>
    <row r="826" customFormat="false" ht="15" hidden="false" customHeight="true" outlineLevel="0" collapsed="false">
      <c r="A826" s="1" t="str">
        <f aca="false">IF(Catálogo!$C826="","",Catálogo!$C826&amp;"|"&amp;COUNTIF(Catálogo!$C$4:$C826,Catálogo!$C826))</f>
        <v/>
      </c>
    </row>
    <row r="827" customFormat="false" ht="15" hidden="false" customHeight="true" outlineLevel="0" collapsed="false">
      <c r="A827" s="1" t="str">
        <f aca="false">IF(Catálogo!$C827="","",Catálogo!$C827&amp;"|"&amp;COUNTIF(Catálogo!$C$4:$C827,Catálogo!$C827))</f>
        <v/>
      </c>
    </row>
    <row r="828" customFormat="false" ht="15" hidden="false" customHeight="true" outlineLevel="0" collapsed="false">
      <c r="A828" s="1" t="str">
        <f aca="false">IF(Catálogo!$C828="","",Catálogo!$C828&amp;"|"&amp;COUNTIF(Catálogo!$C$4:$C828,Catálogo!$C828))</f>
        <v/>
      </c>
    </row>
    <row r="829" customFormat="false" ht="15" hidden="false" customHeight="true" outlineLevel="0" collapsed="false">
      <c r="A829" s="1" t="str">
        <f aca="false">IF(Catálogo!$C829="","",Catálogo!$C829&amp;"|"&amp;COUNTIF(Catálogo!$C$4:$C829,Catálogo!$C829))</f>
        <v/>
      </c>
    </row>
    <row r="830" customFormat="false" ht="15" hidden="false" customHeight="true" outlineLevel="0" collapsed="false">
      <c r="A830" s="1" t="str">
        <f aca="false">IF(Catálogo!$C830="","",Catálogo!$C830&amp;"|"&amp;COUNTIF(Catálogo!$C$4:$C830,Catálogo!$C830))</f>
        <v/>
      </c>
    </row>
    <row r="831" customFormat="false" ht="15" hidden="false" customHeight="true" outlineLevel="0" collapsed="false">
      <c r="A831" s="1" t="str">
        <f aca="false">IF(Catálogo!$C831="","",Catálogo!$C831&amp;"|"&amp;COUNTIF(Catálogo!$C$4:$C831,Catálogo!$C831))</f>
        <v/>
      </c>
    </row>
    <row r="832" customFormat="false" ht="15" hidden="false" customHeight="true" outlineLevel="0" collapsed="false">
      <c r="A832" s="1" t="str">
        <f aca="false">IF(Catálogo!$C832="","",Catálogo!$C832&amp;"|"&amp;COUNTIF(Catálogo!$C$4:$C832,Catálogo!$C832))</f>
        <v/>
      </c>
    </row>
    <row r="833" customFormat="false" ht="15" hidden="false" customHeight="true" outlineLevel="0" collapsed="false">
      <c r="A833" s="1" t="str">
        <f aca="false">IF(Catálogo!$C833="","",Catálogo!$C833&amp;"|"&amp;COUNTIF(Catálogo!$C$4:$C833,Catálogo!$C833))</f>
        <v/>
      </c>
    </row>
    <row r="834" customFormat="false" ht="15" hidden="false" customHeight="true" outlineLevel="0" collapsed="false">
      <c r="A834" s="1" t="str">
        <f aca="false">IF(Catálogo!$C834="","",Catálogo!$C834&amp;"|"&amp;COUNTIF(Catálogo!$C$4:$C834,Catálogo!$C834))</f>
        <v/>
      </c>
    </row>
    <row r="835" customFormat="false" ht="15" hidden="false" customHeight="true" outlineLevel="0" collapsed="false">
      <c r="A835" s="1" t="str">
        <f aca="false">IF(Catálogo!$C835="","",Catálogo!$C835&amp;"|"&amp;COUNTIF(Catálogo!$C$4:$C835,Catálogo!$C835))</f>
        <v/>
      </c>
    </row>
    <row r="836" customFormat="false" ht="15" hidden="false" customHeight="true" outlineLevel="0" collapsed="false">
      <c r="A836" s="1" t="str">
        <f aca="false">IF(Catálogo!$C836="","",Catálogo!$C836&amp;"|"&amp;COUNTIF(Catálogo!$C$4:$C836,Catálogo!$C836))</f>
        <v/>
      </c>
    </row>
    <row r="837" customFormat="false" ht="15" hidden="false" customHeight="true" outlineLevel="0" collapsed="false">
      <c r="A837" s="1" t="str">
        <f aca="false">IF(Catálogo!$C837="","",Catálogo!$C837&amp;"|"&amp;COUNTIF(Catálogo!$C$4:$C837,Catálogo!$C837))</f>
        <v/>
      </c>
    </row>
    <row r="838" customFormat="false" ht="15" hidden="false" customHeight="true" outlineLevel="0" collapsed="false">
      <c r="A838" s="1" t="str">
        <f aca="false">IF(Catálogo!$C838="","",Catálogo!$C838&amp;"|"&amp;COUNTIF(Catálogo!$C$4:$C838,Catálogo!$C838))</f>
        <v/>
      </c>
    </row>
    <row r="839" customFormat="false" ht="15" hidden="false" customHeight="true" outlineLevel="0" collapsed="false">
      <c r="A839" s="1" t="str">
        <f aca="false">IF(Catálogo!$C839="","",Catálogo!$C839&amp;"|"&amp;COUNTIF(Catálogo!$C$4:$C839,Catálogo!$C839))</f>
        <v/>
      </c>
    </row>
    <row r="840" customFormat="false" ht="15" hidden="false" customHeight="true" outlineLevel="0" collapsed="false">
      <c r="A840" s="1" t="str">
        <f aca="false">IF(Catálogo!$C840="","",Catálogo!$C840&amp;"|"&amp;COUNTIF(Catálogo!$C$4:$C840,Catálogo!$C840))</f>
        <v/>
      </c>
    </row>
    <row r="841" customFormat="false" ht="15" hidden="false" customHeight="true" outlineLevel="0" collapsed="false">
      <c r="A841" s="1" t="str">
        <f aca="false">IF(Catálogo!$C841="","",Catálogo!$C841&amp;"|"&amp;COUNTIF(Catálogo!$C$4:$C841,Catálogo!$C841))</f>
        <v/>
      </c>
    </row>
    <row r="842" customFormat="false" ht="15" hidden="false" customHeight="true" outlineLevel="0" collapsed="false">
      <c r="A842" s="1" t="str">
        <f aca="false">IF(Catálogo!$C842="","",Catálogo!$C842&amp;"|"&amp;COUNTIF(Catálogo!$C$4:$C842,Catálogo!$C842))</f>
        <v/>
      </c>
    </row>
    <row r="843" customFormat="false" ht="15" hidden="false" customHeight="true" outlineLevel="0" collapsed="false">
      <c r="A843" s="1" t="str">
        <f aca="false">IF(Catálogo!$C843="","",Catálogo!$C843&amp;"|"&amp;COUNTIF(Catálogo!$C$4:$C843,Catálogo!$C843))</f>
        <v/>
      </c>
    </row>
    <row r="844" customFormat="false" ht="15" hidden="false" customHeight="true" outlineLevel="0" collapsed="false">
      <c r="A844" s="1" t="str">
        <f aca="false">IF(Catálogo!$C844="","",Catálogo!$C844&amp;"|"&amp;COUNTIF(Catálogo!$C$4:$C844,Catálogo!$C844))</f>
        <v/>
      </c>
    </row>
    <row r="845" customFormat="false" ht="15" hidden="false" customHeight="true" outlineLevel="0" collapsed="false">
      <c r="A845" s="1" t="str">
        <f aca="false">IF(Catálogo!$C845="","",Catálogo!$C845&amp;"|"&amp;COUNTIF(Catálogo!$C$4:$C845,Catálogo!$C845))</f>
        <v/>
      </c>
    </row>
    <row r="846" customFormat="false" ht="15" hidden="false" customHeight="true" outlineLevel="0" collapsed="false">
      <c r="A846" s="1" t="str">
        <f aca="false">IF(Catálogo!$C846="","",Catálogo!$C846&amp;"|"&amp;COUNTIF(Catálogo!$C$4:$C846,Catálogo!$C846))</f>
        <v/>
      </c>
    </row>
    <row r="847" customFormat="false" ht="15" hidden="false" customHeight="true" outlineLevel="0" collapsed="false">
      <c r="A847" s="1" t="str">
        <f aca="false">IF(Catálogo!$C847="","",Catálogo!$C847&amp;"|"&amp;COUNTIF(Catálogo!$C$4:$C847,Catálogo!$C847))</f>
        <v/>
      </c>
    </row>
    <row r="848" customFormat="false" ht="15" hidden="false" customHeight="true" outlineLevel="0" collapsed="false">
      <c r="A848" s="1" t="str">
        <f aca="false">IF(Catálogo!$C848="","",Catálogo!$C848&amp;"|"&amp;COUNTIF(Catálogo!$C$4:$C848,Catálogo!$C848))</f>
        <v/>
      </c>
    </row>
    <row r="849" customFormat="false" ht="15" hidden="false" customHeight="true" outlineLevel="0" collapsed="false">
      <c r="A849" s="1" t="str">
        <f aca="false">IF(Catálogo!$C849="","",Catálogo!$C849&amp;"|"&amp;COUNTIF(Catálogo!$C$4:$C849,Catálogo!$C849))</f>
        <v/>
      </c>
    </row>
    <row r="850" customFormat="false" ht="15" hidden="false" customHeight="true" outlineLevel="0" collapsed="false">
      <c r="A850" s="1" t="str">
        <f aca="false">IF(Catálogo!$C850="","",Catálogo!$C850&amp;"|"&amp;COUNTIF(Catálogo!$C$4:$C850,Catálogo!$C850))</f>
        <v/>
      </c>
    </row>
    <row r="851" customFormat="false" ht="15" hidden="false" customHeight="true" outlineLevel="0" collapsed="false">
      <c r="A851" s="1" t="str">
        <f aca="false">IF(Catálogo!$C851="","",Catálogo!$C851&amp;"|"&amp;COUNTIF(Catálogo!$C$4:$C851,Catálogo!$C851))</f>
        <v/>
      </c>
    </row>
    <row r="852" customFormat="false" ht="15" hidden="false" customHeight="true" outlineLevel="0" collapsed="false">
      <c r="A852" s="1" t="str">
        <f aca="false">IF(Catálogo!$C852="","",Catálogo!$C852&amp;"|"&amp;COUNTIF(Catálogo!$C$4:$C852,Catálogo!$C852))</f>
        <v/>
      </c>
    </row>
    <row r="853" customFormat="false" ht="15" hidden="false" customHeight="true" outlineLevel="0" collapsed="false">
      <c r="A853" s="1" t="str">
        <f aca="false">IF(Catálogo!$C853="","",Catálogo!$C853&amp;"|"&amp;COUNTIF(Catálogo!$C$4:$C853,Catálogo!$C853))</f>
        <v/>
      </c>
    </row>
    <row r="854" customFormat="false" ht="15" hidden="false" customHeight="true" outlineLevel="0" collapsed="false">
      <c r="A854" s="1" t="str">
        <f aca="false">IF(Catálogo!$C854="","",Catálogo!$C854&amp;"|"&amp;COUNTIF(Catálogo!$C$4:$C854,Catálogo!$C854))</f>
        <v/>
      </c>
    </row>
    <row r="855" customFormat="false" ht="15" hidden="false" customHeight="true" outlineLevel="0" collapsed="false">
      <c r="A855" s="1" t="str">
        <f aca="false">IF(Catálogo!$C855="","",Catálogo!$C855&amp;"|"&amp;COUNTIF(Catálogo!$C$4:$C855,Catálogo!$C855))</f>
        <v/>
      </c>
    </row>
    <row r="856" customFormat="false" ht="15" hidden="false" customHeight="true" outlineLevel="0" collapsed="false">
      <c r="A856" s="1" t="str">
        <f aca="false">IF(Catálogo!$C856="","",Catálogo!$C856&amp;"|"&amp;COUNTIF(Catálogo!$C$4:$C856,Catálogo!$C856))</f>
        <v/>
      </c>
    </row>
    <row r="857" customFormat="false" ht="15" hidden="false" customHeight="true" outlineLevel="0" collapsed="false">
      <c r="A857" s="1" t="str">
        <f aca="false">IF(Catálogo!$C857="","",Catálogo!$C857&amp;"|"&amp;COUNTIF(Catálogo!$C$4:$C857,Catálogo!$C857))</f>
        <v/>
      </c>
    </row>
    <row r="858" customFormat="false" ht="15" hidden="false" customHeight="true" outlineLevel="0" collapsed="false">
      <c r="A858" s="1" t="str">
        <f aca="false">IF(Catálogo!$C858="","",Catálogo!$C858&amp;"|"&amp;COUNTIF(Catálogo!$C$4:$C858,Catálogo!$C858))</f>
        <v/>
      </c>
    </row>
    <row r="859" customFormat="false" ht="15" hidden="false" customHeight="true" outlineLevel="0" collapsed="false">
      <c r="A859" s="1" t="str">
        <f aca="false">IF(Catálogo!$C859="","",Catálogo!$C859&amp;"|"&amp;COUNTIF(Catálogo!$C$4:$C859,Catálogo!$C859))</f>
        <v/>
      </c>
    </row>
    <row r="860" customFormat="false" ht="15" hidden="false" customHeight="true" outlineLevel="0" collapsed="false">
      <c r="A860" s="1" t="str">
        <f aca="false">IF(Catálogo!$C860="","",Catálogo!$C860&amp;"|"&amp;COUNTIF(Catálogo!$C$4:$C860,Catálogo!$C860))</f>
        <v/>
      </c>
    </row>
    <row r="861" customFormat="false" ht="15" hidden="false" customHeight="true" outlineLevel="0" collapsed="false">
      <c r="A861" s="1" t="str">
        <f aca="false">IF(Catálogo!$C861="","",Catálogo!$C861&amp;"|"&amp;COUNTIF(Catálogo!$C$4:$C861,Catálogo!$C861))</f>
        <v/>
      </c>
    </row>
    <row r="862" customFormat="false" ht="15" hidden="false" customHeight="true" outlineLevel="0" collapsed="false">
      <c r="A862" s="1" t="str">
        <f aca="false">IF(Catálogo!$C862="","",Catálogo!$C862&amp;"|"&amp;COUNTIF(Catálogo!$C$4:$C862,Catálogo!$C862))</f>
        <v/>
      </c>
    </row>
    <row r="863" customFormat="false" ht="15" hidden="false" customHeight="true" outlineLevel="0" collapsed="false">
      <c r="A863" s="1" t="str">
        <f aca="false">IF(Catálogo!$C863="","",Catálogo!$C863&amp;"|"&amp;COUNTIF(Catálogo!$C$4:$C863,Catálogo!$C863))</f>
        <v/>
      </c>
    </row>
    <row r="864" customFormat="false" ht="15" hidden="false" customHeight="true" outlineLevel="0" collapsed="false">
      <c r="A864" s="1" t="str">
        <f aca="false">IF(Catálogo!$C864="","",Catálogo!$C864&amp;"|"&amp;COUNTIF(Catálogo!$C$4:$C864,Catálogo!$C864))</f>
        <v/>
      </c>
    </row>
    <row r="865" customFormat="false" ht="15" hidden="false" customHeight="true" outlineLevel="0" collapsed="false">
      <c r="A865" s="1" t="str">
        <f aca="false">IF(Catálogo!$C865="","",Catálogo!$C865&amp;"|"&amp;COUNTIF(Catálogo!$C$4:$C865,Catálogo!$C865))</f>
        <v/>
      </c>
    </row>
    <row r="866" customFormat="false" ht="15" hidden="false" customHeight="true" outlineLevel="0" collapsed="false">
      <c r="A866" s="1" t="str">
        <f aca="false">IF(Catálogo!$C866="","",Catálogo!$C866&amp;"|"&amp;COUNTIF(Catálogo!$C$4:$C866,Catálogo!$C866))</f>
        <v/>
      </c>
    </row>
    <row r="867" customFormat="false" ht="15" hidden="false" customHeight="true" outlineLevel="0" collapsed="false">
      <c r="A867" s="1" t="str">
        <f aca="false">IF(Catálogo!$C867="","",Catálogo!$C867&amp;"|"&amp;COUNTIF(Catálogo!$C$4:$C867,Catálogo!$C867))</f>
        <v/>
      </c>
    </row>
    <row r="868" customFormat="false" ht="15" hidden="false" customHeight="true" outlineLevel="0" collapsed="false">
      <c r="A868" s="1" t="str">
        <f aca="false">IF(Catálogo!$C868="","",Catálogo!$C868&amp;"|"&amp;COUNTIF(Catálogo!$C$4:$C868,Catálogo!$C868))</f>
        <v/>
      </c>
    </row>
    <row r="869" customFormat="false" ht="15" hidden="false" customHeight="true" outlineLevel="0" collapsed="false">
      <c r="A869" s="1" t="str">
        <f aca="false">IF(Catálogo!$C869="","",Catálogo!$C869&amp;"|"&amp;COUNTIF(Catálogo!$C$4:$C869,Catálogo!$C869))</f>
        <v/>
      </c>
    </row>
    <row r="870" customFormat="false" ht="15" hidden="false" customHeight="true" outlineLevel="0" collapsed="false">
      <c r="A870" s="1" t="str">
        <f aca="false">IF(Catálogo!$C870="","",Catálogo!$C870&amp;"|"&amp;COUNTIF(Catálogo!$C$4:$C870,Catálogo!$C870))</f>
        <v/>
      </c>
    </row>
    <row r="871" customFormat="false" ht="15" hidden="false" customHeight="true" outlineLevel="0" collapsed="false">
      <c r="A871" s="1" t="str">
        <f aca="false">IF(Catálogo!$C871="","",Catálogo!$C871&amp;"|"&amp;COUNTIF(Catálogo!$C$4:$C871,Catálogo!$C871))</f>
        <v/>
      </c>
    </row>
    <row r="872" customFormat="false" ht="15" hidden="false" customHeight="true" outlineLevel="0" collapsed="false">
      <c r="A872" s="1" t="str">
        <f aca="false">IF(Catálogo!$C872="","",Catálogo!$C872&amp;"|"&amp;COUNTIF(Catálogo!$C$4:$C872,Catálogo!$C872))</f>
        <v/>
      </c>
    </row>
    <row r="873" customFormat="false" ht="15" hidden="false" customHeight="true" outlineLevel="0" collapsed="false">
      <c r="A873" s="1" t="str">
        <f aca="false">IF(Catálogo!$C873="","",Catálogo!$C873&amp;"|"&amp;COUNTIF(Catálogo!$C$4:$C873,Catálogo!$C873))</f>
        <v/>
      </c>
    </row>
    <row r="874" customFormat="false" ht="15" hidden="false" customHeight="true" outlineLevel="0" collapsed="false">
      <c r="A874" s="1" t="str">
        <f aca="false">IF(Catálogo!$C874="","",Catálogo!$C874&amp;"|"&amp;COUNTIF(Catálogo!$C$4:$C874,Catálogo!$C874))</f>
        <v/>
      </c>
    </row>
    <row r="875" customFormat="false" ht="15" hidden="false" customHeight="true" outlineLevel="0" collapsed="false">
      <c r="A875" s="1" t="str">
        <f aca="false">IF(Catálogo!$C875="","",Catálogo!$C875&amp;"|"&amp;COUNTIF(Catálogo!$C$4:$C875,Catálogo!$C875))</f>
        <v/>
      </c>
    </row>
    <row r="876" customFormat="false" ht="15" hidden="false" customHeight="true" outlineLevel="0" collapsed="false">
      <c r="A876" s="1" t="str">
        <f aca="false">IF(Catálogo!$C876="","",Catálogo!$C876&amp;"|"&amp;COUNTIF(Catálogo!$C$4:$C876,Catálogo!$C876))</f>
        <v/>
      </c>
    </row>
    <row r="877" customFormat="false" ht="15" hidden="false" customHeight="true" outlineLevel="0" collapsed="false">
      <c r="A877" s="1" t="str">
        <f aca="false">IF(Catálogo!$C877="","",Catálogo!$C877&amp;"|"&amp;COUNTIF(Catálogo!$C$4:$C877,Catálogo!$C877))</f>
        <v/>
      </c>
    </row>
    <row r="878" customFormat="false" ht="15" hidden="false" customHeight="true" outlineLevel="0" collapsed="false">
      <c r="A878" s="1" t="str">
        <f aca="false">IF(Catálogo!$C878="","",Catálogo!$C878&amp;"|"&amp;COUNTIF(Catálogo!$C$4:$C878,Catálogo!$C878))</f>
        <v/>
      </c>
    </row>
    <row r="879" customFormat="false" ht="15" hidden="false" customHeight="true" outlineLevel="0" collapsed="false">
      <c r="A879" s="1" t="str">
        <f aca="false">IF(Catálogo!$C879="","",Catálogo!$C879&amp;"|"&amp;COUNTIF(Catálogo!$C$4:$C879,Catálogo!$C879))</f>
        <v/>
      </c>
    </row>
    <row r="880" customFormat="false" ht="15" hidden="false" customHeight="true" outlineLevel="0" collapsed="false">
      <c r="A880" s="1" t="str">
        <f aca="false">IF(Catálogo!$C880="","",Catálogo!$C880&amp;"|"&amp;COUNTIF(Catálogo!$C$4:$C880,Catálogo!$C880))</f>
        <v/>
      </c>
    </row>
    <row r="881" customFormat="false" ht="15" hidden="false" customHeight="true" outlineLevel="0" collapsed="false">
      <c r="A881" s="1" t="str">
        <f aca="false">IF(Catálogo!$C881="","",Catálogo!$C881&amp;"|"&amp;COUNTIF(Catálogo!$C$4:$C881,Catálogo!$C881))</f>
        <v/>
      </c>
    </row>
    <row r="882" customFormat="false" ht="15" hidden="false" customHeight="true" outlineLevel="0" collapsed="false">
      <c r="A882" s="1" t="str">
        <f aca="false">IF(Catálogo!$C882="","",Catálogo!$C882&amp;"|"&amp;COUNTIF(Catálogo!$C$4:$C882,Catálogo!$C882))</f>
        <v/>
      </c>
    </row>
    <row r="883" customFormat="false" ht="15" hidden="false" customHeight="true" outlineLevel="0" collapsed="false">
      <c r="A883" s="1" t="str">
        <f aca="false">IF(Catálogo!$C883="","",Catálogo!$C883&amp;"|"&amp;COUNTIF(Catálogo!$C$4:$C883,Catálogo!$C883))</f>
        <v/>
      </c>
    </row>
    <row r="884" customFormat="false" ht="15" hidden="false" customHeight="true" outlineLevel="0" collapsed="false">
      <c r="A884" s="1" t="str">
        <f aca="false">IF(Catálogo!$C884="","",Catálogo!$C884&amp;"|"&amp;COUNTIF(Catálogo!$C$4:$C884,Catálogo!$C884))</f>
        <v/>
      </c>
    </row>
    <row r="885" customFormat="false" ht="15" hidden="false" customHeight="true" outlineLevel="0" collapsed="false">
      <c r="A885" s="1" t="str">
        <f aca="false">IF(Catálogo!$C885="","",Catálogo!$C885&amp;"|"&amp;COUNTIF(Catálogo!$C$4:$C885,Catálogo!$C885))</f>
        <v/>
      </c>
    </row>
    <row r="886" customFormat="false" ht="15" hidden="false" customHeight="true" outlineLevel="0" collapsed="false">
      <c r="A886" s="1" t="str">
        <f aca="false">IF(Catálogo!$C886="","",Catálogo!$C886&amp;"|"&amp;COUNTIF(Catálogo!$C$4:$C886,Catálogo!$C886))</f>
        <v/>
      </c>
    </row>
    <row r="887" customFormat="false" ht="15" hidden="false" customHeight="true" outlineLevel="0" collapsed="false">
      <c r="A887" s="1" t="str">
        <f aca="false">IF(Catálogo!$C887="","",Catálogo!$C887&amp;"|"&amp;COUNTIF(Catálogo!$C$4:$C887,Catálogo!$C887))</f>
        <v/>
      </c>
    </row>
    <row r="888" customFormat="false" ht="15" hidden="false" customHeight="true" outlineLevel="0" collapsed="false">
      <c r="A888" s="1" t="str">
        <f aca="false">IF(Catálogo!$C888="","",Catálogo!$C888&amp;"|"&amp;COUNTIF(Catálogo!$C$4:$C888,Catálogo!$C888))</f>
        <v/>
      </c>
    </row>
    <row r="889" customFormat="false" ht="15" hidden="false" customHeight="true" outlineLevel="0" collapsed="false">
      <c r="A889" s="1" t="str">
        <f aca="false">IF(Catálogo!$C889="","",Catálogo!$C889&amp;"|"&amp;COUNTIF(Catálogo!$C$4:$C889,Catálogo!$C889))</f>
        <v/>
      </c>
    </row>
    <row r="890" customFormat="false" ht="15" hidden="false" customHeight="true" outlineLevel="0" collapsed="false">
      <c r="A890" s="1" t="str">
        <f aca="false">IF(Catálogo!$C890="","",Catálogo!$C890&amp;"|"&amp;COUNTIF(Catálogo!$C$4:$C890,Catálogo!$C890))</f>
        <v/>
      </c>
    </row>
    <row r="891" customFormat="false" ht="15" hidden="false" customHeight="true" outlineLevel="0" collapsed="false">
      <c r="A891" s="1" t="str">
        <f aca="false">IF(Catálogo!$C891="","",Catálogo!$C891&amp;"|"&amp;COUNTIF(Catálogo!$C$4:$C891,Catálogo!$C891))</f>
        <v/>
      </c>
    </row>
    <row r="892" customFormat="false" ht="15" hidden="false" customHeight="true" outlineLevel="0" collapsed="false">
      <c r="A892" s="1" t="str">
        <f aca="false">IF(Catálogo!$C892="","",Catálogo!$C892&amp;"|"&amp;COUNTIF(Catálogo!$C$4:$C892,Catálogo!$C892))</f>
        <v/>
      </c>
    </row>
    <row r="893" customFormat="false" ht="15" hidden="false" customHeight="true" outlineLevel="0" collapsed="false">
      <c r="A893" s="1" t="str">
        <f aca="false">IF(Catálogo!$C893="","",Catálogo!$C893&amp;"|"&amp;COUNTIF(Catálogo!$C$4:$C893,Catálogo!$C893))</f>
        <v/>
      </c>
    </row>
    <row r="894" customFormat="false" ht="15" hidden="false" customHeight="true" outlineLevel="0" collapsed="false">
      <c r="A894" s="1" t="str">
        <f aca="false">IF(Catálogo!$C894="","",Catálogo!$C894&amp;"|"&amp;COUNTIF(Catálogo!$C$4:$C894,Catálogo!$C894))</f>
        <v/>
      </c>
    </row>
    <row r="895" customFormat="false" ht="15" hidden="false" customHeight="true" outlineLevel="0" collapsed="false">
      <c r="A895" s="1" t="str">
        <f aca="false">IF(Catálogo!$C895="","",Catálogo!$C895&amp;"|"&amp;COUNTIF(Catálogo!$C$4:$C895,Catálogo!$C895))</f>
        <v/>
      </c>
    </row>
    <row r="896" customFormat="false" ht="15" hidden="false" customHeight="true" outlineLevel="0" collapsed="false">
      <c r="A896" s="1" t="str">
        <f aca="false">IF(Catálogo!$C896="","",Catálogo!$C896&amp;"|"&amp;COUNTIF(Catálogo!$C$4:$C896,Catálogo!$C896))</f>
        <v/>
      </c>
    </row>
    <row r="897" customFormat="false" ht="15" hidden="false" customHeight="true" outlineLevel="0" collapsed="false">
      <c r="A897" s="1" t="str">
        <f aca="false">IF(Catálogo!$C897="","",Catálogo!$C897&amp;"|"&amp;COUNTIF(Catálogo!$C$4:$C897,Catálogo!$C897))</f>
        <v/>
      </c>
    </row>
    <row r="898" customFormat="false" ht="15" hidden="false" customHeight="true" outlineLevel="0" collapsed="false">
      <c r="A898" s="1" t="str">
        <f aca="false">IF(Catálogo!$C898="","",Catálogo!$C898&amp;"|"&amp;COUNTIF(Catálogo!$C$4:$C898,Catálogo!$C898))</f>
        <v/>
      </c>
    </row>
    <row r="899" customFormat="false" ht="15" hidden="false" customHeight="true" outlineLevel="0" collapsed="false">
      <c r="A899" s="1" t="str">
        <f aca="false">IF(Catálogo!$C899="","",Catálogo!$C899&amp;"|"&amp;COUNTIF(Catálogo!$C$4:$C899,Catálogo!$C899))</f>
        <v/>
      </c>
    </row>
    <row r="900" customFormat="false" ht="15" hidden="false" customHeight="true" outlineLevel="0" collapsed="false">
      <c r="A900" s="1" t="str">
        <f aca="false">IF(Catálogo!$C900="","",Catálogo!$C900&amp;"|"&amp;COUNTIF(Catálogo!$C$4:$C900,Catálogo!$C900))</f>
        <v/>
      </c>
    </row>
    <row r="901" customFormat="false" ht="15" hidden="false" customHeight="true" outlineLevel="0" collapsed="false">
      <c r="A901" s="1" t="str">
        <f aca="false">IF(Catálogo!$C901="","",Catálogo!$C901&amp;"|"&amp;COUNTIF(Catálogo!$C$4:$C901,Catálogo!$C901))</f>
        <v/>
      </c>
    </row>
    <row r="902" customFormat="false" ht="15" hidden="false" customHeight="true" outlineLevel="0" collapsed="false">
      <c r="A902" s="1" t="str">
        <f aca="false">IF(Catálogo!$C902="","",Catálogo!$C902&amp;"|"&amp;COUNTIF(Catálogo!$C$4:$C902,Catálogo!$C902))</f>
        <v/>
      </c>
    </row>
    <row r="903" customFormat="false" ht="15" hidden="false" customHeight="true" outlineLevel="0" collapsed="false">
      <c r="A903" s="1" t="str">
        <f aca="false">IF(Catálogo!$C903="","",Catálogo!$C903&amp;"|"&amp;COUNTIF(Catálogo!$C$4:$C903,Catálogo!$C903))</f>
        <v/>
      </c>
    </row>
    <row r="904" customFormat="false" ht="15" hidden="false" customHeight="true" outlineLevel="0" collapsed="false">
      <c r="A904" s="1" t="str">
        <f aca="false">IF(Catálogo!$C904="","",Catálogo!$C904&amp;"|"&amp;COUNTIF(Catálogo!$C$4:$C904,Catálogo!$C904))</f>
        <v/>
      </c>
    </row>
    <row r="905" customFormat="false" ht="15" hidden="false" customHeight="true" outlineLevel="0" collapsed="false">
      <c r="A905" s="1" t="str">
        <f aca="false">IF(Catálogo!$C905="","",Catálogo!$C905&amp;"|"&amp;COUNTIF(Catálogo!$C$4:$C905,Catálogo!$C905))</f>
        <v/>
      </c>
    </row>
    <row r="906" customFormat="false" ht="15" hidden="false" customHeight="true" outlineLevel="0" collapsed="false">
      <c r="A906" s="1" t="str">
        <f aca="false">IF(Catálogo!$C906="","",Catálogo!$C906&amp;"|"&amp;COUNTIF(Catálogo!$C$4:$C906,Catálogo!$C906))</f>
        <v/>
      </c>
    </row>
    <row r="907" customFormat="false" ht="15" hidden="false" customHeight="true" outlineLevel="0" collapsed="false">
      <c r="A907" s="1" t="str">
        <f aca="false">IF(Catálogo!$C907="","",Catálogo!$C907&amp;"|"&amp;COUNTIF(Catálogo!$C$4:$C907,Catálogo!$C907))</f>
        <v/>
      </c>
    </row>
    <row r="908" customFormat="false" ht="15" hidden="false" customHeight="true" outlineLevel="0" collapsed="false">
      <c r="A908" s="1" t="str">
        <f aca="false">IF(Catálogo!$C908="","",Catálogo!$C908&amp;"|"&amp;COUNTIF(Catálogo!$C$4:$C908,Catálogo!$C908))</f>
        <v/>
      </c>
    </row>
    <row r="909" customFormat="false" ht="15" hidden="false" customHeight="true" outlineLevel="0" collapsed="false">
      <c r="A909" s="1" t="str">
        <f aca="false">IF(Catálogo!$C909="","",Catálogo!$C909&amp;"|"&amp;COUNTIF(Catálogo!$C$4:$C909,Catálogo!$C909))</f>
        <v/>
      </c>
    </row>
    <row r="910" customFormat="false" ht="15" hidden="false" customHeight="true" outlineLevel="0" collapsed="false">
      <c r="A910" s="1" t="str">
        <f aca="false">IF(Catálogo!$C910="","",Catálogo!$C910&amp;"|"&amp;COUNTIF(Catálogo!$C$4:$C910,Catálogo!$C910))</f>
        <v/>
      </c>
    </row>
    <row r="911" customFormat="false" ht="15" hidden="false" customHeight="true" outlineLevel="0" collapsed="false">
      <c r="A911" s="1" t="str">
        <f aca="false">IF(Catálogo!$C911="","",Catálogo!$C911&amp;"|"&amp;COUNTIF(Catálogo!$C$4:$C911,Catálogo!$C911))</f>
        <v/>
      </c>
    </row>
    <row r="912" customFormat="false" ht="15" hidden="false" customHeight="true" outlineLevel="0" collapsed="false">
      <c r="A912" s="1" t="str">
        <f aca="false">IF(Catálogo!$C912="","",Catálogo!$C912&amp;"|"&amp;COUNTIF(Catálogo!$C$4:$C912,Catálogo!$C912))</f>
        <v/>
      </c>
    </row>
    <row r="913" customFormat="false" ht="15" hidden="false" customHeight="true" outlineLevel="0" collapsed="false">
      <c r="A913" s="1" t="str">
        <f aca="false">IF(Catálogo!$C913="","",Catálogo!$C913&amp;"|"&amp;COUNTIF(Catálogo!$C$4:$C913,Catálogo!$C913))</f>
        <v/>
      </c>
    </row>
    <row r="914" customFormat="false" ht="15" hidden="false" customHeight="true" outlineLevel="0" collapsed="false">
      <c r="A914" s="1" t="str">
        <f aca="false">IF(Catálogo!$C914="","",Catálogo!$C914&amp;"|"&amp;COUNTIF(Catálogo!$C$4:$C914,Catálogo!$C914))</f>
        <v/>
      </c>
    </row>
    <row r="915" customFormat="false" ht="15" hidden="false" customHeight="true" outlineLevel="0" collapsed="false">
      <c r="A915" s="1" t="str">
        <f aca="false">IF(Catálogo!$C915="","",Catálogo!$C915&amp;"|"&amp;COUNTIF(Catálogo!$C$4:$C915,Catálogo!$C915))</f>
        <v/>
      </c>
    </row>
    <row r="916" customFormat="false" ht="15" hidden="false" customHeight="true" outlineLevel="0" collapsed="false">
      <c r="A916" s="1" t="str">
        <f aca="false">IF(Catálogo!$C916="","",Catálogo!$C916&amp;"|"&amp;COUNTIF(Catálogo!$C$4:$C916,Catálogo!$C916))</f>
        <v/>
      </c>
    </row>
    <row r="917" customFormat="false" ht="15" hidden="false" customHeight="true" outlineLevel="0" collapsed="false">
      <c r="A917" s="1" t="str">
        <f aca="false">IF(Catálogo!$C917="","",Catálogo!$C917&amp;"|"&amp;COUNTIF(Catálogo!$C$4:$C917,Catálogo!$C917))</f>
        <v/>
      </c>
    </row>
    <row r="918" customFormat="false" ht="15" hidden="false" customHeight="true" outlineLevel="0" collapsed="false">
      <c r="A918" s="1" t="str">
        <f aca="false">IF(Catálogo!$C918="","",Catálogo!$C918&amp;"|"&amp;COUNTIF(Catálogo!$C$4:$C918,Catálogo!$C918))</f>
        <v/>
      </c>
    </row>
    <row r="919" customFormat="false" ht="15" hidden="false" customHeight="true" outlineLevel="0" collapsed="false">
      <c r="A919" s="1" t="str">
        <f aca="false">IF(Catálogo!$C919="","",Catálogo!$C919&amp;"|"&amp;COUNTIF(Catálogo!$C$4:$C919,Catálogo!$C919))</f>
        <v/>
      </c>
    </row>
    <row r="920" customFormat="false" ht="15" hidden="false" customHeight="true" outlineLevel="0" collapsed="false">
      <c r="A920" s="1" t="str">
        <f aca="false">IF(Catálogo!$C920="","",Catálogo!$C920&amp;"|"&amp;COUNTIF(Catálogo!$C$4:$C920,Catálogo!$C920))</f>
        <v/>
      </c>
    </row>
    <row r="921" customFormat="false" ht="15" hidden="false" customHeight="true" outlineLevel="0" collapsed="false">
      <c r="A921" s="1" t="str">
        <f aca="false">IF(Catálogo!$C921="","",Catálogo!$C921&amp;"|"&amp;COUNTIF(Catálogo!$C$4:$C921,Catálogo!$C921))</f>
        <v/>
      </c>
    </row>
    <row r="922" customFormat="false" ht="15" hidden="false" customHeight="true" outlineLevel="0" collapsed="false">
      <c r="A922" s="1" t="str">
        <f aca="false">IF(Catálogo!$C922="","",Catálogo!$C922&amp;"|"&amp;COUNTIF(Catálogo!$C$4:$C922,Catálogo!$C922))</f>
        <v/>
      </c>
    </row>
    <row r="923" customFormat="false" ht="15" hidden="false" customHeight="true" outlineLevel="0" collapsed="false">
      <c r="A923" s="1" t="str">
        <f aca="false">IF(Catálogo!$C923="","",Catálogo!$C923&amp;"|"&amp;COUNTIF(Catálogo!$C$4:$C923,Catálogo!$C923))</f>
        <v/>
      </c>
    </row>
    <row r="924" customFormat="false" ht="15" hidden="false" customHeight="true" outlineLevel="0" collapsed="false">
      <c r="A924" s="1" t="str">
        <f aca="false">IF(Catálogo!$C924="","",Catálogo!$C924&amp;"|"&amp;COUNTIF(Catálogo!$C$4:$C924,Catálogo!$C924))</f>
        <v/>
      </c>
    </row>
    <row r="925" customFormat="false" ht="15" hidden="false" customHeight="true" outlineLevel="0" collapsed="false">
      <c r="A925" s="1" t="str">
        <f aca="false">IF(Catálogo!$C925="","",Catálogo!$C925&amp;"|"&amp;COUNTIF(Catálogo!$C$4:$C925,Catálogo!$C925))</f>
        <v/>
      </c>
    </row>
    <row r="926" customFormat="false" ht="15" hidden="false" customHeight="true" outlineLevel="0" collapsed="false">
      <c r="A926" s="1" t="str">
        <f aca="false">IF(Catálogo!$C926="","",Catálogo!$C926&amp;"|"&amp;COUNTIF(Catálogo!$C$4:$C926,Catálogo!$C926))</f>
        <v/>
      </c>
    </row>
    <row r="927" customFormat="false" ht="15" hidden="false" customHeight="true" outlineLevel="0" collapsed="false">
      <c r="A927" s="1" t="str">
        <f aca="false">IF(Catálogo!$C927="","",Catálogo!$C927&amp;"|"&amp;COUNTIF(Catálogo!$C$4:$C927,Catálogo!$C927))</f>
        <v/>
      </c>
    </row>
    <row r="928" customFormat="false" ht="15" hidden="false" customHeight="true" outlineLevel="0" collapsed="false">
      <c r="A928" s="1" t="str">
        <f aca="false">IF(Catálogo!$C928="","",Catálogo!$C928&amp;"|"&amp;COUNTIF(Catálogo!$C$4:$C928,Catálogo!$C928))</f>
        <v/>
      </c>
    </row>
    <row r="929" customFormat="false" ht="15" hidden="false" customHeight="true" outlineLevel="0" collapsed="false">
      <c r="A929" s="1" t="str">
        <f aca="false">IF(Catálogo!$C929="","",Catálogo!$C929&amp;"|"&amp;COUNTIF(Catálogo!$C$4:$C929,Catálogo!$C929))</f>
        <v/>
      </c>
    </row>
    <row r="930" customFormat="false" ht="15" hidden="false" customHeight="true" outlineLevel="0" collapsed="false">
      <c r="A930" s="1" t="str">
        <f aca="false">IF(Catálogo!$C930="","",Catálogo!$C930&amp;"|"&amp;COUNTIF(Catálogo!$C$4:$C930,Catálogo!$C930))</f>
        <v/>
      </c>
    </row>
    <row r="931" customFormat="false" ht="15" hidden="false" customHeight="true" outlineLevel="0" collapsed="false">
      <c r="A931" s="1" t="str">
        <f aca="false">IF(Catálogo!$C931="","",Catálogo!$C931&amp;"|"&amp;COUNTIF(Catálogo!$C$4:$C931,Catálogo!$C931))</f>
        <v/>
      </c>
    </row>
    <row r="932" customFormat="false" ht="15" hidden="false" customHeight="true" outlineLevel="0" collapsed="false">
      <c r="A932" s="1" t="str">
        <f aca="false">IF(Catálogo!$C932="","",Catálogo!$C932&amp;"|"&amp;COUNTIF(Catálogo!$C$4:$C932,Catálogo!$C932))</f>
        <v/>
      </c>
    </row>
    <row r="933" customFormat="false" ht="15" hidden="false" customHeight="true" outlineLevel="0" collapsed="false">
      <c r="A933" s="1" t="str">
        <f aca="false">IF(Catálogo!$C933="","",Catálogo!$C933&amp;"|"&amp;COUNTIF(Catálogo!$C$4:$C933,Catálogo!$C933))</f>
        <v/>
      </c>
    </row>
    <row r="934" customFormat="false" ht="15" hidden="false" customHeight="true" outlineLevel="0" collapsed="false">
      <c r="A934" s="1" t="str">
        <f aca="false">IF(Catálogo!$C934="","",Catálogo!$C934&amp;"|"&amp;COUNTIF(Catálogo!$C$4:$C934,Catálogo!$C934))</f>
        <v/>
      </c>
    </row>
    <row r="935" customFormat="false" ht="15" hidden="false" customHeight="true" outlineLevel="0" collapsed="false">
      <c r="A935" s="1" t="str">
        <f aca="false">IF(Catálogo!$C935="","",Catálogo!$C935&amp;"|"&amp;COUNTIF(Catálogo!$C$4:$C935,Catálogo!$C935))</f>
        <v/>
      </c>
    </row>
    <row r="936" customFormat="false" ht="15" hidden="false" customHeight="true" outlineLevel="0" collapsed="false">
      <c r="A936" s="1" t="str">
        <f aca="false">IF(Catálogo!$C936="","",Catálogo!$C936&amp;"|"&amp;COUNTIF(Catálogo!$C$4:$C936,Catálogo!$C936))</f>
        <v/>
      </c>
    </row>
    <row r="937" customFormat="false" ht="15" hidden="false" customHeight="true" outlineLevel="0" collapsed="false">
      <c r="A937" s="1" t="str">
        <f aca="false">IF(Catálogo!$C937="","",Catálogo!$C937&amp;"|"&amp;COUNTIF(Catálogo!$C$4:$C937,Catálogo!$C937))</f>
        <v/>
      </c>
    </row>
    <row r="938" customFormat="false" ht="15" hidden="false" customHeight="true" outlineLevel="0" collapsed="false">
      <c r="A938" s="1" t="str">
        <f aca="false">IF(Catálogo!$C938="","",Catálogo!$C938&amp;"|"&amp;COUNTIF(Catálogo!$C$4:$C938,Catálogo!$C938))</f>
        <v/>
      </c>
    </row>
    <row r="939" customFormat="false" ht="15" hidden="false" customHeight="true" outlineLevel="0" collapsed="false">
      <c r="A939" s="1" t="str">
        <f aca="false">IF(Catálogo!$C939="","",Catálogo!$C939&amp;"|"&amp;COUNTIF(Catálogo!$C$4:$C939,Catálogo!$C939))</f>
        <v/>
      </c>
    </row>
    <row r="940" customFormat="false" ht="15" hidden="false" customHeight="true" outlineLevel="0" collapsed="false">
      <c r="A940" s="1" t="str">
        <f aca="false">IF(Catálogo!$C940="","",Catálogo!$C940&amp;"|"&amp;COUNTIF(Catálogo!$C$4:$C940,Catálogo!$C940))</f>
        <v/>
      </c>
    </row>
    <row r="941" customFormat="false" ht="15" hidden="false" customHeight="true" outlineLevel="0" collapsed="false">
      <c r="A941" s="1" t="str">
        <f aca="false">IF(Catálogo!$C941="","",Catálogo!$C941&amp;"|"&amp;COUNTIF(Catálogo!$C$4:$C941,Catálogo!$C941))</f>
        <v/>
      </c>
    </row>
    <row r="942" customFormat="false" ht="15" hidden="false" customHeight="true" outlineLevel="0" collapsed="false">
      <c r="A942" s="1" t="str">
        <f aca="false">IF(Catálogo!$C942="","",Catálogo!$C942&amp;"|"&amp;COUNTIF(Catálogo!$C$4:$C942,Catálogo!$C942))</f>
        <v/>
      </c>
    </row>
    <row r="943" customFormat="false" ht="15" hidden="false" customHeight="true" outlineLevel="0" collapsed="false">
      <c r="A943" s="1" t="str">
        <f aca="false">IF(Catálogo!$C943="","",Catálogo!$C943&amp;"|"&amp;COUNTIF(Catálogo!$C$4:$C943,Catálogo!$C943))</f>
        <v/>
      </c>
    </row>
    <row r="944" customFormat="false" ht="15" hidden="false" customHeight="true" outlineLevel="0" collapsed="false">
      <c r="A944" s="1" t="str">
        <f aca="false">IF(Catálogo!$C944="","",Catálogo!$C944&amp;"|"&amp;COUNTIF(Catálogo!$C$4:$C944,Catálogo!$C944))</f>
        <v/>
      </c>
    </row>
    <row r="945" customFormat="false" ht="15" hidden="false" customHeight="true" outlineLevel="0" collapsed="false">
      <c r="A945" s="1" t="str">
        <f aca="false">IF(Catálogo!$C945="","",Catálogo!$C945&amp;"|"&amp;COUNTIF(Catálogo!$C$4:$C945,Catálogo!$C945))</f>
        <v/>
      </c>
    </row>
    <row r="946" customFormat="false" ht="15" hidden="false" customHeight="true" outlineLevel="0" collapsed="false">
      <c r="A946" s="1" t="str">
        <f aca="false">IF(Catálogo!$C946="","",Catálogo!$C946&amp;"|"&amp;COUNTIF(Catálogo!$C$4:$C946,Catálogo!$C946))</f>
        <v/>
      </c>
    </row>
    <row r="947" customFormat="false" ht="15" hidden="false" customHeight="true" outlineLevel="0" collapsed="false">
      <c r="A947" s="1" t="str">
        <f aca="false">IF(Catálogo!$C947="","",Catálogo!$C947&amp;"|"&amp;COUNTIF(Catálogo!$C$4:$C947,Catálogo!$C947))</f>
        <v/>
      </c>
    </row>
    <row r="948" customFormat="false" ht="15" hidden="false" customHeight="true" outlineLevel="0" collapsed="false">
      <c r="A948" s="1" t="str">
        <f aca="false">IF(Catálogo!$C948="","",Catálogo!$C948&amp;"|"&amp;COUNTIF(Catálogo!$C$4:$C948,Catálogo!$C948))</f>
        <v/>
      </c>
    </row>
    <row r="949" customFormat="false" ht="15" hidden="false" customHeight="true" outlineLevel="0" collapsed="false">
      <c r="A949" s="1" t="str">
        <f aca="false">IF(Catálogo!$C949="","",Catálogo!$C949&amp;"|"&amp;COUNTIF(Catálogo!$C$4:$C949,Catálogo!$C949))</f>
        <v/>
      </c>
    </row>
    <row r="950" customFormat="false" ht="15" hidden="false" customHeight="true" outlineLevel="0" collapsed="false">
      <c r="A950" s="1" t="str">
        <f aca="false">IF(Catálogo!$C950="","",Catálogo!$C950&amp;"|"&amp;COUNTIF(Catálogo!$C$4:$C950,Catálogo!$C950))</f>
        <v/>
      </c>
    </row>
    <row r="951" customFormat="false" ht="15" hidden="false" customHeight="true" outlineLevel="0" collapsed="false">
      <c r="A951" s="1" t="str">
        <f aca="false">IF(Catálogo!$C951="","",Catálogo!$C951&amp;"|"&amp;COUNTIF(Catálogo!$C$4:$C951,Catálogo!$C951))</f>
        <v/>
      </c>
    </row>
    <row r="952" customFormat="false" ht="15" hidden="false" customHeight="true" outlineLevel="0" collapsed="false">
      <c r="A952" s="1" t="str">
        <f aca="false">IF(Catálogo!$C952="","",Catálogo!$C952&amp;"|"&amp;COUNTIF(Catálogo!$C$4:$C952,Catálogo!$C952))</f>
        <v/>
      </c>
    </row>
    <row r="953" customFormat="false" ht="15" hidden="false" customHeight="true" outlineLevel="0" collapsed="false">
      <c r="A953" s="1" t="str">
        <f aca="false">IF(Catálogo!$C953="","",Catálogo!$C953&amp;"|"&amp;COUNTIF(Catálogo!$C$4:$C953,Catálogo!$C953))</f>
        <v/>
      </c>
    </row>
    <row r="954" customFormat="false" ht="15" hidden="false" customHeight="true" outlineLevel="0" collapsed="false">
      <c r="A954" s="1" t="str">
        <f aca="false">IF(Catálogo!$C954="","",Catálogo!$C954&amp;"|"&amp;COUNTIF(Catálogo!$C$4:$C954,Catálogo!$C954))</f>
        <v/>
      </c>
    </row>
    <row r="955" customFormat="false" ht="15" hidden="false" customHeight="true" outlineLevel="0" collapsed="false">
      <c r="A955" s="1" t="str">
        <f aca="false">IF(Catálogo!$C955="","",Catálogo!$C955&amp;"|"&amp;COUNTIF(Catálogo!$C$4:$C955,Catálogo!$C955))</f>
        <v/>
      </c>
    </row>
    <row r="956" customFormat="false" ht="15" hidden="false" customHeight="true" outlineLevel="0" collapsed="false">
      <c r="A956" s="1" t="str">
        <f aca="false">IF(Catálogo!$C956="","",Catálogo!$C956&amp;"|"&amp;COUNTIF(Catálogo!$C$4:$C956,Catálogo!$C956))</f>
        <v/>
      </c>
    </row>
    <row r="957" customFormat="false" ht="15" hidden="false" customHeight="true" outlineLevel="0" collapsed="false">
      <c r="A957" s="1" t="str">
        <f aca="false">IF(Catálogo!$C957="","",Catálogo!$C957&amp;"|"&amp;COUNTIF(Catálogo!$C$4:$C957,Catálogo!$C957))</f>
        <v/>
      </c>
    </row>
    <row r="958" customFormat="false" ht="15" hidden="false" customHeight="true" outlineLevel="0" collapsed="false">
      <c r="A958" s="1" t="str">
        <f aca="false">IF(Catálogo!$C958="","",Catálogo!$C958&amp;"|"&amp;COUNTIF(Catálogo!$C$4:$C958,Catálogo!$C958))</f>
        <v/>
      </c>
    </row>
    <row r="959" customFormat="false" ht="15" hidden="false" customHeight="true" outlineLevel="0" collapsed="false">
      <c r="A959" s="1" t="str">
        <f aca="false">IF(Catálogo!$C959="","",Catálogo!$C959&amp;"|"&amp;COUNTIF(Catálogo!$C$4:$C959,Catálogo!$C959))</f>
        <v/>
      </c>
    </row>
    <row r="960" customFormat="false" ht="15" hidden="false" customHeight="true" outlineLevel="0" collapsed="false">
      <c r="A960" s="1" t="str">
        <f aca="false">IF(Catálogo!$C960="","",Catálogo!$C960&amp;"|"&amp;COUNTIF(Catálogo!$C$4:$C960,Catálogo!$C960))</f>
        <v/>
      </c>
    </row>
    <row r="961" customFormat="false" ht="15" hidden="false" customHeight="true" outlineLevel="0" collapsed="false">
      <c r="A961" s="1" t="str">
        <f aca="false">IF(Catálogo!$C961="","",Catálogo!$C961&amp;"|"&amp;COUNTIF(Catálogo!$C$4:$C961,Catálogo!$C961))</f>
        <v/>
      </c>
    </row>
    <row r="962" customFormat="false" ht="15" hidden="false" customHeight="true" outlineLevel="0" collapsed="false">
      <c r="A962" s="1" t="str">
        <f aca="false">IF(Catálogo!$C962="","",Catálogo!$C962&amp;"|"&amp;COUNTIF(Catálogo!$C$4:$C962,Catálogo!$C962))</f>
        <v/>
      </c>
    </row>
    <row r="963" customFormat="false" ht="15" hidden="false" customHeight="true" outlineLevel="0" collapsed="false">
      <c r="A963" s="1" t="str">
        <f aca="false">IF(Catálogo!$C963="","",Catálogo!$C963&amp;"|"&amp;COUNTIF(Catálogo!$C$4:$C963,Catálogo!$C963))</f>
        <v/>
      </c>
    </row>
    <row r="964" customFormat="false" ht="15" hidden="false" customHeight="true" outlineLevel="0" collapsed="false">
      <c r="A964" s="1" t="str">
        <f aca="false">IF(Catálogo!$C964="","",Catálogo!$C964&amp;"|"&amp;COUNTIF(Catálogo!$C$4:$C964,Catálogo!$C964))</f>
        <v/>
      </c>
    </row>
    <row r="965" customFormat="false" ht="15" hidden="false" customHeight="true" outlineLevel="0" collapsed="false">
      <c r="A965" s="1" t="str">
        <f aca="false">IF(Catálogo!$C965="","",Catálogo!$C965&amp;"|"&amp;COUNTIF(Catálogo!$C$4:$C965,Catálogo!$C965))</f>
        <v/>
      </c>
    </row>
    <row r="966" customFormat="false" ht="15" hidden="false" customHeight="true" outlineLevel="0" collapsed="false">
      <c r="A966" s="1" t="str">
        <f aca="false">IF(Catálogo!$C966="","",Catálogo!$C966&amp;"|"&amp;COUNTIF(Catálogo!$C$4:$C966,Catálogo!$C966))</f>
        <v/>
      </c>
    </row>
    <row r="967" customFormat="false" ht="15" hidden="false" customHeight="true" outlineLevel="0" collapsed="false">
      <c r="A967" s="1" t="str">
        <f aca="false">IF(Catálogo!$C967="","",Catálogo!$C967&amp;"|"&amp;COUNTIF(Catálogo!$C$4:$C967,Catálogo!$C967))</f>
        <v/>
      </c>
    </row>
    <row r="968" customFormat="false" ht="15" hidden="false" customHeight="true" outlineLevel="0" collapsed="false">
      <c r="A968" s="1" t="str">
        <f aca="false">IF(Catálogo!$C968="","",Catálogo!$C968&amp;"|"&amp;COUNTIF(Catálogo!$C$4:$C968,Catálogo!$C968))</f>
        <v/>
      </c>
    </row>
    <row r="969" customFormat="false" ht="15" hidden="false" customHeight="true" outlineLevel="0" collapsed="false">
      <c r="A969" s="1" t="str">
        <f aca="false">IF(Catálogo!$C969="","",Catálogo!$C969&amp;"|"&amp;COUNTIF(Catálogo!$C$4:$C969,Catálogo!$C969))</f>
        <v/>
      </c>
    </row>
    <row r="970" customFormat="false" ht="15" hidden="false" customHeight="true" outlineLevel="0" collapsed="false">
      <c r="A970" s="1" t="str">
        <f aca="false">IF(Catálogo!$C970="","",Catálogo!$C970&amp;"|"&amp;COUNTIF(Catálogo!$C$4:$C970,Catálogo!$C970))</f>
        <v/>
      </c>
    </row>
    <row r="971" customFormat="false" ht="15" hidden="false" customHeight="true" outlineLevel="0" collapsed="false">
      <c r="A971" s="1" t="str">
        <f aca="false">IF(Catálogo!$C971="","",Catálogo!$C971&amp;"|"&amp;COUNTIF(Catálogo!$C$4:$C971,Catálogo!$C971))</f>
        <v/>
      </c>
    </row>
    <row r="972" customFormat="false" ht="15" hidden="false" customHeight="true" outlineLevel="0" collapsed="false">
      <c r="A972" s="1" t="str">
        <f aca="false">IF(Catálogo!$C972="","",Catálogo!$C972&amp;"|"&amp;COUNTIF(Catálogo!$C$4:$C972,Catálogo!$C972))</f>
        <v/>
      </c>
    </row>
    <row r="973" customFormat="false" ht="15" hidden="false" customHeight="true" outlineLevel="0" collapsed="false">
      <c r="A973" s="1" t="str">
        <f aca="false">IF(Catálogo!$C973="","",Catálogo!$C973&amp;"|"&amp;COUNTIF(Catálogo!$C$4:$C973,Catálogo!$C973))</f>
        <v/>
      </c>
    </row>
    <row r="974" customFormat="false" ht="15" hidden="false" customHeight="true" outlineLevel="0" collapsed="false">
      <c r="A974" s="1" t="str">
        <f aca="false">IF(Catálogo!$C974="","",Catálogo!$C974&amp;"|"&amp;COUNTIF(Catálogo!$C$4:$C974,Catálogo!$C974))</f>
        <v/>
      </c>
    </row>
    <row r="975" customFormat="false" ht="15" hidden="false" customHeight="true" outlineLevel="0" collapsed="false">
      <c r="A975" s="1" t="str">
        <f aca="false">IF(Catálogo!$C975="","",Catálogo!$C975&amp;"|"&amp;COUNTIF(Catálogo!$C$4:$C975,Catálogo!$C975))</f>
        <v/>
      </c>
    </row>
    <row r="976" customFormat="false" ht="15" hidden="false" customHeight="true" outlineLevel="0" collapsed="false">
      <c r="A976" s="1" t="str">
        <f aca="false">IF(Catálogo!$C976="","",Catálogo!$C976&amp;"|"&amp;COUNTIF(Catálogo!$C$4:$C976,Catálogo!$C976))</f>
        <v/>
      </c>
    </row>
    <row r="977" customFormat="false" ht="15" hidden="false" customHeight="true" outlineLevel="0" collapsed="false">
      <c r="A977" s="1" t="str">
        <f aca="false">IF(Catálogo!$C977="","",Catálogo!$C977&amp;"|"&amp;COUNTIF(Catálogo!$C$4:$C977,Catálogo!$C977))</f>
        <v/>
      </c>
    </row>
    <row r="978" customFormat="false" ht="15" hidden="false" customHeight="true" outlineLevel="0" collapsed="false">
      <c r="A978" s="1" t="str">
        <f aca="false">IF(Catálogo!$C978="","",Catálogo!$C978&amp;"|"&amp;COUNTIF(Catálogo!$C$4:$C978,Catálogo!$C978))</f>
        <v/>
      </c>
    </row>
    <row r="979" customFormat="false" ht="15" hidden="false" customHeight="true" outlineLevel="0" collapsed="false">
      <c r="A979" s="1" t="str">
        <f aca="false">IF(Catálogo!$C979="","",Catálogo!$C979&amp;"|"&amp;COUNTIF(Catálogo!$C$4:$C979,Catálogo!$C979))</f>
        <v/>
      </c>
    </row>
    <row r="980" customFormat="false" ht="15" hidden="false" customHeight="true" outlineLevel="0" collapsed="false">
      <c r="A980" s="1" t="str">
        <f aca="false">IF(Catálogo!$C980="","",Catálogo!$C980&amp;"|"&amp;COUNTIF(Catálogo!$C$4:$C980,Catálogo!$C980))</f>
        <v/>
      </c>
    </row>
    <row r="981" customFormat="false" ht="15" hidden="false" customHeight="true" outlineLevel="0" collapsed="false">
      <c r="A981" s="1" t="str">
        <f aca="false">IF(Catálogo!$C981="","",Catálogo!$C981&amp;"|"&amp;COUNTIF(Catálogo!$C$4:$C981,Catálogo!$C981))</f>
        <v/>
      </c>
    </row>
    <row r="982" customFormat="false" ht="15" hidden="false" customHeight="true" outlineLevel="0" collapsed="false">
      <c r="A982" s="1" t="str">
        <f aca="false">IF(Catálogo!$C982="","",Catálogo!$C982&amp;"|"&amp;COUNTIF(Catálogo!$C$4:$C982,Catálogo!$C982))</f>
        <v/>
      </c>
    </row>
    <row r="983" customFormat="false" ht="15" hidden="false" customHeight="true" outlineLevel="0" collapsed="false">
      <c r="A983" s="1" t="str">
        <f aca="false">IF(Catálogo!$C983="","",Catálogo!$C983&amp;"|"&amp;COUNTIF(Catálogo!$C$4:$C983,Catálogo!$C983))</f>
        <v/>
      </c>
    </row>
    <row r="984" customFormat="false" ht="15" hidden="false" customHeight="true" outlineLevel="0" collapsed="false">
      <c r="A984" s="1" t="str">
        <f aca="false">IF(Catálogo!$C984="","",Catálogo!$C984&amp;"|"&amp;COUNTIF(Catálogo!$C$4:$C984,Catálogo!$C984))</f>
        <v/>
      </c>
    </row>
    <row r="985" customFormat="false" ht="15" hidden="false" customHeight="true" outlineLevel="0" collapsed="false">
      <c r="A985" s="1" t="str">
        <f aca="false">IF(Catálogo!$C985="","",Catálogo!$C985&amp;"|"&amp;COUNTIF(Catálogo!$C$4:$C985,Catálogo!$C985))</f>
        <v/>
      </c>
    </row>
    <row r="986" customFormat="false" ht="15" hidden="false" customHeight="true" outlineLevel="0" collapsed="false">
      <c r="A986" s="1" t="str">
        <f aca="false">IF(Catálogo!$C986="","",Catálogo!$C986&amp;"|"&amp;COUNTIF(Catálogo!$C$4:$C986,Catálogo!$C986))</f>
        <v/>
      </c>
    </row>
    <row r="987" customFormat="false" ht="15" hidden="false" customHeight="true" outlineLevel="0" collapsed="false">
      <c r="A987" s="1" t="str">
        <f aca="false">IF(Catálogo!$C987="","",Catálogo!$C987&amp;"|"&amp;COUNTIF(Catálogo!$C$4:$C987,Catálogo!$C987))</f>
        <v/>
      </c>
    </row>
    <row r="988" customFormat="false" ht="15" hidden="false" customHeight="true" outlineLevel="0" collapsed="false">
      <c r="A988" s="1" t="str">
        <f aca="false">IF(Catálogo!$C988="","",Catálogo!$C988&amp;"|"&amp;COUNTIF(Catálogo!$C$4:$C988,Catálogo!$C988))</f>
        <v/>
      </c>
    </row>
    <row r="989" customFormat="false" ht="15" hidden="false" customHeight="true" outlineLevel="0" collapsed="false">
      <c r="A989" s="1" t="str">
        <f aca="false">IF(Catálogo!$C989="","",Catálogo!$C989&amp;"|"&amp;COUNTIF(Catálogo!$C$4:$C989,Catálogo!$C989))</f>
        <v/>
      </c>
    </row>
    <row r="990" customFormat="false" ht="15" hidden="false" customHeight="true" outlineLevel="0" collapsed="false">
      <c r="A990" s="1" t="str">
        <f aca="false">IF(Catálogo!$C990="","",Catálogo!$C990&amp;"|"&amp;COUNTIF(Catálogo!$C$4:$C990,Catálogo!$C990))</f>
        <v/>
      </c>
    </row>
    <row r="991" customFormat="false" ht="15" hidden="false" customHeight="true" outlineLevel="0" collapsed="false">
      <c r="A991" s="1" t="str">
        <f aca="false">IF(Catálogo!$C991="","",Catálogo!$C991&amp;"|"&amp;COUNTIF(Catálogo!$C$4:$C991,Catálogo!$C991))</f>
        <v/>
      </c>
    </row>
    <row r="992" customFormat="false" ht="15" hidden="false" customHeight="true" outlineLevel="0" collapsed="false">
      <c r="A992" s="1" t="str">
        <f aca="false">IF(Catálogo!$C992="","",Catálogo!$C992&amp;"|"&amp;COUNTIF(Catálogo!$C$4:$C992,Catálogo!$C992))</f>
        <v/>
      </c>
    </row>
    <row r="993" customFormat="false" ht="15" hidden="false" customHeight="true" outlineLevel="0" collapsed="false">
      <c r="A993" s="1" t="str">
        <f aca="false">IF(Catálogo!$C993="","",Catálogo!$C993&amp;"|"&amp;COUNTIF(Catálogo!$C$4:$C993,Catálogo!$C993))</f>
        <v/>
      </c>
    </row>
    <row r="994" customFormat="false" ht="15" hidden="false" customHeight="true" outlineLevel="0" collapsed="false">
      <c r="A994" s="1" t="str">
        <f aca="false">IF(Catálogo!$C994="","",Catálogo!$C994&amp;"|"&amp;COUNTIF(Catálogo!$C$4:$C994,Catálogo!$C994))</f>
        <v/>
      </c>
    </row>
    <row r="995" customFormat="false" ht="15" hidden="false" customHeight="true" outlineLevel="0" collapsed="false">
      <c r="A995" s="1" t="str">
        <f aca="false">IF(Catálogo!$C995="","",Catálogo!$C995&amp;"|"&amp;COUNTIF(Catálogo!$C$4:$C995,Catálogo!$C995))</f>
        <v/>
      </c>
    </row>
    <row r="996" customFormat="false" ht="15" hidden="false" customHeight="true" outlineLevel="0" collapsed="false">
      <c r="A996" s="1" t="str">
        <f aca="false">IF(Catálogo!$C996="","",Catálogo!$C996&amp;"|"&amp;COUNTIF(Catálogo!$C$4:$C996,Catálogo!$C996))</f>
        <v/>
      </c>
    </row>
    <row r="997" customFormat="false" ht="15" hidden="false" customHeight="true" outlineLevel="0" collapsed="false">
      <c r="A997" s="1" t="str">
        <f aca="false">IF(Catálogo!$C997="","",Catálogo!$C997&amp;"|"&amp;COUNTIF(Catálogo!$C$4:$C997,Catálogo!$C997))</f>
        <v/>
      </c>
    </row>
    <row r="998" customFormat="false" ht="15" hidden="false" customHeight="true" outlineLevel="0" collapsed="false">
      <c r="A998" s="1" t="str">
        <f aca="false">IF(Catálogo!$C998="","",Catálogo!$C998&amp;"|"&amp;COUNTIF(Catálogo!$C$4:$C998,Catálogo!$C998))</f>
        <v/>
      </c>
    </row>
    <row r="999" customFormat="false" ht="15" hidden="false" customHeight="true" outlineLevel="0" collapsed="false">
      <c r="A999" s="1" t="str">
        <f aca="false">IF(Catálogo!$C999="","",Catálogo!$C999&amp;"|"&amp;COUNTIF(Catálogo!$C$4:$C999,Catálogo!$C999))</f>
        <v/>
      </c>
    </row>
    <row r="1000" customFormat="false" ht="15" hidden="false" customHeight="true" outlineLevel="0" collapsed="false">
      <c r="A1000" s="1" t="str">
        <f aca="false">IF(Catálogo!$C1000="","",Catálogo!$C1000&amp;"|"&amp;COUNTIF(Catálogo!$C$4:$C1000,Catálogo!$C1000))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1333</v>
      </c>
      <c r="B1" s="8"/>
      <c r="C1" s="8"/>
    </row>
    <row r="2" customFormat="false" ht="15" hidden="false" customHeight="true" outlineLevel="0" collapsed="false">
      <c r="A2" s="4" t="s">
        <v>1334</v>
      </c>
      <c r="B2" s="4" t="s">
        <v>1335</v>
      </c>
      <c r="C2" s="4" t="s">
        <v>1336</v>
      </c>
    </row>
    <row r="3" customFormat="false" ht="57.75" hidden="false" customHeight="true" outlineLevel="0" collapsed="false">
      <c r="A3" s="21" t="s">
        <v>1337</v>
      </c>
      <c r="B3" s="22" t="s">
        <v>1338</v>
      </c>
      <c r="C3" s="6" t="s">
        <v>1339</v>
      </c>
    </row>
    <row r="4" customFormat="false" ht="57.75" hidden="false" customHeight="true" outlineLevel="0" collapsed="false">
      <c r="A4" s="21" t="s">
        <v>1340</v>
      </c>
      <c r="B4" s="22" t="s">
        <v>1341</v>
      </c>
      <c r="C4" s="6" t="s">
        <v>1342</v>
      </c>
    </row>
    <row r="5" customFormat="false" ht="57.75" hidden="false" customHeight="true" outlineLevel="0" collapsed="false">
      <c r="A5" s="21" t="s">
        <v>1343</v>
      </c>
      <c r="B5" s="22" t="s">
        <v>1344</v>
      </c>
      <c r="C5" s="6" t="s">
        <v>1345</v>
      </c>
    </row>
    <row r="6" customFormat="false" ht="57.75" hidden="false" customHeight="true" outlineLevel="0" collapsed="false">
      <c r="A6" s="21" t="s">
        <v>1346</v>
      </c>
      <c r="B6" s="22" t="s">
        <v>1347</v>
      </c>
      <c r="C6" s="6" t="s">
        <v>1348</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1349</v>
      </c>
      <c r="B1" s="8"/>
    </row>
    <row r="2" customFormat="false" ht="42" hidden="false" customHeight="true" outlineLevel="0" collapsed="false">
      <c r="A2" s="23" t="s">
        <v>1350</v>
      </c>
      <c r="B2" s="24" t="s">
        <v>1351</v>
      </c>
    </row>
    <row r="3" customFormat="false" ht="42" hidden="false" customHeight="true" outlineLevel="0" collapsed="false">
      <c r="A3" s="23" t="s">
        <v>1352</v>
      </c>
      <c r="B3" s="24" t="s">
        <v>1353</v>
      </c>
    </row>
    <row r="4" customFormat="false" ht="42" hidden="false" customHeight="true" outlineLevel="0" collapsed="false">
      <c r="A4" s="23" t="s">
        <v>1354</v>
      </c>
      <c r="B4" s="24" t="s">
        <v>1355</v>
      </c>
    </row>
    <row r="5" customFormat="false" ht="42" hidden="false" customHeight="true" outlineLevel="0" collapsed="false">
      <c r="A5" s="23" t="s">
        <v>1356</v>
      </c>
      <c r="B5" s="24" t="s">
        <v>1357</v>
      </c>
    </row>
    <row r="6" customFormat="false" ht="42" hidden="false" customHeight="true" outlineLevel="0" collapsed="false">
      <c r="A6" s="23" t="s">
        <v>1358</v>
      </c>
      <c r="B6" s="24" t="s">
        <v>1359</v>
      </c>
    </row>
    <row r="7" customFormat="false" ht="42" hidden="false" customHeight="true" outlineLevel="0" collapsed="false">
      <c r="A7" s="23" t="s">
        <v>1360</v>
      </c>
      <c r="B7" s="24" t="s">
        <v>1361</v>
      </c>
    </row>
    <row r="8" customFormat="false" ht="9.75" hidden="false" customHeight="true" outlineLevel="0" collapsed="false">
      <c r="A8" s="23"/>
      <c r="B8" s="24"/>
    </row>
    <row r="9" customFormat="false" ht="42" hidden="false" customHeight="true" outlineLevel="0" collapsed="false">
      <c r="A9" s="23" t="s">
        <v>1362</v>
      </c>
      <c r="B9" s="24" t="s">
        <v>1363</v>
      </c>
    </row>
    <row r="10" customFormat="false" ht="42" hidden="false" customHeight="true" outlineLevel="0" collapsed="false">
      <c r="A10" s="23" t="s">
        <v>1364</v>
      </c>
      <c r="B10" s="24" t="s">
        <v>1365</v>
      </c>
    </row>
    <row r="12" customFormat="false" ht="34.5" hidden="false" customHeight="true" outlineLevel="0" collapsed="false">
      <c r="A12" s="13" t="s">
        <v>1366</v>
      </c>
      <c r="B12" s="24" t="s">
        <v>1367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2026-09-08T13:02:56Z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