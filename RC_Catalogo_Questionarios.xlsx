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álogo" sheetId="1" state="visible" r:id="rId3"/>
    <sheet name="Resumo por Área" sheetId="2" state="visible" r:id="rId4"/>
    <sheet name="Fluxo de trabalho" sheetId="3" state="visible" r:id="rId5"/>
    <sheet name="Como atualiza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<sst xmlns="http://schemas.openxmlformats.org/spreadsheetml/2006/main" count="1512" uniqueCount="1134">
  <si>
    <t xml:space="preserve">RC · Catálogo de Questionários — Ricardina Correia · OPP 8233</t>
  </si>
  <si>
    <t xml:space="preserve">Cada coluna tem filtro (seta no cabeçalho). Para idade: filtre «Idade min &lt;= X» e «Idade max &gt;= X».   |   Idade min 0 = desde o nascimento; Idade max 99 = sem limite superior.   |   Adicionar instrumento: ver folha «Como atualizar».</t>
  </si>
  <si>
    <t xml:space="preserve">Nº</t>
  </si>
  <si>
    <t xml:space="preserve">Nome do Instrumento</t>
  </si>
  <si>
    <t xml:space="preserve">Área Clínica</t>
  </si>
  <si>
    <t xml:space="preserve">Destinatários</t>
  </si>
  <si>
    <t xml:space="preserve">Faixa etária</t>
  </si>
  <si>
    <t xml:space="preserve">Idade mín (anos)</t>
  </si>
  <si>
    <t xml:space="preserve">Idade máx (anos)</t>
  </si>
  <si>
    <t xml:space="preserve">Nº domínios</t>
  </si>
  <si>
    <t xml:space="preserve">Objetivo clínico</t>
  </si>
  <si>
    <t xml:space="preserve">Domínios / Subescalas (por extenso)</t>
  </si>
  <si>
    <t xml:space="preserve">syncKey (Sheet)</t>
  </si>
  <si>
    <t xml:space="preserve">ID interno</t>
  </si>
  <si>
    <t xml:space="preserve">Link</t>
  </si>
  <si>
    <t xml:space="preserve">ABAS-3 — Auto-relato</t>
  </si>
  <si>
    <t xml:space="preserve">Neurodesenvolvimento</t>
  </si>
  <si>
    <t xml:space="preserve">Paciente</t>
  </si>
  <si>
    <t xml:space="preserve">16–89 anos</t>
  </si>
  <si>
    <t xml:space="preserve">Avalia comportamento adaptativo — auto-relato (16–89 anos)</t>
  </si>
  <si>
    <t xml:space="preserve">Compósito Adaptativo Geral (GAC); Domínio Conceptual (CC); Domínio Social (SC); Domínio Prático (PC)</t>
  </si>
  <si>
    <t xml:space="preserve">abas3_adult</t>
  </si>
  <si>
    <t xml:space="preserve">q_abas3_adult</t>
  </si>
  <si>
    <t xml:space="preserve">https://correiaricardina-ui.github.io/questionarios/ABAS3_Autorrelato_v1.html</t>
  </si>
  <si>
    <t xml:space="preserve">ABAS-3 — Educador (0–5)</t>
  </si>
  <si>
    <t xml:space="preserve">Educador(a)</t>
  </si>
  <si>
    <t xml:space="preserve">0–5 anos</t>
  </si>
  <si>
    <t xml:space="preserve">Avalia comportamento adaptativo — versão educador (0–5 anos)</t>
  </si>
  <si>
    <t xml:space="preserve">Compósito Adaptativo Geral (CAG); Domínio Conceptual (CC); Domínio Social (SC); Domínio Prático (PC)</t>
  </si>
  <si>
    <t xml:space="preserve">abas3_05p</t>
  </si>
  <si>
    <t xml:space="preserve">q_abas3_05p</t>
  </si>
  <si>
    <t xml:space="preserve">https://correiaricardina-ui.github.io/questionarios/ABAS3_PreEscolar_Educador.html</t>
  </si>
  <si>
    <t xml:space="preserve">ABAS-3 — Pais/Cuid. (&gt;6)</t>
  </si>
  <si>
    <t xml:space="preserve">Mãe, Pai, Enc. Educação</t>
  </si>
  <si>
    <t xml:space="preserve">6–21 anos</t>
  </si>
  <si>
    <t xml:space="preserve">Avalia comportamento adaptativo — versão pais/cuidadores (&gt;6 anos)</t>
  </si>
  <si>
    <t xml:space="preserve">abas3_pais</t>
  </si>
  <si>
    <t xml:space="preserve">q_abas3_pais</t>
  </si>
  <si>
    <t xml:space="preserve">https://correiaricardina-ui.github.io/questionarios/ABAS3_Pais_v2.html</t>
  </si>
  <si>
    <t xml:space="preserve">ABAS-3 — Pais/Cuid. (0–5)</t>
  </si>
  <si>
    <t xml:space="preserve">Avalia comportamento adaptativo — versão pais (0–5 anos)</t>
  </si>
  <si>
    <t xml:space="preserve">abas3_05</t>
  </si>
  <si>
    <t xml:space="preserve">q_abas3_05</t>
  </si>
  <si>
    <t xml:space="preserve">https://correiaricardina-ui.github.io/questionarios/ABAS3_PreEscolar.html</t>
  </si>
  <si>
    <t xml:space="preserve">ABAS-3 — Professor (&gt;6)</t>
  </si>
  <si>
    <t xml:space="preserve">Professor(a)</t>
  </si>
  <si>
    <t xml:space="preserve">Avalia comportamento adaptativo — versão professor (&gt;6 anos)</t>
  </si>
  <si>
    <t xml:space="preserve">abas3_prof</t>
  </si>
  <si>
    <t xml:space="preserve">q_abas3_prof</t>
  </si>
  <si>
    <t xml:space="preserve">https://correiaricardina-ui.github.io/questionarios/ABAS3_Professor_v2.html</t>
  </si>
  <si>
    <t xml:space="preserve">Anamnese — História Prévia</t>
  </si>
  <si>
    <t xml:space="preserve">Anamnese &amp; História Clínica</t>
  </si>
  <si>
    <t xml:space="preserve">0–18 anos</t>
  </si>
  <si>
    <t xml:space="preserve">Recolha qualitativa de história clínica, desenvolvimento, familiar, escolar e relacional prévia à consulta</t>
  </si>
  <si>
    <t xml:space="preserve">História Clínica; Desenvolvimento; Estrutura Familiar; História Escolar; Relacionamentos</t>
  </si>
  <si>
    <t xml:space="preserve">anamnese_hp</t>
  </si>
  <si>
    <t xml:space="preserve">q_anamnese_hp</t>
  </si>
  <si>
    <t xml:space="preserve">https://correiaricardina-ui.github.io/questionarios/Anamnese_HP_v1.html</t>
  </si>
  <si>
    <t xml:space="preserve">Anamnese Complementar</t>
  </si>
  <si>
    <t xml:space="preserve">Recolher história clínica, desenvolvimento e funcionamento quotidiano</t>
  </si>
  <si>
    <t xml:space="preserve">História Clínica; Desenvolvimento Precoce; Funcionamento Executivo; Regulação Emocional</t>
  </si>
  <si>
    <t xml:space="preserve">anamnese_complementar</t>
  </si>
  <si>
    <t xml:space="preserve">q_anamnese</t>
  </si>
  <si>
    <t xml:space="preserve">https://correiaricardina-ui.github.io/questionarios/Anamnese_complementar_v2.html</t>
  </si>
  <si>
    <t xml:space="preserve">Anamnese Parental Complementar</t>
  </si>
  <si>
    <t xml:space="preserve">Todas as idades</t>
  </si>
  <si>
    <t xml:space="preserve">Recolha estruturada da perspetiva do progenitor ou cuidador que não esteve presente na consulta de anamnese inicial e deseja integrar o processo de avaliação/intervenção. Instrumento qualitativo de anamnese — sem cotação: regista motivação para participar, preocupação principal e áreas assinaladas, a criança no contexto do respondente (rotinas, o que corre bem, o que é mais difícil), evolução percebida, informação adicional e expectativas/disponibilidade.</t>
  </si>
  <si>
    <t xml:space="preserve">Preocupações principais; Áreas assinaladas; Contexto do respondente; Evolução percebida; Expectativas e disponibilidade</t>
  </si>
  <si>
    <t xml:space="preserve">anamnese_parental_complementar</t>
  </si>
  <si>
    <t xml:space="preserve">q_anamnese_parental_complementar</t>
  </si>
  <si>
    <t xml:space="preserve">https://correiaricardina-ui.github.io/questionarios/ANAMNESE_PARENTAL_COMPLEMENTAR_v1.html</t>
  </si>
  <si>
    <t xml:space="preserve">AQ Buss-Perry — Agressividade</t>
  </si>
  <si>
    <t xml:space="preserve">Externalização &amp; Comportamento</t>
  </si>
  <si>
    <t xml:space="preserve">Adultos (≥16 anos)</t>
  </si>
  <si>
    <t xml:space="preserve">Auto-relato (29 itens, ~5-8 min) para avaliação multidimensional da agressividade (Buss &amp; Perry, 1992; adaptação portuguesa Cunha &amp; Gonçalves, 2012, n=633 universitários). Quatro subescalas: Agressividade Física (AF, 9 itens), Agressividade Verbal (AV, 5 itens), Raiva/Ira (7 itens), Hostilidade (HO, 8 itens) + Total AQ. Escala Likert 1-5. Itens 9 e 16 invertidos. Classificação em 4 níveis por sexo (Baixa, Média, Elevada, Muito Elevada). Aviso técnico: a subescala Agressividade Verbal tem consistência interna baixa (α=.56) — interpretar com prudência. Os domínios não são visíveis ao paciente durante o preenchimento.</t>
  </si>
  <si>
    <t xml:space="preserve">Agressividade Física (AF); Agressividade Verbal (AV); Raiva/Ira; Hostilidade (HO); Total AQ</t>
  </si>
  <si>
    <t xml:space="preserve">aq_bussperry</t>
  </si>
  <si>
    <t xml:space="preserve">q_aq_bussperry</t>
  </si>
  <si>
    <t xml:space="preserve">https://correiaricardina-ui.github.io/questionarios/AQ_BussPerry_v1.html</t>
  </si>
  <si>
    <t xml:space="preserve">AQ-Child — Quociente de Espectro do Autismo (Versão Criança)</t>
  </si>
  <si>
    <t xml:space="preserve">4–11 anos</t>
  </si>
  <si>
    <t xml:space="preserve">Rastreio de traços do espectro do autismo em crianças (Auyeung, Baron-Cohen, Wheelwright &amp; Allison, 2008; tradução portuguesa Coelho, 2020). Preenchimento por pais/cuidadores · 50 itens · escala Likert 4 pontos (Concordo plenamente · Concordo · Discordo · Discordo totalmente). 24 itens directos + 26 itens reversos. Cinco subescalas (10 itens cada): Habilidades Sociais (S), Atenção Alternante (A), Atenção aos Detalhes (D), Comunicação (C), Imaginação (I). Total = 0–150. Cut-off clínico ≥ 76 (Sens. 95% · Espec. 95%). Médias normativas: controlos M=41,7 (DP=18,6); SA/AAF M=104,8 (DP=15,6); autismo M=103,0 (DP=16,3). Instrumento de triagem — não substitui avaliação clínica nem confere diagnóstico.</t>
  </si>
  <si>
    <t xml:space="preserve">Habilidades Sociais (S); Atenção Alternante (A); Atenção aos Detalhes (D); Comunicação (C); Imaginação (I); Total</t>
  </si>
  <si>
    <t xml:space="preserve">aqchild</t>
  </si>
  <si>
    <t xml:space="preserve">q_aq_child</t>
  </si>
  <si>
    <t xml:space="preserve">https://correiaricardina-ui.github.io/questionarios/AQ_Child_v1.html</t>
  </si>
  <si>
    <t xml:space="preserve">ASEBA — CBCL 1½-5</t>
  </si>
  <si>
    <t xml:space="preserve">Pais, Mãe, Pai, Enc. Educação</t>
  </si>
  <si>
    <t xml:space="preserve">1½–5 anos</t>
  </si>
  <si>
    <t xml:space="preserve">Avaliar problemas emocionais e comportamentais em idade pré-escolar</t>
  </si>
  <si>
    <t xml:space="preserve">Internalizante; Externalizante; Total; Reatividade Emocional; Ansiedade; Queixas Somáticas; Retraimento; Problemas de Sono; Problemas de Atenção; Comportamento Agressivo</t>
  </si>
  <si>
    <t xml:space="preserve">cbcl15</t>
  </si>
  <si>
    <t xml:space="preserve">q_cbcl_15</t>
  </si>
  <si>
    <t xml:space="preserve">https://correiaricardina-ui.github.io/questionarios/CBCL_15_v5.html</t>
  </si>
  <si>
    <t xml:space="preserve">ASEBA — CBCL 6-18</t>
  </si>
  <si>
    <t xml:space="preserve">6–18 anos</t>
  </si>
  <si>
    <t xml:space="preserve">Avaliar problemas emocionais e comportamentais</t>
  </si>
  <si>
    <t xml:space="preserve">Internalizante; Externalizante; Total; Ansiedade/Depressão; Queixas Somáticas; Isolamento; Problemas Sociais; Problemas de Atenção; Comportamento Agressivo; Comportamento de Quebra de Regras</t>
  </si>
  <si>
    <t xml:space="preserve">cbcl</t>
  </si>
  <si>
    <t xml:space="preserve">q_aseba_cbcl</t>
  </si>
  <si>
    <t xml:space="preserve">https://correiaricardina-ui.github.io/questionarios/CBCL_618_v1.html</t>
  </si>
  <si>
    <t xml:space="preserve">ASEBA — TRF 6-18</t>
  </si>
  <si>
    <t xml:space="preserve">Avaliar comportamento em contexto escolar (versão professor)</t>
  </si>
  <si>
    <t xml:space="preserve">Internalizante; Externalizante; Total; Problemas de Atenção; Comportamento Agressivo</t>
  </si>
  <si>
    <t xml:space="preserve">trf</t>
  </si>
  <si>
    <t xml:space="preserve">q_aseba_trf</t>
  </si>
  <si>
    <t xml:space="preserve">https://correiaricardina-ui.github.io/questionarios/TRF_618_v1.html</t>
  </si>
  <si>
    <t xml:space="preserve">ASEBA — YSR 11-18</t>
  </si>
  <si>
    <t xml:space="preserve">11–18 anos</t>
  </si>
  <si>
    <t xml:space="preserve">Auto-avaliação de problemas emocionais e comportamentais</t>
  </si>
  <si>
    <t xml:space="preserve">Internalizante; Externalizante; Total; Ansiedade/Depressão; Isolamento; Queixas Somáticas; Problemas Sociais; Problemas de Atenção; Comportamento Agressivo</t>
  </si>
  <si>
    <t xml:space="preserve">ysr</t>
  </si>
  <si>
    <t xml:space="preserve">q_aseba_ysr</t>
  </si>
  <si>
    <t xml:space="preserve">https://correiaricardina-ui.github.io/questionarios/YSR_1118_v2.html</t>
  </si>
  <si>
    <t xml:space="preserve">BAS-3 — Bateria de Socialização</t>
  </si>
  <si>
    <t xml:space="preserve">Competências Sociais &amp; Performance</t>
  </si>
  <si>
    <t xml:space="preserve">Avaliar competências sociais — auto-avaliação (Silva Moreno &amp; Martorell Pallás, 1989/1995; adapt. CEGOC-TEA, 2005)</t>
  </si>
  <si>
    <t xml:space="preserve">Consideração pelos outros (Co); Auto-controlo nas relações sociais (Ac); Isolamento social (Is); Ansiedade social/Timidez (At); Liderança (Li); Sinceridade (S)</t>
  </si>
  <si>
    <t xml:space="preserve">bas3</t>
  </si>
  <si>
    <t xml:space="preserve">q_bas3</t>
  </si>
  <si>
    <t xml:space="preserve">https://correiaricardina-ui.github.io/questionarios/BAS3_v1.html</t>
  </si>
  <si>
    <t xml:space="preserve">BESAA — Escala de Estima Corporal</t>
  </si>
  <si>
    <t xml:space="preserve">Alimentação &amp; Imagem Corporal</t>
  </si>
  <si>
    <t xml:space="preserve">Paciente, Adolescente, Jovem avaliado</t>
  </si>
  <si>
    <t xml:space="preserve">12+ anos</t>
  </si>
  <si>
    <t xml:space="preserve">Avalia a auto-estima corporal em três dimensões: aparência geral, satisfação com o peso e avaliações atribuídas por outros (Mendelson et al., 2001)</t>
  </si>
  <si>
    <t xml:space="preserve">BE-Aparência; BE-Peso; BE-Atribuição</t>
  </si>
  <si>
    <t xml:space="preserve">besaa</t>
  </si>
  <si>
    <t xml:space="preserve">q_besaa</t>
  </si>
  <si>
    <t xml:space="preserve">https://correiaricardina-ui.github.io/questionarios/BESAA_v1.html</t>
  </si>
  <si>
    <t xml:space="preserve">BRIEF — Auto-questionário</t>
  </si>
  <si>
    <t xml:space="preserve">Atenção, PHDA &amp; Funções Executivas</t>
  </si>
  <si>
    <t xml:space="preserve">Avalia funções executivas — versão auto-relato para adolescentes</t>
  </si>
  <si>
    <t xml:space="preserve">Inibição (INHIB); Flexibilidade/Mudança (SHIFT); Controlo Emocional (EC); Monitorização (MON); Memória de Trabalho (WM); Planeamento/Organização (PO); Organização de Materiais (OM); Conclusão de Tarefas (TC); Índice de Regulação Comportamental (IRC); Índice de Metacognição (IM); Índice Global de Funções Executivas (GEF)</t>
  </si>
  <si>
    <t xml:space="preserve">brief_auto</t>
  </si>
  <si>
    <t xml:space="preserve">q_brief_auto</t>
  </si>
  <si>
    <t xml:space="preserve">https://correiaricardina-ui.github.io/questionarios/BRIEF_Autoavaliacao_v2.html</t>
  </si>
  <si>
    <t xml:space="preserve">BRIEF — Pais</t>
  </si>
  <si>
    <t xml:space="preserve">5–18 anos</t>
  </si>
  <si>
    <t xml:space="preserve">Avalia funções executivas em casa — versão pais/cuidadores</t>
  </si>
  <si>
    <t xml:space="preserve">Inibição (INHIB); Flexibilidade/Mudança (SHIFT); Controlo Emocional (ECON); Memória de Trabalho (WM); Planeamento/Organização (PO); Índice de Autorregulação Comportamental (ISCI); Índice de Flexibilidade (FI); Índice de Metacognição Emergente (EMI); Índice Global de Funções Executivas (GEF)</t>
  </si>
  <si>
    <t xml:space="preserve">brief_pais</t>
  </si>
  <si>
    <t xml:space="preserve">q_brief_pais</t>
  </si>
  <si>
    <t xml:space="preserve">https://correiaricardina-ui.github.io/questionarios/BRIEF_Pais_v5.html</t>
  </si>
  <si>
    <t xml:space="preserve">BRIEF — Professores</t>
  </si>
  <si>
    <t xml:space="preserve">Avalia funções executivas em contexto escolar — versão professor</t>
  </si>
  <si>
    <t xml:space="preserve">brief_professores</t>
  </si>
  <si>
    <t xml:space="preserve">q_brief_prof</t>
  </si>
  <si>
    <t xml:space="preserve">https://correiaricardina-ui.github.io/questionarios/BRIEF_Professores_v3.html</t>
  </si>
  <si>
    <t xml:space="preserve">BRIEF Pré-Escolar — Pais</t>
  </si>
  <si>
    <t xml:space="preserve">2–5 anos</t>
  </si>
  <si>
    <t xml:space="preserve">Avalia funções executivas em contexto pré-escolar — versão pais</t>
  </si>
  <si>
    <t xml:space="preserve">brief_pe_pais</t>
  </si>
  <si>
    <t xml:space="preserve">q_brief_pe_pais</t>
  </si>
  <si>
    <t xml:space="preserve">https://correiaricardina-ui.github.io/questionarios/BRIEF_PreEscolar_Pais_v2.html</t>
  </si>
  <si>
    <t xml:space="preserve">BRIEF Pré-Escolar — Professores</t>
  </si>
  <si>
    <t xml:space="preserve">Professor(a), Educador(a)</t>
  </si>
  <si>
    <t xml:space="preserve">Avalia funções executivas em contexto pré-escolar — versão professor/educador</t>
  </si>
  <si>
    <t xml:space="preserve">brief_pe_prof</t>
  </si>
  <si>
    <t xml:space="preserve">q_brief_pe_prof</t>
  </si>
  <si>
    <t xml:space="preserve">https://correiaricardina-ui.github.io/questionarios/BRIEF_PreEscolar_Professores_v2.html</t>
  </si>
  <si>
    <t xml:space="preserve">BSI — Inventário de Sintomas Psicopatológicos</t>
  </si>
  <si>
    <t xml:space="preserve">Risco &amp; Sintomatologia Psicopatológica Geral</t>
  </si>
  <si>
    <t xml:space="preserve">Próprio/a, Familiar, Técnico/a</t>
  </si>
  <si>
    <t xml:space="preserve">≥ 13 anos</t>
  </si>
  <si>
    <t xml:space="preserve">Rastreio de sintomatologia psicopatológica em 9 dimensões e 3 índices globais (Derogatis 1982; Canavarro 1999)</t>
  </si>
  <si>
    <t xml:space="preserve">Somatização; Obsessões-Compulsões; Sensibilidade Interpessoal; Depressão; Ansiedade; Hostilidade; Ansiedade Fóbica; Ideação Paranóide; Psicoticismo; Índice Geral de Sintomas (IGS); Total de Sintomas Positivos (TSP); Índice de Sintomas Positivos (ISP)</t>
  </si>
  <si>
    <t xml:space="preserve">bsi</t>
  </si>
  <si>
    <t xml:space="preserve">q_bsi</t>
  </si>
  <si>
    <t xml:space="preserve">https://correiaricardina-ui.github.io/questionarios/BSI_v1.html</t>
  </si>
  <si>
    <t xml:space="preserve">CABS — Comportamento Assertivo (Autorrelato)</t>
  </si>
  <si>
    <t xml:space="preserve">Competências sociais / Assertividade</t>
  </si>
  <si>
    <t xml:space="preserve">Filho(a)</t>
  </si>
  <si>
    <t xml:space="preserve">8–18 anos</t>
  </si>
  <si>
    <t xml:space="preserve">Avaliar o estilo de resposta social da criança/jovem (assertivo, passivo, agressivo) em 27 situações interpessoais com 5 opções de resposta cada (autorrelato). Cotação por opção (−2 muito passiva a +2 muito agressiva): Score Total de Não Assertividade (0–54), Perfil Passivo, Perfil Agressivo e n.º de respostas assertivas. Faixas criteriais do ficheiro de cotação — sem normas portuguesas estandardizadas.</t>
  </si>
  <si>
    <t xml:space="preserve">Perfil Passivo; Perfil Agressivo; Score Total de Não Assertividade; Respostas Assertivas</t>
  </si>
  <si>
    <t xml:space="preserve">cabs_auto</t>
  </si>
  <si>
    <t xml:space="preserve">q_cabs_auto</t>
  </si>
  <si>
    <t xml:space="preserve">https://correiaricardina-ui.github.io/questionarios/CABS_Autorrelato.html</t>
  </si>
  <si>
    <t xml:space="preserve">CABS — Comportamento Assertivo (Heterorrelato)</t>
  </si>
  <si>
    <t xml:space="preserve">4–18 anos</t>
  </si>
  <si>
    <t xml:space="preserve">Avaliar o estilo de resposta social da criança (assertivo, passivo, agressivo) na perspetiva dos pais/encarregados de educação, em 27 situações interpessoais com 5 opções de resposta cada. Cotação por opção (−2 muito passiva a +2 muito agressiva): Score Total de Não Assertividade (0–54), Perfil Passivo, Perfil Agressivo e n.º de respostas assertivas. Faixas criteriais do ficheiro de cotação — sem normas portuguesas estandardizadas.</t>
  </si>
  <si>
    <t xml:space="preserve">cabs_hetero</t>
  </si>
  <si>
    <t xml:space="preserve">q_cabs_hetero</t>
  </si>
  <si>
    <t xml:space="preserve">https://correiaricardina-ui.github.io/questionarios/CABS_Heterorrelato.html</t>
  </si>
  <si>
    <t xml:space="preserve">CARS2-HP — Espetro do Autismo (Funcionamento Elevado)</t>
  </si>
  <si>
    <t xml:space="preserve">Despiste neurodesenvolvimento</t>
  </si>
  <si>
    <t xml:space="preserve">Aplicador clínico</t>
  </si>
  <si>
    <t xml:space="preserve">≥6 anos · QI≥80 · verbal funcional</t>
  </si>
  <si>
    <t xml:space="preserve">Avaliação clínica integrativa da severidade de sinais compatíveis com Perturbação do Espetro do Autismo (PEA) em crianças, adolescentes e adultos com funcionamento elevado: idade cronológica ≥6 anos, estimativa de QI ≥80 e comunicação verbal funcional. Adaptação inspirada (Via B) na CARS2-HF (Schopler, Van Bourgondien, Wellman &amp; Love, 2010, Western Psychological Services), com formulação clínica original em português europeu — conteúdo literário do instrumento de referência NÃO reproduzido. Cotação clínica integrativa por psicólogo após observação directa + anamnese + integração de fontes (parental, educativa). 15 domínios com escala 1.0–4.0 (passos 0.5); soma 15.0–60.0. Pontos de corte (Vaughan, 2011; Dawkins, Meyer &amp; Van Bourgondien, 2016): Mínimo 15-27.5 / Ligeiro a moderado 28-33.5 / Severo 34-60. Sinalização adicional: domínios com cotação ≥3.0 configuram atipicidade clinicamente relevante. Não existem normas portuguesas validadas; finalidade clínica complementar — não substitui avaliação clínica integrada nem instrumentos como ADOS-2, ADI-R, Vineland-3.</t>
  </si>
  <si>
    <t xml:space="preserve">Compreensão socioemocional; Expressão e regulação emocional; Relação com os outros; Uso do corpo; Uso de objetos no jogo e atividade; Adaptação à mudança e interesses restritos; Resposta visual; Resposta auditiva; Resposta gustativa/olfativa/tátil; Medo ou ansiedade; Comunicação verbal; Comunicação não-verbal; Capacidade de pensamento e integração cognitiva; Nível de atividade; Nível e consistência da resposta intelectual</t>
  </si>
  <si>
    <t xml:space="preserve">cars2_hp</t>
  </si>
  <si>
    <t xml:space="preserve">q_cars2_hp</t>
  </si>
  <si>
    <t xml:space="preserve">https://correiaricardina-ui.github.io/questionarios/CARS2-HP_v1.html</t>
  </si>
  <si>
    <t xml:space="preserve">CARS2-QPC — Questionário Parental para Espetro do Autismo</t>
  </si>
  <si>
    <t xml:space="preserve">Mãe, Pai, Encarregado de Educação</t>
  </si>
  <si>
    <t xml:space="preserve">Crianças/Adolescentes</t>
  </si>
  <si>
    <t xml:space="preserve">Questionário parental para avaliação integrativa do Espetro do Autismo (PEA), preenchido por pais/cuidadores principais sobre o comportamento habitual da criança ou adolescente. Adaptação inspirada (Via B) na CARS-2 QPC (Schopler, Van Bourgondien, Wellman &amp; Love, 2010, WPS), com formulação clínica original em PT-PT — conteúdo literário do instrumento de referência NÃO reproduzido. 81 itens distribuídos por 15 domínios; escala Likert 0-4 (Nunca/Raramente/Por vezes/Frequentemente/Sempre) + opção N/A (não aplicável/não observado). Lógica de cotação direccional: 33 itens descrevem comportamento típico esperado (0-1 = preocupante); 48 itens descrevem comportamento atípico (3-4 = preocupante); resposta 2 nunca preocupante; N/A não conta. Saída qualitativa: percentagem de itens preocupantes por domínio (sinalizado ≥50%) + contagem de domínios sinalizados + categoria clínica (≤3 mínima/ligeira · 4-7 moderada · ≥8 marcada). Pais e mãe podem submeter em separado (dedupe por nome_informante). Tempo: 25-40 min. Indicador qualitativo; não substitui observação clínica directa (CARS2-HP/ST) nem instrumentos como ADI-R, ADOS-2.</t>
  </si>
  <si>
    <t xml:space="preserve">Relação com pessoas (6 itens); Imitação (5); Resposta emocional (6); Uso do corpo (5); Uso de objetos (6); Adaptação à mudança (5); Resposta visual (5); Resposta auditiva (5); Resposta gust./olf./tátil (6); Medo ou nervosismo (5); Comunicação verbal (6); Comunicação não-verbal (5); Nível de atividade (5); Resposta intelectual (5); Impressões clínicas globais (6)</t>
  </si>
  <si>
    <t xml:space="preserve">cars2_qpc</t>
  </si>
  <si>
    <t xml:space="preserve">q_cars2_qpc</t>
  </si>
  <si>
    <t xml:space="preserve">https://correiaricardina-ui.github.io/questionarios/CARS2-QPC_v1.html</t>
  </si>
  <si>
    <t xml:space="preserve">CARS2-ST — Espetro do Autismo (Versão Standard)</t>
  </si>
  <si>
    <t xml:space="preserve">&lt;6 anos OU QI≤79 OU verbal limitada/ausente</t>
  </si>
  <si>
    <t xml:space="preserve">Avaliação clínica integrativa da severidade de sinais compatíveis com Perturbação do Espetro do Autismo (PEA) em crianças mais novas ou com maior compromisso funcional: idade cronológica &lt;6 anos, OU estimativa de QI ≤79, OU comunicação verbal limitada/ausente. Adaptação inspirada (Via B) na CARS-2 Standard Form (Schopler, Van Bourgondien, Wellman &amp; Love, 2010, WPS), com formulação clínica original em PT-PT — conteúdo literário do instrumento de referência NÃO reproduzido. Calibrada para valorizar manifestações comportamentais observáveis (motoras, sensoriais, comportamentais), com menor exigência de inferência sobre processos mentais subtis. Inclui dois domínios próprios da versão Standard: Imitação (item 2) e Impressões Clínicas Globais (item 15). Cotação clínica integrativa por psicólogo. 15 domínios com escala 1.0–4.0 (passos 0.5); soma 15.0–60.0. Pontos de corte (Schopler et al., 1980; Chlebowski, Green, Barton &amp; Fein, 2010; Schopler et al., 2010): Mínimo 15-29.5 / Ligeiro a moderado 30-36.5 / Severo 37-60 (cortes mais altos que a CARS2-HP). Sinalização adicional: domínios com cotação ≥3.0 configuram atipicidade clinicamente relevante. Identificação inclui QI estimado e nível de comunicação verbal. Não existem normas portuguesas validadas; finalidade clínica complementar — não substitui avaliação clínica integrada nem instrumentos como ADOS-2 (Toddler/M1/M2), ADI-R, Bayley-III/WPPSI-IV/Leiter-3, Vineland-3.</t>
  </si>
  <si>
    <t xml:space="preserve">Relação com pessoas; Imitação; Resposta emocional; Uso do corpo; Uso de objetos; Adaptação à mudança; Resposta visual; Resposta auditiva; Resposta gustativa/olfativa/tátil; Medo ou nervosismo; Comunicação verbal; Comunicação não-verbal; Nível de atividade; Nível e consistência da resposta intelectual; Impressões clínicas globais</t>
  </si>
  <si>
    <t xml:space="preserve">cars2_st</t>
  </si>
  <si>
    <t xml:space="preserve">q_cars2_st</t>
  </si>
  <si>
    <t xml:space="preserve">https://correiaricardina-ui.github.io/questionarios/CARS2-ST_v1.html</t>
  </si>
  <si>
    <t xml:space="preserve">CCBQ — Comportamentos de Coping em Crianças</t>
  </si>
  <si>
    <t xml:space="preserve">Regulação Emocional &amp; Coping</t>
  </si>
  <si>
    <t xml:space="preserve">Paciente, Criança avaliada, Jovem avaliado</t>
  </si>
  <si>
    <t xml:space="preserve">≥ 6 anos</t>
  </si>
  <si>
    <t xml:space="preserve">Avalia a frequência de utilização de três padrões de coping perante acontecimentos stressantes — Diversão (F-I), Amelioratório (F-II) e Destrutivo (F-III) (Hernandez, 2008 — adaptação PT exploratória)</t>
  </si>
  <si>
    <t xml:space="preserve">F-I Diversão; F-II Amelioratório; F-III Destrutivo; Compósito</t>
  </si>
  <si>
    <t xml:space="preserve">ccbq</t>
  </si>
  <si>
    <t xml:space="preserve">q_ccbq</t>
  </si>
  <si>
    <t xml:space="preserve">https://correiaricardina-ui.github.io/questionarios/CCBQ_v1.html</t>
  </si>
  <si>
    <t xml:space="preserve">CDI-2:SR</t>
  </si>
  <si>
    <t xml:space="preserve">Ansiedade, Depressão &amp; Internalização</t>
  </si>
  <si>
    <t xml:space="preserve">7–17 anos</t>
  </si>
  <si>
    <t xml:space="preserve">Rastreio de sintomatologia depressiva (auto-relato) — Kovacs &amp; MHS Staff (2011)</t>
  </si>
  <si>
    <t xml:space="preserve">Score Total (Total); Problemas Emocionais (EP); Problemas Funcionais (FP); Humor Negativo/Sintomas Físicos (HM/SF); Autoestima Negativa (AE-); Ineficácia (INE); Problemas Interpessoais (PI)</t>
  </si>
  <si>
    <t xml:space="preserve">cdi2sr</t>
  </si>
  <si>
    <t xml:space="preserve">q_cdi2sr</t>
  </si>
  <si>
    <t xml:space="preserve">https://correiaricardina-ui.github.io/questionarios/CDI2_SR_v1.html</t>
  </si>
  <si>
    <t xml:space="preserve">CERQ-18 — Versão Curta</t>
  </si>
  <si>
    <t xml:space="preserve">Auto-relato adolescente/adulto de estratégias cognitivas de regulação emocional — versão curta (18 itens) com normativos portugueses (Soares &amp; Amaral, 2024). 8 estratégias (4 adaptativas + 4 maladaptativas, com Reavaliação+Planeamento fundidas). Tempo de aplicação ~5-8 min.</t>
  </si>
  <si>
    <t xml:space="preserve">Auto-culpabilização; Aceitação; Ruminação; Refocalização Positiva; Reavaliação Positiva e Planeamento; Colocar em Perspetiva; Catastrofização; Culpabilização dos Outros; CERQ-Positivo; CERQ-Negativo</t>
  </si>
  <si>
    <t xml:space="preserve">cerq18</t>
  </si>
  <si>
    <t xml:space="preserve">q_cerq_18</t>
  </si>
  <si>
    <t xml:space="preserve">https://correiaricardina-ui.github.io/questionarios/CERQ_18_v1.html</t>
  </si>
  <si>
    <t xml:space="preserve">CERQ-36 — Versão Completa</t>
  </si>
  <si>
    <t xml:space="preserve">≥ 12 anos</t>
  </si>
  <si>
    <t xml:space="preserve">Auto-relato adolescente/adulto de estratégias cognitivas de regulação emocional — versão completa (36 itens, Garnefski &amp; Kraaij, 2006; adaptação PT Castro et al., 2013). 9 estratégias com normativos por subescala. Resolução clínica máxima — preferir em investigação ou perfis individuais detalhados.</t>
  </si>
  <si>
    <t xml:space="preserve">Auto-culpabilização; Aceitação; Ruminação; Refocalização Positiva; Planeamento; Reavaliação Positiva; Colocar em Perspetiva; Catastrofização; Culpabilização dos Outros; CERQ-Positivo; CERQ-Negativo</t>
  </si>
  <si>
    <t xml:space="preserve">cerq36</t>
  </si>
  <si>
    <t xml:space="preserve">q_cerq_36</t>
  </si>
  <si>
    <t xml:space="preserve">https://correiaricardina-ui.github.io/questionarios/CERQ_36_v1.html</t>
  </si>
  <si>
    <t xml:space="preserve">CERQ-K — Crianças</t>
  </si>
  <si>
    <t xml:space="preserve">9–11 anos</t>
  </si>
  <si>
    <t xml:space="preserve">Auto-relato infantil de estratégias cognitivas de regulação emocional após acontecimentos de vida desagradáveis (Garnefski et al., 2007). 9 estratégias (5 adaptativas + 4 maladaptativas) e 2 factores 2.ª ordem (CERQ-Positivo, CERQ-Negativo). Versão validada para 9-11 anos.</t>
  </si>
  <si>
    <t xml:space="preserve">cerqk</t>
  </si>
  <si>
    <t xml:space="preserve">q_cerq_k</t>
  </si>
  <si>
    <t xml:space="preserve">https://correiaricardina-ui.github.io/questionarios/CERQ_K_v1.html</t>
  </si>
  <si>
    <t xml:space="preserve">ChEAT — Atitudes Alimentares (Crianças)</t>
  </si>
  <si>
    <t xml:space="preserve">8–13 anos</t>
  </si>
  <si>
    <t xml:space="preserve">Rastreio de atitudes e comportamentos alimentares de risco em crianças (Maloney et al., 1988; versão portuguesa Barillari et al., 2011). Auto-resposta de 26 itens (~10 min) com escala de 6 pontos (Sempre/Mto.Freq./Freq.=3, Às Vezes=2, Raramente=1, Nunca=0). Itens 19 e 25 invertidos (0/1/2/2/2/3). Três subescalas: Dieta/Restrição (10 itens, máx 30), Preocupação Alimentar (12 itens, máx 36), Bulimia/Controlo (4 itens, máx 12). Ponto de corte clínico: Total ≥ 20 (risco clínico de perturbação alimentar) — recomenda avaliação especializada. 10–19 = preocupações subclínicas (monitorizar). NUNCA constitui diagnóstico — instrumento de rastreio. Scores e classificações não são visíveis à criança durante o preenchimento.</t>
  </si>
  <si>
    <t xml:space="preserve">Dieta/Restrição; Preocupação Alimentar; Bulimia/Controlo; Total ChEAT</t>
  </si>
  <si>
    <t xml:space="preserve">cheat</t>
  </si>
  <si>
    <t xml:space="preserve">q_cheat</t>
  </si>
  <si>
    <t xml:space="preserve">https://correiaricardina-ui.github.io/questionarios/ChEAT_v1.html</t>
  </si>
  <si>
    <t xml:space="preserve">Checklist Obs. Comportamental — Casa</t>
  </si>
  <si>
    <t xml:space="preserve">Registo diário de comportamento em contexto de casa — comparação com/sem medicação (atenção, regulação emocional, comportamento social, atividade motora, bem-estar, efeitos adversos)</t>
  </si>
  <si>
    <t xml:space="preserve">Atenção &amp; Função Executiva; Regulação Emocional; Comportamento Social; Atividade Motora; Bem-estar; Efeitos Adversos</t>
  </si>
  <si>
    <t xml:space="preserve">obs_phda_casa</t>
  </si>
  <si>
    <t xml:space="preserve">q_obs_phda_casa</t>
  </si>
  <si>
    <t xml:space="preserve">https://correiaricardina-ui.github.io/questionarios/checklist_obs_medicacao_PHDA_casa.html</t>
  </si>
  <si>
    <t xml:space="preserve">Checklist Obs. Comportamental — Escola</t>
  </si>
  <si>
    <t xml:space="preserve">Registo diário de comportamento em contexto escolar — comparação com/sem medicação (atenção, regulação emocional, comportamento social, atividade motora)</t>
  </si>
  <si>
    <t xml:space="preserve">Atenção &amp; Função Executiva; Regulação Emocional; Comportamento Social; Atividade Motora</t>
  </si>
  <si>
    <t xml:space="preserve">obs_phda_escola</t>
  </si>
  <si>
    <t xml:space="preserve">q_obs_phda_escola</t>
  </si>
  <si>
    <t xml:space="preserve">https://correiaricardina-ui.github.io/questionarios/checklist_obs_medicacao_PHDA_escola.html</t>
  </si>
  <si>
    <t xml:space="preserve">CMAS-R</t>
  </si>
  <si>
    <t xml:space="preserve">8–17 anos</t>
  </si>
  <si>
    <t xml:space="preserve">Avaliação da ansiedade manifesta com escala de validade (Mentira) — Reynolds &amp; Richmond (1978)</t>
  </si>
  <si>
    <t xml:space="preserve">Ansiedade Total; Mentira/Validade</t>
  </si>
  <si>
    <t xml:space="preserve">cmasr</t>
  </si>
  <si>
    <t xml:space="preserve">q_cmasr</t>
  </si>
  <si>
    <t xml:space="preserve">https://correiaricardina-ui.github.io/questionarios/CMAS_R_v1.html</t>
  </si>
  <si>
    <t xml:space="preserve">Collins — Silhuetas Corporais</t>
  </si>
  <si>
    <t xml:space="preserve">Paciente, Jovem avaliado</t>
  </si>
  <si>
    <t xml:space="preserve">Crianças / Adolescentes</t>
  </si>
  <si>
    <t xml:space="preserve">Avalia a insatisfação com a imagem corporal através de silhuetas — percepção real vs. ideal (Collins, 1991)</t>
  </si>
  <si>
    <t xml:space="preserve">Silhueta Real; Silhueta Ideal; Insatisfação; Índice de Massa Corporal (IMC)</t>
  </si>
  <si>
    <t xml:space="preserve">collins</t>
  </si>
  <si>
    <t xml:space="preserve">q_collins</t>
  </si>
  <si>
    <t xml:space="preserve">https://correiaricardina-ui.github.io/questionarios/Collins_Silhuetas.html</t>
  </si>
  <si>
    <t xml:space="preserve">COMPA — Adolescente (em relação à Mãe)</t>
  </si>
  <si>
    <t xml:space="preserve">Família &amp; Parentalidade</t>
  </si>
  <si>
    <t xml:space="preserve">12–16 anos</t>
  </si>
  <si>
    <t xml:space="preserve">Perceção do adolescente sobre a comunicação com a mãe — 39 itens</t>
  </si>
  <si>
    <t xml:space="preserve">F1 Disponibilidade Parental; F2 Confiança F→P; F3 Afeto/Apoio; F4 Metacomunicação; F5 Padrão Negativo; Total Positivo</t>
  </si>
  <si>
    <t xml:space="preserve">compa_a_mae</t>
  </si>
  <si>
    <t xml:space="preserve">q_compa_a_mae</t>
  </si>
  <si>
    <t xml:space="preserve">https://correiaricardina-ui.github.io/questionarios/COMPA_A_Mae.html</t>
  </si>
  <si>
    <t xml:space="preserve">COMPA — Adolescente (em relação ao Pai)</t>
  </si>
  <si>
    <t xml:space="preserve">Perceção do adolescente sobre a comunicação com o pai — 39 itens</t>
  </si>
  <si>
    <t xml:space="preserve">compa_a_pai</t>
  </si>
  <si>
    <t xml:space="preserve">q_compa_a_pai</t>
  </si>
  <si>
    <t xml:space="preserve">https://correiaricardina-ui.github.io/questionarios/COMPA_A_Pai.html</t>
  </si>
  <si>
    <t xml:space="preserve">COMPA — Criança (em relação à Mãe)</t>
  </si>
  <si>
    <t xml:space="preserve">7–11 anos</t>
  </si>
  <si>
    <t xml:space="preserve">Perceção da criança sobre a comunicação com a mãe — 16 itens</t>
  </si>
  <si>
    <t xml:space="preserve">F1 Disponibilidade Parental; F2 Afeto/Apoio; Total</t>
  </si>
  <si>
    <t xml:space="preserve">compa_c_mae</t>
  </si>
  <si>
    <t xml:space="preserve">q_compa_c_mae</t>
  </si>
  <si>
    <t xml:space="preserve">https://correiaricardina-ui.github.io/questionarios/COMPA_C_Mae.html</t>
  </si>
  <si>
    <t xml:space="preserve">COMPA — Criança (em relação ao Pai)</t>
  </si>
  <si>
    <t xml:space="preserve">Perceção da criança sobre a comunicação com o pai — 16 itens</t>
  </si>
  <si>
    <t xml:space="preserve">compa_c_pai</t>
  </si>
  <si>
    <t xml:space="preserve">q_compa_c_pai</t>
  </si>
  <si>
    <t xml:space="preserve">https://correiaricardina-ui.github.io/questionarios/COMPA_C_Pai.html</t>
  </si>
  <si>
    <t xml:space="preserve">COMPA — Progenitores</t>
  </si>
  <si>
    <t xml:space="preserve">Progenitores</t>
  </si>
  <si>
    <t xml:space="preserve">Perceção do progenitor sobre a comunicação parento-filial — 44 itens</t>
  </si>
  <si>
    <t xml:space="preserve">F1 Afeto/Apoio; F2 Disponibilidade Parental; F3 Metacomunicação; F4 Confiança P→F; F5 Confiança F→P; Total</t>
  </si>
  <si>
    <t xml:space="preserve">compap</t>
  </si>
  <si>
    <t xml:space="preserve">q_compap</t>
  </si>
  <si>
    <t xml:space="preserve">https://correiaricardina-ui.github.io/questionarios/COMPA_P.html</t>
  </si>
  <si>
    <t xml:space="preserve">Conners 3-P — Pais (Completa)</t>
  </si>
  <si>
    <t xml:space="preserve">Avalia sintomas de PHDA, aprendizagem e comportamento — versão pais completa (110 itens)</t>
  </si>
  <si>
    <t xml:space="preserve">Desatenção (IN); Hiperatividade/Impulsividade (HI); Problemas de Aprendizagem (LP); Funções Executivas (EF); Agressão (AG); Relações com os Pares (PR); Escala DSM — Desatenção (DSMI); Escala DSM — Hiperatividade/Impulsividade (DSMH); Perturbação do Comportamento (Conduta) (CD); Perturbação de Oposição/Desafio (ODD)</t>
  </si>
  <si>
    <t xml:space="preserve">conners3p_full</t>
  </si>
  <si>
    <t xml:space="preserve">q_conners3p_full</t>
  </si>
  <si>
    <t xml:space="preserve">https://correiaricardina-ui.github.io/questionarios/Conners3_Pais_Full.html</t>
  </si>
  <si>
    <t xml:space="preserve">Conners 3-P(S) — Pais (Curta)</t>
  </si>
  <si>
    <t xml:space="preserve">Avalia sintomas de PHDA, aprendizagem e comportamento — versão pais curta (45 itens)</t>
  </si>
  <si>
    <t xml:space="preserve">Desatenção (IN); Hiperatividade/Impulsividade (HI); Problemas de Aprendizagem (LP); Funções Executivas (EF); Agressão (AG); Relações com os Pares (PR)</t>
  </si>
  <si>
    <t xml:space="preserve">conners3ps</t>
  </si>
  <si>
    <t xml:space="preserve">q_conners3ps</t>
  </si>
  <si>
    <t xml:space="preserve">https://correiaricardina-ui.github.io/questionarios/Conners3_Pais_Short.html</t>
  </si>
  <si>
    <t xml:space="preserve">Conners 3-T — Professores (Completa)</t>
  </si>
  <si>
    <t xml:space="preserve">Avalia sintomas de PHDA, aprendizagem e comportamento — versão professores completa (115 itens)</t>
  </si>
  <si>
    <t xml:space="preserve">Desatenção (IN); Hiperatividade/Impulsividade (HI); Aprendizagem e Funções Executivas (LPEF); Agressão (AG); Relações com os Pares (PR); Escala DSM — Desatenção (DSMI); Escala DSM — Hiperatividade/Impulsividade (DSMH); Perturbação do Comportamento (Conduta) (CD); Perturbação de Oposição/Desafio (ODD)</t>
  </si>
  <si>
    <t xml:space="preserve">conners3t_full</t>
  </si>
  <si>
    <t xml:space="preserve">q_conners3t_full</t>
  </si>
  <si>
    <t xml:space="preserve">https://correiaricardina-ui.github.io/questionarios/Conners3_Professores_Full.html</t>
  </si>
  <si>
    <t xml:space="preserve">Conners 3-T(S) — Professores (Curta)</t>
  </si>
  <si>
    <t xml:space="preserve">Avalia sintomas de PHDA, aprendizagem e comportamento — versão professores curta (41 itens)</t>
  </si>
  <si>
    <t xml:space="preserve">Desatenção (IN); Hiperatividade/Impulsividade (HI); Aprendizagem e Funções Executivas (LPEF); Agressão (AG); Relações com os Pares (PR)</t>
  </si>
  <si>
    <t xml:space="preserve">conners3ts</t>
  </si>
  <si>
    <t xml:space="preserve">q_conners3ts</t>
  </si>
  <si>
    <t xml:space="preserve">https://correiaricardina-ui.github.io/questionarios/Conners3_Professores_Short.html</t>
  </si>
  <si>
    <t xml:space="preserve">C-SSRS — Columbia-Suicide Severity Rating Scale</t>
  </si>
  <si>
    <t xml:space="preserve">Clínico</t>
  </si>
  <si>
    <t xml:space="preserve">Crianças / Adolescentes / Adultos</t>
  </si>
  <si>
    <t xml:space="preserve">Avaliação clínica estruturada de ideação e comportamentos suicidas (Posner et al. 2008) — versões Crianças e Adolescentes/JA</t>
  </si>
  <si>
    <t xml:space="preserve">Ideação (Tipo 1–5); Tentativa Real; Tentativa Interrompida; Tentativa Abortada; Actos Preparatórios; Nível de Risco</t>
  </si>
  <si>
    <t xml:space="preserve">cssrs</t>
  </si>
  <si>
    <t xml:space="preserve">q_cssrs</t>
  </si>
  <si>
    <t xml:space="preserve">https://correiaricardina-ui.github.io/questionarios/CSSRS_v1.html</t>
  </si>
  <si>
    <t xml:space="preserve">C-SSRS-A — Risco Suicidário (Adolescente)</t>
  </si>
  <si>
    <t xml:space="preserve">Risco suicidário</t>
  </si>
  <si>
    <t xml:space="preserve">12–18 anos</t>
  </si>
  <si>
    <t xml:space="preserve">Avaliação dimensional do risco suicidário em adolescentes (Ricardina Correia, 2026 · construção original PT-PT inspirada em Posner et al., 2011). Auto-administrada com supervisão clínica · SÓ Autoavaliação (sem heteroavaliação). 17 itens × 2 janelas (Vida + Últimos 3 meses). Bloco A (ideação) níveis ordinais 1-5; Bloco B (intensidade) 5 itens escala 1-5 (soma 5-25, cortes Baixa 5-10/Média 11-17/Alta 18-25); Bloco C (comportamento) Sim/Não; Bloco D (letalidade) 0-5. Classificação hierárquica: Mínimo → Baixo → Moderado → Elevado → Crítico. Não substitui juízo clínico nem versão validada para uso normativo.</t>
  </si>
  <si>
    <t xml:space="preserve">Ideação (Bloco A); Intensidade (Bloco B); Comportamento (Bloco C); Letalidade (Bloco D); Classificação (3 meses + Vida)</t>
  </si>
  <si>
    <t xml:space="preserve">c_ssrs_a</t>
  </si>
  <si>
    <t xml:space="preserve">q_c_ssrs_a</t>
  </si>
  <si>
    <t xml:space="preserve">https://correiaricardina-ui.github.io/questionarios/C-SSRS-A_Adolescente_v1.html</t>
  </si>
  <si>
    <t xml:space="preserve">C-SSRS-DC — Risco Suicidário (Défice Cognitivo)</t>
  </si>
  <si>
    <t xml:space="preserve">Qualquer idade</t>
  </si>
  <si>
    <t xml:space="preserve">Avaliação dimensional do risco suicidário em pessoas com limitação de auto-relato (perturbação do neurodesenvolvimento, demência, lesão cerebral, dificuldade comunicacional). Ricardina Correia (2026) · construção original PT-PT inspirada em Posner et al. (2011). Aplicação por entrevistador com suportes visuais (pictogramas, escala visual de intensidade), linguagem simplificada. Auto + Heteroavaliação por cuidador habitual (heteroavaliação preponderante quando auto-relato não fiável). INOVAÇÃO: Bloco A inclui opção "Não compreende" (regista indeterminação clínica formal — não conta como Sim nem como Não). Bloco B REDUZIDO a 3 itens (Frequência, Controlabilidade, Razões para viver) escala 0-2, soma 0-6 (cortes Baixa 0-2/Média 3-4/Alta 5-6). Classificação hierárquica: Mínimo → Baixo → Moderado → Elevado → Crítico.</t>
  </si>
  <si>
    <t xml:space="preserve">Ideação (Bloco A, c/ "Não compreende"); Intensidade (Bloco B, 3 itens); Comportamento (Bloco C); Letalidade (Bloco D); Classificação integrada Auto+Hetero</t>
  </si>
  <si>
    <t xml:space="preserve">c_ssrs_dc</t>
  </si>
  <si>
    <t xml:space="preserve">q_c_ssrs_dc</t>
  </si>
  <si>
    <t xml:space="preserve">https://correiaricardina-ui.github.io/questionarios/C-SSRS-DC_DeficeCognitivo_v1.html</t>
  </si>
  <si>
    <t xml:space="preserve">C-SSRS-P — Risco Suicidário (Pediátrica)</t>
  </si>
  <si>
    <t xml:space="preserve">6–11 anos</t>
  </si>
  <si>
    <t xml:space="preserve">Avaliação dimensional do risco suicidário em crianças (Ricardina Correia, 2026 · construção original PT-PT inspirada em Posner et al., 2011). Aplicação por entrevistador clínico · 17 itens × 2 janelas (Vida + Últimos 3 meses). Autoavaliação + Heteroavaliação por cuidador (integração final pelo critério mais grave — princípio conservador). Bloco A (ideação) níveis ordinais 1-5; Bloco B (intensidade) 5 itens escala 0-2 (soma 0-10, cortes Baixa 0-3/Média 4-6/Alta 7-10); Bloco C (comportamento) Sim/Não; Bloco D (letalidade) 0-5. Classificação hierárquica: Mínimo → Baixo → Moderado → Elevado → Crítico. Não substitui juízo clínico nem versão validada para uso normativo.</t>
  </si>
  <si>
    <t xml:space="preserve">Ideação (Bloco A); Intensidade (Bloco B); Comportamento (Bloco C); Letalidade (Bloco D); Classificação integrada Auto+Hetero</t>
  </si>
  <si>
    <t xml:space="preserve">c_ssrs_p</t>
  </si>
  <si>
    <t xml:space="preserve">q_c_ssrs_p</t>
  </si>
  <si>
    <t xml:space="preserve">https://correiaricardina-ui.github.io/questionarios/C-SSRS-P_Pediatrica_v1.html</t>
  </si>
  <si>
    <t xml:space="preserve">CTRF-15</t>
  </si>
  <si>
    <t xml:space="preserve">Avalia comportamento em contexto pré-escolar — versão educador</t>
  </si>
  <si>
    <t xml:space="preserve">Score Total</t>
  </si>
  <si>
    <t xml:space="preserve">ctrf15</t>
  </si>
  <si>
    <t xml:space="preserve">q_ctrf_15</t>
  </si>
  <si>
    <t xml:space="preserve">https://correiaricardina-ui.github.io/questionarios/CTRF_15_v2.html</t>
  </si>
  <si>
    <t xml:space="preserve">DERS — Dificuldades de Regulação Emocional</t>
  </si>
  <si>
    <t xml:space="preserve">14 anos+</t>
  </si>
  <si>
    <t xml:space="preserve">Avalia dificuldades multidimensionais na regulação emocional — auto-relato (adolescentes 14–17 e adultos)</t>
  </si>
  <si>
    <t xml:space="preserve">Não-Aceitação; Objetivos; Impulsos; Consciência; Estratégias; Clareza; Total</t>
  </si>
  <si>
    <t xml:space="preserve">ders</t>
  </si>
  <si>
    <t xml:space="preserve">q_ders</t>
  </si>
  <si>
    <t xml:space="preserve">https://correiaricardina-ui.github.io/questionarios/DERS_v1.html</t>
  </si>
  <si>
    <t xml:space="preserve">Diário de Episódios</t>
  </si>
  <si>
    <t xml:space="preserve">Monitorização</t>
  </si>
  <si>
    <t xml:space="preserve">Registo inter-sessões de episódios em casa (ansiedade, desregulação, sono, somático, progresso, etc.). Os pais/cuidadores registam, à medida que acontecem, o contexto, a resposta da criança e a resposta dos próprios. Instrumento qualitativo de monitorização — sem cotação normativa; produz apenas síntese descritiva (nº de episódios, frequência por tipo e distribuição de intensidade) e o detalhe integral de cada episódio.</t>
  </si>
  <si>
    <t xml:space="preserve">Nº de episódios; Frequência por tipo; Distribuição de intensidade</t>
  </si>
  <si>
    <t xml:space="preserve">diario_episodios</t>
  </si>
  <si>
    <t xml:space="preserve">q_diario_episodios</t>
  </si>
  <si>
    <t xml:space="preserve">https://correiaricardina-ui.github.io/questionarios/Diario_Episodios_v1.html</t>
  </si>
  <si>
    <t xml:space="preserve">Dinâmica Exploratória de Pensamentos Intrusivos</t>
  </si>
  <si>
    <t xml:space="preserve">7–9 anos</t>
  </si>
  <si>
    <t xml:space="preserve">Protocolo clínico semiestruturado, administrado pela clínica com a criança presente, para explorar e caracterizar pensamentos intrusivos em idade escolar. Eliciação não-sugestiva através de cartões mediadores (vinhetas de outras crianças, apresentados um por ecrã) e escalas visuais (termómetro de intensidade 0–10, escala de frequência e de controlabilidade). Mapeia 8 eixos fenomenológicos (0–3 por eixo; total 0–24 por pensamento) e classifica em 5 padrões: P1 normativo desenvolvimental, P2 intrusão ansiosa pura, P3 suspeita de POC pediátrico, P4 risco auto-agressivo/ideação suicida (override G≥2), P5 intrusão pós-traumática. Inclui rastreio de risco obrigatório (princípios da C-SSRS) e bandeiras de alarme imediato. Baseado em Rachman (1981), Salkovskis (1985), Clark &amp; Rhyno (2005), Shafran et al. (1996), White &amp; Epston (1990), Hames et al. (2012), Posner et al. (2011). Instrumento ad-hoc, não validado psicometricamente — complemento da entrevista clínica; não substitui CY-BOCS, C-SSRS ou UCLA PTSD-RI quando indicados. Gera relatório imprimível (PDF). Corre localmente na sessão, sem sincronização para o Sheet.</t>
  </si>
  <si>
    <t xml:space="preserve">Egodistonia; Frequência; Controlabilidade; Significado; Neutralização; Interferência; Intencionalidade; Comunicação</t>
  </si>
  <si>
    <t xml:space="preserve">depi</t>
  </si>
  <si>
    <t xml:space="preserve">q_depi</t>
  </si>
  <si>
    <t xml:space="preserve">https://correiaricardina-ui.github.io/questionarios/Dinamica_Pensamentos_Intrusivos_v1.html</t>
  </si>
  <si>
    <t xml:space="preserve">DIVA-5</t>
  </si>
  <si>
    <t xml:space="preserve">5 anos+</t>
  </si>
  <si>
    <t xml:space="preserve">Entrevista diagnóstica para PHDA — adultos, jovens e DI (DSM-5)</t>
  </si>
  <si>
    <t xml:space="preserve">Desatenção; Hiperatividade/Impulsividade; Diagnóstico PHDA</t>
  </si>
  <si>
    <t xml:space="preserve">diva5</t>
  </si>
  <si>
    <t xml:space="preserve">q_diva5</t>
  </si>
  <si>
    <t xml:space="preserve">https://correiaricardina-ui.github.io/questionarios/DIVA5_v1.html</t>
  </si>
  <si>
    <t xml:space="preserve">EAFE</t>
  </si>
  <si>
    <t xml:space="preserve">Escola, Motivação &amp; Aprendizagem</t>
  </si>
  <si>
    <t xml:space="preserve">Entrevista de Análise Funcional do Estudo — avalia dificuldades de regulação emocional no estudo</t>
  </si>
  <si>
    <t xml:space="preserve">Défice Executivo (DE); Desmotivação Reativa (DR); Evitamento Emocional (EE); Dependência de Regulação Externa (DRE); Auto-Limitação Protectora (ALP)</t>
  </si>
  <si>
    <t xml:space="preserve">eafe</t>
  </si>
  <si>
    <t xml:space="preserve">q_eafe</t>
  </si>
  <si>
    <t xml:space="preserve">https://correiaricardina-ui.github.io/questionarios/EAFE_v2.html</t>
  </si>
  <si>
    <t xml:space="preserve">EAT-26</t>
  </si>
  <si>
    <t xml:space="preserve">Adolescentes / Adultos</t>
  </si>
  <si>
    <t xml:space="preserve">Rastreio de atitudes e comportamentos alimentares de risco (Garner et al., 1982)</t>
  </si>
  <si>
    <t xml:space="preserve">Dieta (D); Bulimia e Preocupação Alimentar (B); Controlo Oral (OC); Score Total (Total)</t>
  </si>
  <si>
    <t xml:space="preserve">eat26</t>
  </si>
  <si>
    <t xml:space="preserve">q_eat26</t>
  </si>
  <si>
    <t xml:space="preserve">https://correiaricardina-ui.github.io/questionarios/EAT26_v2.html</t>
  </si>
  <si>
    <t xml:space="preserve">ECE-FEA</t>
  </si>
  <si>
    <t xml:space="preserve">≥ 10 anos</t>
  </si>
  <si>
    <t xml:space="preserve">Avalia a função emocional da alimentação — ingestão emocional, controlo, fome, regulação e insight</t>
  </si>
  <si>
    <t xml:space="preserve">Dom. A — Ingestão Emocional; Dom. B — Perda de Controlo; Dom. C — Ingestão sem Fome; Dom. D — Função Reguladora; Dom. E — Consciência/Insight; Índice Global de Alimentação Emocional (IGAE)</t>
  </si>
  <si>
    <t xml:space="preserve">ece_fea</t>
  </si>
  <si>
    <t xml:space="preserve">q_ece_fea</t>
  </si>
  <si>
    <t xml:space="preserve">https://correiaricardina-ui.github.io/questionarios/ECE-FEA.html</t>
  </si>
  <si>
    <t xml:space="preserve">EDE-Q 6.0</t>
  </si>
  <si>
    <t xml:space="preserve">Avalia psicopatologia de perturbações alimentares — restrição, preocupações com alimentação, forma e peso (Fairburn &amp; Beglin, 2008)</t>
  </si>
  <si>
    <t xml:space="preserve">Restraint; Eating Concern; Shape Concern; Weight Concern; Global</t>
  </si>
  <si>
    <t xml:space="preserve">edeq</t>
  </si>
  <si>
    <t xml:space="preserve">q_edeq</t>
  </si>
  <si>
    <t xml:space="preserve">https://correiaricardina-ui.github.io/questionarios/EDEQ_v1.html</t>
  </si>
  <si>
    <t xml:space="preserve">EMP-F — Perfeccionismo (Frost)</t>
  </si>
  <si>
    <t xml:space="preserve">Personalidade &amp; Esquemas</t>
  </si>
  <si>
    <t xml:space="preserve">Adolescentes / Adultos (≥ 12 anos)</t>
  </si>
  <si>
    <t xml:space="preserve">Avalia perfeccionismo em seis dimensões (Frost et al., 1990) — preocupação com erros, dúvidas sobre ações, expectativas parentais, críticas parentais, padrões pessoais e organização; versão reduzida de 24 itens</t>
  </si>
  <si>
    <t xml:space="preserve">CM — Preocupações com Erros; DA — Dúvidas sobre Ações; PE — Expectativas Parentais; PC — Críticas Parentais; PS — Padrões Pessoais; O — Organização</t>
  </si>
  <si>
    <t xml:space="preserve">emp_f</t>
  </si>
  <si>
    <t xml:space="preserve">q_emp_f</t>
  </si>
  <si>
    <t xml:space="preserve">https://correiaricardina-ui.github.io/questionarios/EMP_F_v1.html</t>
  </si>
  <si>
    <t xml:space="preserve">EMP-H&amp;F — Perfeccionismo (Hewitt &amp; Flett)</t>
  </si>
  <si>
    <t xml:space="preserve">Avalia perfeccionismo em três dimensões — auto-orientado (PAO), socialmente prescrito (PSP) e orientado para os outros (POO); versão reduzida de 32 itens (Hewitt &amp; Flett, 1991)</t>
  </si>
  <si>
    <t xml:space="preserve">PAO — Auto-Orientado; PSP — Socialmente Prescrito; POO — Orientado para Outros; Total EMP-H&amp;F</t>
  </si>
  <si>
    <t xml:space="preserve">emp_hf</t>
  </si>
  <si>
    <t xml:space="preserve">q_emp_hf</t>
  </si>
  <si>
    <t xml:space="preserve">https://correiaricardina-ui.github.io/questionarios/EMP_HF_v1.html</t>
  </si>
  <si>
    <t xml:space="preserve">EPCAS-PE — Escala Pictórica de Competência Percebida e Aceitação Social</t>
  </si>
  <si>
    <t xml:space="preserve">Autoconceito / Autoestima</t>
  </si>
  <si>
    <t xml:space="preserve">Psicóloga</t>
  </si>
  <si>
    <t xml:space="preserve">4–7 anos (pré-escolar e 1.º/2.º ano)</t>
  </si>
  <si>
    <t xml:space="preserve">Tradução PT-PT da Pictorial Scale of Perceived Competence and Social Acceptance for Young Children, Forma Pré-Escolar/Jardim de Infância (Harter &amp; Pike, 1983/1984), com administração individual pelo examinador: para cada item pictórico a criança escolhe qual das duas crianças ilustradas é mais parecida consigo e indica se é «muito» (círculo grande) ou «um pouco» (círculo pequeno) parecida — cotação 1–4 por item. 30 itens: 24 originais (4 subescalas × 6 itens — Competência Cognitiva, Competência Física, Aceitação pelos Pares, Aceitação Parental) + extensão Aparência Física (6 itens, ilustrações K. Eklund 2021–2022). Médias 1–4 por subescala (admite itens omissos: média sobre itens validamente administrados) e fatores ao nível do item: Competência Geral (Cognitiva+Física) e Aceitação Social (Pares+Parental). Inclui 2 itens de treino não cotados. Bandas exclusivamente descritivas (&lt;2,00 Baixa · 2,00–2,99 Média · ≥3,00 Elevada; sem normas portuguesas) — leitura clínica do psicólogo.</t>
  </si>
  <si>
    <t xml:space="preserve">Competência Cognitiva; Competência Física; Aceitação pelos Pares; Aceitação Parental; Aparência Física; Competência Geral; Aceitação Social</t>
  </si>
  <si>
    <t xml:space="preserve">epcas_pe</t>
  </si>
  <si>
    <t xml:space="preserve">q_epcas_pe</t>
  </si>
  <si>
    <t xml:space="preserve">https://correiaricardina-ui.github.io/questionarios/EPCAS_PE_v1.html</t>
  </si>
  <si>
    <t xml:space="preserve">ERC — Pais/Cuidadores</t>
  </si>
  <si>
    <t xml:space="preserve">3–18 anos</t>
  </si>
  <si>
    <t xml:space="preserve">Avalia a regulação emocional da criança — versão pais/cuidadores</t>
  </si>
  <si>
    <t xml:space="preserve">Labilidade/Negatividade (L/N); Regulação Emocional (RE); Total ERC</t>
  </si>
  <si>
    <t xml:space="preserve">erc_pais</t>
  </si>
  <si>
    <t xml:space="preserve">q_erc_pais</t>
  </si>
  <si>
    <t xml:space="preserve">https://correiaricardina-ui.github.io/questionarios/ERC_Pais_v1.html</t>
  </si>
  <si>
    <t xml:space="preserve">ERC — Professores</t>
  </si>
  <si>
    <t xml:space="preserve">Avalia a regulação emocional da criança — versão professor/educador</t>
  </si>
  <si>
    <t xml:space="preserve">erc_prof</t>
  </si>
  <si>
    <t xml:space="preserve">q_erc_prof</t>
  </si>
  <si>
    <t xml:space="preserve">https://correiaricardina-ui.github.io/questionarios/ERC_Professores_v1.html</t>
  </si>
  <si>
    <t xml:space="preserve">ERICA — Índice de Regulação Emocional (Crianças e Adolescentes)</t>
  </si>
  <si>
    <t xml:space="preserve">9–16 anos</t>
  </si>
  <si>
    <t xml:space="preserve">Avaliação multidimensional da qualidade da regulação emocional em crianças e adolescentes (MacDermott et al., 2010; adaptação PT Reverendo &amp; Machado, 2010). 16 itens de auto-relato em 3 subescalas com inversão automática de 10 itens. Polaridade simplificada: alta = adaptativo. Tempo de aplicação ~4-6 min.</t>
  </si>
  <si>
    <t xml:space="preserve">Controlo Emocional (CE); Autoconsciência Emocional (AE); Responsividade Situacional (RS); ERICA Total</t>
  </si>
  <si>
    <t xml:space="preserve">erica</t>
  </si>
  <si>
    <t xml:space="preserve">q_erica</t>
  </si>
  <si>
    <t xml:space="preserve">https://correiaricardina-ui.github.io/questionarios/ERICA_v1.html</t>
  </si>
  <si>
    <t xml:space="preserve">ERQ-CA — Questionário de Regulação Emocional (Crianças e Adolescentes)</t>
  </si>
  <si>
    <t xml:space="preserve">10–18 anos</t>
  </si>
  <si>
    <t xml:space="preserve">Auto-relato breve (10 itens, ~3-5 min) de duas estratégias do modelo processual de regulação emocional de Gross (1998): Reavaliação Cognitiva (adaptativa, antecedente) e Supressão Expressiva (menos adaptativa, focada na resposta). Adaptação Gullone &amp; Taffe (2012); tradução PT Ana Nunes (sem validação psicométrica formal — uso restrito a investigação). Painel clínico permite alternar entre 6 grupos normativos (Global / etário / sexo).</t>
  </si>
  <si>
    <t xml:space="preserve">Reavaliação Cognitiva (RC); Supressão Expressiva (SE)</t>
  </si>
  <si>
    <t xml:space="preserve">erqca</t>
  </si>
  <si>
    <t xml:space="preserve">q_erq_ca</t>
  </si>
  <si>
    <t xml:space="preserve">https://correiaricardina-ui.github.io/questionarios/ERQ_CA_v1.html</t>
  </si>
  <si>
    <t xml:space="preserve">FACES-IV adap — Coesão e Flexibilidade Familiar</t>
  </si>
  <si>
    <t xml:space="preserve">Funcionamento familiar / sistémico</t>
  </si>
  <si>
    <t xml:space="preserve">Mãe, Pai, Filho(a), Cuidador(a), Outro familiar</t>
  </si>
  <si>
    <t xml:space="preserve">≥12 anos</t>
  </si>
  <si>
    <t xml:space="preserve">Avaliação exploratória do funcionamento familiar por autorrelato (42 itens, escala 1-5) em 6 escalas: 2 equilibradas (Coesão Equilibrada, Flexibilidade Equilibrada) e 4 desequilibradas (Desagregada, Emaranhada, Rígida, Caótica). Adaptação inspirada (Via B) no Modelo Circumplexo de Olson (FACES-IV) — NÃO reproduz o instrumento original nem as suas normas. Sem normas portuguesas: resultados descritivos por POMP %, rácios de equilíbrio (Coesão, Flexibilidade e Circumplexo Total) e posicionamento no modelo. A interpretação clínica é da responsabilidade do psicólogo.</t>
  </si>
  <si>
    <t xml:space="preserve">Coesão Equilibrada (CE); Flexibilidade Equilibrada (FE); Desagregada (DES); Emaranhada (EMA); Rígida (RIG); Caótica (CAO); Rácio Circumplexo Total</t>
  </si>
  <si>
    <t xml:space="preserve">faces_iv_adap</t>
  </si>
  <si>
    <t xml:space="preserve">q_facesivadap</t>
  </si>
  <si>
    <t xml:space="preserve">https://correiaricardina-ui.github.io/questionarios/FACES_IV_adap.html</t>
  </si>
  <si>
    <t xml:space="preserve">FAD-60 — Family Assessment Device</t>
  </si>
  <si>
    <t xml:space="preserve">Mãe, Pai, Enc. Educação, Outro familiar</t>
  </si>
  <si>
    <t xml:space="preserve">Família</t>
  </si>
  <si>
    <t xml:space="preserve">Avaliação do funcionamento familiar em 7 subescalas — 60 itens (Epstein et al., 1983)</t>
  </si>
  <si>
    <t xml:space="preserve">Resolução de Problemas (PS); Comunicação (CO); Papéis Familiares (RO); Responsividade Afetiva (AR); Envolvimento Afetivo (AI); Controlo Comportamental (BC); Funcionamento Geral (GF)</t>
  </si>
  <si>
    <t xml:space="preserve">fad_60</t>
  </si>
  <si>
    <t xml:space="preserve">q_fad_60</t>
  </si>
  <si>
    <t xml:space="preserve">https://correiaricardina-ui.github.io/questionarios/FAD_60_v1.html</t>
  </si>
  <si>
    <t xml:space="preserve">FAD-GF — Funcionamento Geral da Família</t>
  </si>
  <si>
    <t xml:space="preserve">Avaliação do funcionamento familiar global — 12 itens (Epstein et al., 1983)</t>
  </si>
  <si>
    <t xml:space="preserve">Score FAD-GF; Classificação</t>
  </si>
  <si>
    <t xml:space="preserve">fad_gf</t>
  </si>
  <si>
    <t xml:space="preserve">q_fad_gf</t>
  </si>
  <si>
    <t xml:space="preserve">https://correiaricardina-ui.github.io/questionarios/FAD_GF_v2.html</t>
  </si>
  <si>
    <t xml:space="preserve">FAS — Autorrelato Adolescência TOC</t>
  </si>
  <si>
    <t xml:space="preserve">Funcionamento familiar / TOC pediátrico</t>
  </si>
  <si>
    <t xml:space="preserve">11–17 anos</t>
  </si>
  <si>
    <t xml:space="preserve">Autorrelato Adolescência (11-17 anos) · Calvocoressi/Flessner (adaptação Via B PT-EU). Linguagem adolescente formal — o(a) jovem avalia os seus sintomas TOC e a acomodação dos pais. Estrutura completa: Bloco A (16 cat.), Bloco B+C (PAR 5 + MOD 4 + SOF + CON), Bloco D (UP/DC/AENA). Todos os indicadores: Obs/Comp, DS, DOC, PAR, MOD, Total, RAS, IRC. Mesmos alertas (CMO ≥ 3, RAS &gt; 8, IRC ≥ 9). Excepcionalmente útil para articulação com a versão Parental: divergências sistemáticas pais-adolescente sinalizam discordâncias sobre a natureza dos rituais ou sobre o nível de acomodação efectivamente prestada.</t>
  </si>
  <si>
    <t xml:space="preserve">Obs / Comp / DS / DOC; PAR (0-20) / MOD (0-16); Acomodação Total (0-36); SOF, RC, CMO, RAS; UP / DC / AENA; IRC (0-12)</t>
  </si>
  <si>
    <t xml:space="preserve">fas_cr_adolescencia</t>
  </si>
  <si>
    <t xml:space="preserve">q_fas_cr_adolescencia</t>
  </si>
  <si>
    <t xml:space="preserve">https://correiaricardina-ui.github.io/questionarios/FAS_CR_Adolescencia.html</t>
  </si>
  <si>
    <t xml:space="preserve">FAS — Autorrelato Infância TOC</t>
  </si>
  <si>
    <t xml:space="preserve">7–10 anos</t>
  </si>
  <si>
    <t xml:space="preserve">Autorrelato Infância (7-10 anos) · Calvocoressi/Flessner (adaptação Via B PT-EU). Linguagem infantil — a criança avalia as suas preocupações/rituais e a acomodação dos pais. Bloco A — Checklist (16 cat. TOC com linguagem infantil); Bloco B+C (PAR 5 + MOD 4 + SOF + CON); Bloco D — Crenças: UP (item 14), DC (item 15), AENA (item 16). Todos os indicadores TOC: Obs/Comp, DS, DOC, RAS. Adicionalmente IRC (0-12). Alertas: CMO ≥ 3, RAS &gt; 8, IRC ≥ 9 (a criança dá utilidade percebida alta + quer continuidade + baixa autoeficácia para lidar sozinha — dependência cognitiva relativamente à acomodação).</t>
  </si>
  <si>
    <t xml:space="preserve">fas_cr_infancia</t>
  </si>
  <si>
    <t xml:space="preserve">q_fas_cr_infancia</t>
  </si>
  <si>
    <t xml:space="preserve">https://correiaricardina-ui.github.io/questionarios/FAS_CR_Infancia.html</t>
  </si>
  <si>
    <t xml:space="preserve">FAS — Versão Parental (TOC)</t>
  </si>
  <si>
    <t xml:space="preserve">7–18 anos</t>
  </si>
  <si>
    <t xml:space="preserve">Versão Parental · Calvocoressi/Flessner (adaptação Via B PT-EU). Avalia a acomodação familiar aos sintomas obsessivo-compulsivos do(a) filho(a). Bloco A — Checklist sintomático (16 categorias dicotómicas: 8 Obsessões + 8 Compulsões); Bloco B — Acomodação (PAR 5 itens 0-20 + MOD 4 itens 0-16); Bloco C — Sofrimento/Consequências. Indicadores derivados: Obs/Comp (0-8 cada), DS (Diversidade Sintomática 0-16: Focal/Moderada/Alargada/Difusa), DOC (Diferencial Obs−Comp −8 a +8: Pred. Compulsivo/Equilibrado/Pred. Obsessivo), Acomodação Total 0-36, RAS (Razão Acomodação/Sintoma = Total ÷ DS: Dispersa &lt;2.5 / Distribuída ≤5 / Concentrada ≤8 / Hiperconcentrada &gt;8 ⚠). Alertas: CMO ≥ 3, RAS &gt; 8 (perfil "muita acomodação para pouco sintoma", típico de TOC focal). Orienta diagnóstico diferencial e plano terapêutico (ERP com envolvimento parental).</t>
  </si>
  <si>
    <t xml:space="preserve">Obs / Comp (0-8 cada); DS (0-16) / DOC (-8 a +8); PAR (0-20) / MOD (0-16); Acomodação Total (0-36); SOF, RC, CMO; RAS (Total/DS); Categorias presentes</t>
  </si>
  <si>
    <t xml:space="preserve">fas_parental</t>
  </si>
  <si>
    <t xml:space="preserve">q_fas_parental</t>
  </si>
  <si>
    <t xml:space="preserve">https://correiaricardina-ui.github.io/questionarios/FAS_Parental.html</t>
  </si>
  <si>
    <t xml:space="preserve">FASA — Autorrelato Adolescência</t>
  </si>
  <si>
    <t xml:space="preserve">Funcionamento familiar / Ansiedade</t>
  </si>
  <si>
    <t xml:space="preserve">Autorrelato Adolescência (11-17 anos) · Lebowitz et al. (adaptação Via B PT-EU). Linguagem adolescente formal — o(a) jovem avalia o envolvimento dos pais nas suas preocupações ansiosas. 16 itens idênticos em estrutura à versão Infância (PAR, MOD, SOF, CON, Bloco D — UP/DC/AENA). Acomodação Total 0-36. IRC 0-12. Alertas CMO ≥ 3 e IRC ≥ 9. Útil para articular percepções da díade pais-adolescente (comparar com versão Parental quando disponível).</t>
  </si>
  <si>
    <t xml:space="preserve">PAR (0-16); MOD (0-20); Acomodação Total (0-36); SOF, RC, CMO; UP / DC / AENA; IRC (0-12)</t>
  </si>
  <si>
    <t xml:space="preserve">fasa_cr_adolescencia</t>
  </si>
  <si>
    <t xml:space="preserve">q_fasa_cr_adolescencia</t>
  </si>
  <si>
    <t xml:space="preserve">https://correiaricardina-ui.github.io/questionarios/FASA_CR_Adolescencia.html</t>
  </si>
  <si>
    <t xml:space="preserve">FASA — Autorrelato Infância</t>
  </si>
  <si>
    <t xml:space="preserve">Funcionamento familiar / Ansiedade pediátrica</t>
  </si>
  <si>
    <t xml:space="preserve">Autorrelato Infância (7-10 anos) · Lebowitz et al. (adaptação Via B PT-EU). Linguagem infantil — a criança avalia o envolvimento dos pais nas suas preocupações ansiosas. 16 itens: PAR (1-4, 0-16), MOD (5-9, 0-20), SOF (item 10), CON (11-13), Bloco D — Crenças: UP (Utilidade Percebida, item 14), DC (Desejo de Continuidade, item 15), AENA (Autoeficácia para Não-Acomodação, item 16, direção inversa). Acomodação Total 0-36 (mesmas bandas que Parental). IRC = UP + DC + (4 − AENA), 0-12: Baixa (0-4) / Moderada (5-8) / Elevada (9-12 ⚠). Alertas: CMO ≥ 3, IRC ≥ 9 (dependência cognitiva da acomodação).</t>
  </si>
  <si>
    <t xml:space="preserve">fasa_cr_infancia</t>
  </si>
  <si>
    <t xml:space="preserve">q_fasa_cr_infancia</t>
  </si>
  <si>
    <t xml:space="preserve">https://correiaricardina-ui.github.io/questionarios/FASA_CR_Infancia.html</t>
  </si>
  <si>
    <t xml:space="preserve">FASA — Versão Parental</t>
  </si>
  <si>
    <t xml:space="preserve">2–18 anos</t>
  </si>
  <si>
    <t xml:space="preserve">Versão Parental · Lebowitz et al. (adaptação Via B PT-EU). Avalia o envolvimento dos pais/cuidadores na acomodação familiar aos sintomas ansiosos da criança/adolescente, ao longo do último mês. 13 itens em 4 subescalas: PAR (Participação directa, itens 1-4, 0-16); MOD (Modificação de rotinas, itens 5-9, 0-20); SOF (Sofrimento parental, item 10, 0-4); CON (Consequências da não-acomodação, itens 11-13, 0-4). Acomodação Total 0-36 com bandas: Mínima (0-8), Ligeira/Moderada (9-17), Acentuada (18-26), Severa (27-36). Indicadores complementares: RC (Reatividade, média 11-13) e CMO (Consequência Máxima Observada). Alerta CMO ≥ 3 sinaliza risco de escalada perante não-acomodação. Orienta para intervenção SPACE ou equivalente.</t>
  </si>
  <si>
    <t xml:space="preserve">PAR (0-16); MOD (0-20); Acomodação Total (0-36); SOF (item 10); RC (média 11-13); CMO (máx 11-13)</t>
  </si>
  <si>
    <t xml:space="preserve">fasa_parental</t>
  </si>
  <si>
    <t xml:space="preserve">q_fasa_parental</t>
  </si>
  <si>
    <t xml:space="preserve">https://correiaricardina-ui.github.io/questionarios/FASA_Parental.html</t>
  </si>
  <si>
    <t xml:space="preserve">FSSC-R</t>
  </si>
  <si>
    <t xml:space="preserve">Inventário de medos infantis com 5 fatores e 4 normas — Ollendick (1978/1983)</t>
  </si>
  <si>
    <t xml:space="preserve">Total; F1 Falhanço; F2 Desconhecido; F3 Animais/Fer.; F4 Perigo/Morte; F5 Médico; "Muito"</t>
  </si>
  <si>
    <t xml:space="preserve">fsscr</t>
  </si>
  <si>
    <t xml:space="preserve">q_fsscr</t>
  </si>
  <si>
    <t xml:space="preserve">https://correiaricardina-ui.github.io/questionarios/FSSC_R_v1.html</t>
  </si>
  <si>
    <t xml:space="preserve">GAI — Grelha de Automonitorização Interocetiva</t>
  </si>
  <si>
    <t xml:space="preserve">Paciente (jovem, em sessão)</t>
  </si>
  <si>
    <t xml:space="preserve">Instrumento de automonitorização interocetiva, autorrelato do jovem em sessão (variante de pais prevista). Regista a perceção do próprio corpo na última semana em 7 dimensões (fome, saciedade, sono, cansaço, trânsito intestinal, temperatura, concentração), cada uma cotada por disregulação (0=regulado … 3=mais preocupante), mais um bloco de preocupação com o corpo (lanugo, queda de cabelo, sensação de frio, evitamento de roupa, perceção de magreza, inchaço) e campo de texto livre. Dois índices: Eixo Somático-Regulatório (sono+cansaço+temperatura+concentração, 0–12) e Eixo Apetitivo-Corporal (fome+saciedade+trânsito + preocupação corporal). A dissociação entre eixos (somático regulado / apetitivo-corporal elevado) é o dado clínico central, para acompanhamento longitudinal. Marcadores nutricionais (lanugo, queda de cabelo, frio) são sinalizados à equipa médica, não cotados como gravidade psicológica. Instrumento ad-hoc, não validado psicometricamente — observação, não conclusão; complementa a entrevista clínica e triangula com hetero-relato. Ricardina Correia, 2026.</t>
  </si>
  <si>
    <t xml:space="preserve">Eixo Somático-Regulatório; Eixo Apetitivo-Corporal; Dimensões em alerta; Marcadores nutricionais</t>
  </si>
  <si>
    <t xml:space="preserve">gai</t>
  </si>
  <si>
    <t xml:space="preserve">q_gai</t>
  </si>
  <si>
    <t xml:space="preserve">https://correiaricardina-ui.github.io/questionarios/GAI_Automonitorizacao_Interocetiva_v1.html</t>
  </si>
  <si>
    <t xml:space="preserve">IIM — Adolescentes/Adultos</t>
  </si>
  <si>
    <t xml:space="preserve">Orientação Vocacional &amp; Inteligências</t>
  </si>
  <si>
    <t xml:space="preserve">Auto-relato adolescente/adulto de preferências e competências por inteligência (Gardner, 1983/1995). Aplicação clínica em orientação vocacional, autoconhecimento e identificação de domínios de eleição. Avalia AUTO-PERCEÇÃO — NÃO substitui provas de aptidão.</t>
  </si>
  <si>
    <t xml:space="preserve">Inteligência Linguística (LING); Inteligência Lógico-Matemática (LOGM); Inteligência Espacial (ESPA); Inteligência Musical (MUSI); Inteligência Corporal-Cinestésica (CORP); Inteligência Interpessoal (INTER); Inteligência Intrapessoal (INTRA); Inteligência Naturalista (NATU); Inteligências Académicas (índice) (IIA); Inteligências Estético-Sensoriais (índice) (IIES); Inteligências Pessoais (índice) (IIP); Inteligência Naturalista (índice) (IIN); Índice Geral Multifactorial (IGM); Índice de Diversidade do Perfil (IDE); Discrepância Inter-Intra (DIE); Inteligência Dominante (DOM)</t>
  </si>
  <si>
    <t xml:space="preserve">iimadoladultos</t>
  </si>
  <si>
    <t xml:space="preserve">q_iim_adoladultos</t>
  </si>
  <si>
    <t xml:space="preserve">https://correiaricardina-ui.github.io/questionarios/IIM_AdolAdultos_v1.html</t>
  </si>
  <si>
    <t xml:space="preserve">IIM — Crianças</t>
  </si>
  <si>
    <t xml:space="preserve">8–12 anos</t>
  </si>
  <si>
    <t xml:space="preserve">Auto-relato infantil de preferências e competências por inteligência (Gardner, 1983/1995). Linguagem adaptada à criança. Avalia AUTO-PERCEÇÃO — não capacidade real medida. Orientação para autoconhecimento e identificação de áreas de força.</t>
  </si>
  <si>
    <t xml:space="preserve">iimcriancas</t>
  </si>
  <si>
    <t xml:space="preserve">q_iim_criancas</t>
  </si>
  <si>
    <t xml:space="preserve">https://correiaricardina-ui.github.io/questionarios/IIM_Criancas_v1.html</t>
  </si>
  <si>
    <t xml:space="preserve">IIM — Heterorrelato</t>
  </si>
  <si>
    <t xml:space="preserve">Mãe, Pai, Enc. Educação, Professor(a), Diretor(a) de Turma</t>
  </si>
  <si>
    <t xml:space="preserve">Mapear o perfil de auto-perceção de preferências e competências por inteligência (Gardner, 1983/1995) — versão preenchida por pais/professores. Orientação vocacional, autoconhecimento e identificação de áreas de força. NÃO substitui WISC-V/BAEM/MAT.</t>
  </si>
  <si>
    <t xml:space="preserve">iimhetero</t>
  </si>
  <si>
    <t xml:space="preserve">q_iim_hetero</t>
  </si>
  <si>
    <t xml:space="preserve">https://correiaricardina-ui.github.io/questionarios/IIM_Heterorrelato_v1.html</t>
  </si>
  <si>
    <t xml:space="preserve">IMC-C — Inventário de Maturidade na Carreira (Forma C)</t>
  </si>
  <si>
    <t xml:space="preserve">Jovem avaliado, Paciente</t>
  </si>
  <si>
    <t xml:space="preserve">Ensino Secundário</t>
  </si>
  <si>
    <t xml:space="preserve">Avaliar a maturidade/adaptabilidade vocacional: prontidão para decisões de carreira</t>
  </si>
  <si>
    <t xml:space="preserve">Preocupação; Curiosidade; Confiança; Consulta/Controlo; Escala Total</t>
  </si>
  <si>
    <t xml:space="preserve">imc_c</t>
  </si>
  <si>
    <t xml:space="preserve">q_imc_c</t>
  </si>
  <si>
    <t xml:space="preserve">https://correiaricardina-ui.github.io/questionarios/IMC_C.html</t>
  </si>
  <si>
    <t xml:space="preserve">IPP-R — Interesses e Preferências Profissionais</t>
  </si>
  <si>
    <t xml:space="preserve">≥14 anos</t>
  </si>
  <si>
    <t xml:space="preserve">Avaliar interesses e preferências profissionais em 15 campos vocacionais</t>
  </si>
  <si>
    <t xml:space="preserve">Ciências (CIE); Tecnologias (TEC); Saúde (SAU); Ciências Sociais – Humanidades (CSH); Ciências Sociais – Jurídico (CSJ); Comunicação, Publicidade, Audiovisual (CPA); Educação (EDU); Financeiro, Administrativo, Comercial (FAC); Informática (INF); Agricultura, Pecuária, Ambiente (APA); Expressão Artística – BMA (BMA); Expressão Artística – MDR (MDR); Forças Armadas, Segurança, Proteção (FSP); Desporto (DES); Turismo, Hotelaria, Restauração (THR)</t>
  </si>
  <si>
    <t xml:space="preserve">ippr</t>
  </si>
  <si>
    <t xml:space="preserve">q_ippr</t>
  </si>
  <si>
    <t xml:space="preserve">https://correiaricardina-ui.github.io/questionarios/IPP-R_v1.html</t>
  </si>
  <si>
    <t xml:space="preserve">ISAS — Inventário de Afirmações sobre Autolesão</t>
  </si>
  <si>
    <t xml:space="preserve">Comportamento / Autolesão (NSSI)</t>
  </si>
  <si>
    <t xml:space="preserve">Paciente/Adolescente, Adulto</t>
  </si>
  <si>
    <t xml:space="preserve">12–25 anos</t>
  </si>
  <si>
    <t xml:space="preserve">Auto-resposta · Klonsky &amp; Glenn (2009). Caracterização de comportamentos de autolesão não suicida (Secção I — 12 comportamentos + 7 questões contextuais) e identificação funcional das 13 funções subjacentes (Secção II — 39 itens Likert 0-2 organizados em 6 funções intrapessoais e 7 interpessoais). Score por função 0-6 (Baixa 0-2 / Média 3-4 / Alta 5-6). Domínios: Intrapessoal 0-36 (Reg. afecto, Anti-dissociação, Anti-suicídio, Marcar sofrimento, Auto-punição, Endurecimento) e Interpessoal 0-42 (Autonomia, Limites interpessoais, Influência, Vinculação a pares, Vingança, Auto-cuidado, Procura de sensações). TOTAL 0-78 com bandas: Sem investimento 0 / Baixo 1-26 / Moderado 27-52 / Elevado 53-78. Perfis funcionais: Baixo investimento funcional, Intrapessoal predominante, Interpessoal predominante, Misto. Alertas críticos: Anti-suicídio ≥4 (articular com EADRS-A e pedopsiquiatria), Auto-punição ≥4 (trabalho sobre auto-conceito e auto-crítica), Influência interpessoal ≥4 (dinâmica familiar e sinalização).</t>
  </si>
  <si>
    <t xml:space="preserve">Caracterização (Sec. I); 13 funções (Sec. II); Intrapessoal (0-36); Interpessoal (0-42); TOTAL (0-78); Perfil funcional; Top 3 funções; Alertas críticos (AS/AP/IN)</t>
  </si>
  <si>
    <t xml:space="preserve">isas</t>
  </si>
  <si>
    <t xml:space="preserve">q_isas</t>
  </si>
  <si>
    <t xml:space="preserve">https://correiaricardina-ui.github.io/questionarios/ISAS_v1.html</t>
  </si>
  <si>
    <t xml:space="preserve">ISC-24 — Somatização</t>
  </si>
  <si>
    <t xml:space="preserve">Paciente, Criança avaliada, Jovem avaliado, Mãe, Pai, Enc. Educação</t>
  </si>
  <si>
    <t xml:space="preserve">Avalia presença e intensidade de sintomas somáticos nas últimas 2 semanas (24 itens; Ferreira, Martins, Monteiro &amp; Pereira, 2014 — adaptação portuguesa do CSI-24)</t>
  </si>
  <si>
    <t xml:space="preserve">Pontuação Total; Cardiopulmonar; Pseudoneurológico; Gastrointestinal; Dor</t>
  </si>
  <si>
    <t xml:space="preserve">isc24</t>
  </si>
  <si>
    <t xml:space="preserve">q_isc24</t>
  </si>
  <si>
    <t xml:space="preserve">https://correiaricardina-ui.github.io/questionarios/ISC24.html</t>
  </si>
  <si>
    <t xml:space="preserve">ISS-I / ESI — Inventário de Sintomas de Stress Infantil</t>
  </si>
  <si>
    <t xml:space="preserve">6–14 anos</t>
  </si>
  <si>
    <t xml:space="preserve">Auto-relato infantil (33 itens · Likert 0-4 · ~10-15 min) da sintomatologia de stress em 4 domínios: F (Reações Físicas), P (Reações Psicológicas), D (Comp. Depressivo) e PF (Reações Psicofisiológicas). 4 itens sentinela (22, 23, 24, 25 — alerta clínico se ≥ 2). SEM normas portuguesas — leitura criterial (≤25/26-45/46-65/&gt;65 % do máximo) + leitura desenvolvimental por faixa etária (6-8 / 9-11 / 12-14 anos). Lucarelli &amp; Lipp (1998) · adaptação técnica PT-PT.</t>
  </si>
  <si>
    <t xml:space="preserve">Reações Físicas (F); Reações Psicológicas (P); Reações Psic. Comp. Depressivo (D); Reações Psicofisiológicas (PF); Score Total (TOTAL)</t>
  </si>
  <si>
    <t xml:space="preserve">iss_esi</t>
  </si>
  <si>
    <t xml:space="preserve">q_iss_esi</t>
  </si>
  <si>
    <t xml:space="preserve">https://correiaricardina-ui.github.io/questionarios/ISS_ESI_v1.html</t>
  </si>
  <si>
    <t xml:space="preserve">IVP de Super — Inventário de Valores Profissionais</t>
  </si>
  <si>
    <t xml:space="preserve">Ensino Secundário / Adultos</t>
  </si>
  <si>
    <t xml:space="preserve">Avaliar os valores profissionais em 15 dimensões: Criatividade, Altruísmo, Estético, Estimulação Intelectual, Êxito, Independência, Prestígio, Direcção, Económico, Segurança, Ambiente, Rel. Superiores, Rel. Colegas, Variedade, Género de Vida</t>
  </si>
  <si>
    <t xml:space="preserve">Criatividade; Altruísmo; Estético; Estimulação Intelectual; Êxito; Independência; Prestígio; Direcção; Económico; Segurança; Ambiente; Relação com os Superiores; Relação com os Colegas; Variedade; Género de Vida</t>
  </si>
  <si>
    <t xml:space="preserve">ivp_super</t>
  </si>
  <si>
    <t xml:space="preserve">q_ivp_super</t>
  </si>
  <si>
    <t xml:space="preserve">https://correiaricardina-ui.github.io/questionarios/IVP_Super_v1.html</t>
  </si>
  <si>
    <t xml:space="preserve">JTCI — Inventário Júnior de Temperamento e Caráter</t>
  </si>
  <si>
    <t xml:space="preserve">9–18 anos</t>
  </si>
  <si>
    <t xml:space="preserve">Avalia temperamento (NS, HA, RD, P) e caráter (SD, CO) — 92 itens, autorrelato (Mondoni 2010 · Moreira et al. 2012)</t>
  </si>
  <si>
    <t xml:space="preserve">Procura de Novidade (NS); Evitamento do Dano (HA); Dependência da Recompensa (RD); Persistência (P); Autodirecionamento (SD); Cooperação (CO)</t>
  </si>
  <si>
    <t xml:space="preserve">jtci92</t>
  </si>
  <si>
    <t xml:space="preserve">q_jtci92</t>
  </si>
  <si>
    <t xml:space="preserve">https://correiaricardina-ui.github.io/questionarios/JTCI_92.html</t>
  </si>
  <si>
    <t xml:space="preserve">Kidcope — Adolescentes (13–18 anos)</t>
  </si>
  <si>
    <t xml:space="preserve">13–18 anos</t>
  </si>
  <si>
    <t xml:space="preserve">Avalia frequência (0–3) e eficácia percebida (0–4) de estratégias de coping; inclui flags de discrepância Frequência-Eficácia e perfil integrado A-E-D (Spirito, Stark &amp; Williams, 1988)</t>
  </si>
  <si>
    <t xml:space="preserve">Estilo Adaptativo; Estilo Evitativo; Estilo Disfuncional; Índice Global; Flags F-E; Perfil A-E-D</t>
  </si>
  <si>
    <t xml:space="preserve">kidcope_ad</t>
  </si>
  <si>
    <t xml:space="preserve">q_kidcope_ad</t>
  </si>
  <si>
    <t xml:space="preserve">https://correiaricardina-ui.github.io/questionarios/Kidcope_Adolescentes_v1.html</t>
  </si>
  <si>
    <t xml:space="preserve">Kidcope — Crianças (7–12 anos)</t>
  </si>
  <si>
    <t xml:space="preserve">Paciente, Criança avaliada</t>
  </si>
  <si>
    <t xml:space="preserve">7–12 anos</t>
  </si>
  <si>
    <t xml:space="preserve">Avalia estratégias de coping face a situações de stress (uso binário Sim/Não + eficácia 0–2); perfil integrado A-E-D com 27 combinações clínicas (Spirito, Stark &amp; Williams, 1988)</t>
  </si>
  <si>
    <t xml:space="preserve">Estilo Adaptativo; Estilo Evitativo; Estilo Disfuncional; Índice Global; Perfil A-E-D</t>
  </si>
  <si>
    <t xml:space="preserve">kidcope_cr</t>
  </si>
  <si>
    <t xml:space="preserve">q_kidcope_cr</t>
  </si>
  <si>
    <t xml:space="preserve">https://correiaricardina-ui.github.io/questionarios/Kidcope_Criancas_v1.html</t>
  </si>
  <si>
    <t xml:space="preserve">LDS — Desenvolvimento Linguagem</t>
  </si>
  <si>
    <t xml:space="preserve">18–35 meses</t>
  </si>
  <si>
    <t xml:space="preserve">Rastreio do desenvolvimento da linguagem — MacArthur adaptado</t>
  </si>
  <si>
    <t xml:space="preserve">Vocabulário; Comprimento Médio do Enunciado (MLU)</t>
  </si>
  <si>
    <t xml:space="preserve">lds</t>
  </si>
  <si>
    <t xml:space="preserve">q_lds</t>
  </si>
  <si>
    <t xml:space="preserve">https://correiaricardina-ui.github.io/questionarios/LDS_v2.html</t>
  </si>
  <si>
    <t xml:space="preserve">MABC-2 — Lista de Verificação</t>
  </si>
  <si>
    <t xml:space="preserve">Professor(a), Educador(a), Mãe, Pai, Enc. Educação</t>
  </si>
  <si>
    <t xml:space="preserve">5–12 anos</t>
  </si>
  <si>
    <t xml:space="preserve">Rastreio heteroavaliado das dificuldades de coordenação motora no quotidiano (Movement ABC-2 Checklist, Henderson, Sugden &amp; Barnett). Preenchido por adulto que observa a criança: Secção A (movimento em ambiente estático/previsível) e Secção B (movimento em ambiente dinâmico/imprevisível), cada uma 0–3/NO; Secção C regista fatores não motores (Sim/Não). Cotação com imputação por «Não Observado» e semáforo normativo por idade (apenas no painel clínico).</t>
  </si>
  <si>
    <t xml:space="preserve">Secção A — Estático/Previsível; Secção B — Dinâmico/Imprevisível; Total Motor (A+B); Secção C — Fatores não motores</t>
  </si>
  <si>
    <t xml:space="preserve">mabc2_checklist</t>
  </si>
  <si>
    <t xml:space="preserve">q_mabc2_checklist</t>
  </si>
  <si>
    <t xml:space="preserve">https://correiaricardina-ui.github.io/questionarios/MABC2_Checklist_v1.html</t>
  </si>
  <si>
    <t xml:space="preserve">MAP — Adolescência 12–14 anos</t>
  </si>
  <si>
    <t xml:space="preserve">12–14 anos</t>
  </si>
  <si>
    <t xml:space="preserve">Mapeamento parental sistémico — Adolescência 12–14 anos</t>
  </si>
  <si>
    <t xml:space="preserve">Funcionamento Parental; Rotinas; Práticas Educativas</t>
  </si>
  <si>
    <t xml:space="preserve">map_1214</t>
  </si>
  <si>
    <t xml:space="preserve">q_map_1214</t>
  </si>
  <si>
    <t xml:space="preserve">https://correiaricardina-ui.github.io/questionarios/MAP_ParentalAvaliacaoSistemica_1214_v1.html</t>
  </si>
  <si>
    <t xml:space="preserve">MAP — Adolescência 15–18 anos</t>
  </si>
  <si>
    <t xml:space="preserve">15–18 anos</t>
  </si>
  <si>
    <t xml:space="preserve">Mapeamento parental sistémico — Adolescência 15–18 anos</t>
  </si>
  <si>
    <t xml:space="preserve">map_1518</t>
  </si>
  <si>
    <t xml:space="preserve">q_map_1518</t>
  </si>
  <si>
    <t xml:space="preserve">https://correiaricardina-ui.github.io/questionarios/MAP_ParentalAvaliacaoSistemica_1518_v1.html</t>
  </si>
  <si>
    <t xml:space="preserve">MAP — Mapeamento Parental Sistémico</t>
  </si>
  <si>
    <t xml:space="preserve">Mapeamento sistémico do funcionamento parental</t>
  </si>
  <si>
    <t xml:space="preserve">map_parental</t>
  </si>
  <si>
    <t xml:space="preserve">q_map_parental</t>
  </si>
  <si>
    <t xml:space="preserve">https://correiaricardina-ui.github.io/questionarios/MAP_ParentalAvaliacaoSistemica_v1.html</t>
  </si>
  <si>
    <t xml:space="preserve">MAP — Primeira Infância</t>
  </si>
  <si>
    <t xml:space="preserve">Mapeamento parental sistémico — Primeira Infância</t>
  </si>
  <si>
    <t xml:space="preserve">map_pi</t>
  </si>
  <si>
    <t xml:space="preserve">q_map_pi</t>
  </si>
  <si>
    <t xml:space="preserve">https://correiaricardina-ui.github.io/questionarios/MAP_ParentalAvaliacaoSistemica_PI_v1.html</t>
  </si>
  <si>
    <t xml:space="preserve">MBI-SS — Escala de Burnout para Estudantes</t>
  </si>
  <si>
    <t xml:space="preserve">17+ anos</t>
  </si>
  <si>
    <t xml:space="preserve">Avaliar burnout académico: exaustão emocional, descrença e eficácia (Maroco &amp; Tecedeiro, 2009)</t>
  </si>
  <si>
    <t xml:space="preserve">Exaustão Emocional; Descrença; Eficácia Académica</t>
  </si>
  <si>
    <t xml:space="preserve">mbiss</t>
  </si>
  <si>
    <t xml:space="preserve">q_mbiss</t>
  </si>
  <si>
    <t xml:space="preserve">https://correiaricardina-ui.github.io/questionarios/MBI-SS_v1.html</t>
  </si>
  <si>
    <t xml:space="preserve">M-CHAT-R/F — Despiste Precoce de Autismo</t>
  </si>
  <si>
    <t xml:space="preserve">16–30 meses</t>
  </si>
  <si>
    <t xml:space="preserve">Despiste precoce de Perturbação do Espetro do Autismo (PEA) em crianças entre 16 e 30 meses. Modified Checklist for Autism in Toddlers, Revised, with Follow-Up (© 2009 Diana Robins, Deborah Fein, &amp; Marianne Barton) · Tradução PT-PT: Carla Cintrão Almeida · www.mchatscreen.com. Instrumento de 2 etapas preenchido pelos pais com supervisão clínica: Etapa 1 (20 itens Sim/Não) com algoritmo de cotação dirigido por item — items 2/5/12 "Sim"=Falha, restantes "Não"=Falha; categorias Baixo 0-2 / Moderado 3-7 / Alto 8-20. Etapa 2 condicional (só se score 3-7) com entrevista de seguimento estruturada item-a-item; clínico regista Esclarecido (Passa) / Confirmado (Falha) por item; ≥2 confirmados = rastreio positivo. Categorias finais: Baixo · Moderado—Negativo · Moderado—Positivo · Alto. Aviso: instrumento de despiste, NÃO de diagnóstico — qualquer criança com resultado positivo deve ser referenciada para avaliação de diagnóstico e possível sinalização para intervenção precoce (SNIPI, Pediatria do Desenvolvimento, Pedopsiquiatria, HP Coimbra).</t>
  </si>
  <si>
    <t xml:space="preserve">Etapa 1 (20 itens · score 0-20); Etapa 2 condicional (entrevista de seguimento); Comunicação social; Linguagem; Brincadeira simbólica; Comportamentos sensoriais; Comportamentos repetitivos</t>
  </si>
  <si>
    <t xml:space="preserve">m_chat_r_f</t>
  </si>
  <si>
    <t xml:space="preserve">q_m_chat_r_f</t>
  </si>
  <si>
    <t xml:space="preserve">https://correiaricardina-ui.github.io/questionarios/M-CHAT-R-F_v1.html</t>
  </si>
  <si>
    <t xml:space="preserve">MCP Breve — Mapeamento de Configuração Parental</t>
  </si>
  <si>
    <t xml:space="preserve">Mãe, Pai, Madrasta, Padrasto, Enc. Educação, Tutor(a) legal</t>
  </si>
  <si>
    <t xml:space="preserve">3–17 anos</t>
  </si>
  <si>
    <t xml:space="preserve">Instrumento clínico ad-hoc (sem validação psicométrica formal — uso orientativo, articulado com entrevista). Mapeamento BREVE da configuração parental quotidiana em famílias com múltiplos adultos coabitantes: caracterização dos coabitantes (S1), distribuição funcional em 6 situações-chave (S2), autoridade educativa reconhecida (S3, 6 itens Likert) e posição/bem-estar parental do informante (S4, 4 itens Likert). Itens 3, 4 e 5 da S3 e 3 e 4 da S4 são invertidos. Pai e mãe podem submeter em separado (dedupe por nome_informante). Saída clínica: heatmap da distribuição funcional + Média de Autoridade Reconhecida + Média de Bem-Estar Parental Percebido.</t>
  </si>
  <si>
    <t xml:space="preserve">Coabitantes (S1); Distribuição funcional (S2); Autoridade educativa reconhecida (S3); Posição e bem-estar parental (S4); Média Autoridade; Média Bem-Estar</t>
  </si>
  <si>
    <t xml:space="preserve">mcp_breve</t>
  </si>
  <si>
    <t xml:space="preserve">q_mcp_breve</t>
  </si>
  <si>
    <t xml:space="preserve">https://correiaricardina-ui.github.io/questionarios/MCP_Breve.html</t>
  </si>
  <si>
    <t xml:space="preserve">MCP Completo — Mapeamento de Configuração Parental</t>
  </si>
  <si>
    <t xml:space="preserve">Instrumento clínico ad-hoc (sem validação psicométrica formal — uso orientativo, articulado com entrevista). Mapeamento APROFUNDADO da configuração parental e clima educativo em famílias com múltiplos adultos coabitantes: coabitantes (S1, com início e perspectiva de futuro), distribuição funcional (S2, 6 situações), autoridade educativa (S3, 6 itens + resposta aberta), relação afetiva da criança com cada figura adulta (S4, 3 itens × N figuras + duas perguntas qualitativas), acomodação/resposta dos outros adultos a sintomas da criança (S5, 5 itens), posição parental do informante (S6, 4 itens + aberta) e síntese clínica (S7, duas questões abertas: "o que funciona" / "o que mudaria"). Pai e mãe podem submeter em separado (dedupe por nome_informante). Saída clínica: heatmap S2 + mapa relacional S4 por figura + Média Autoridade (S3) + Média Acomodação parcial (S5: itens 1-3) + Média Bem-Estar (S6) + comentários abertos.</t>
  </si>
  <si>
    <t xml:space="preserve">Coabitantes (S1); Distribuição funcional (S2); Autoridade educativa (S3); Relação afetiva por figura (S4); Resposta dos outros / Acomodação (S5); Posição e bem-estar parental (S6); Síntese clínica aberta (S7); Média Autoridade; Média Acomodação; Média Bem-Estar</t>
  </si>
  <si>
    <t xml:space="preserve">mcp_completo</t>
  </si>
  <si>
    <t xml:space="preserve">q_mcp_completo</t>
  </si>
  <si>
    <t xml:space="preserve">https://correiaricardina-ui.github.io/questionarios/MCP_Completo.html</t>
  </si>
  <si>
    <t xml:space="preserve">MDQ — Mood Disorder Questionnaire</t>
  </si>
  <si>
    <t xml:space="preserve">Adultos (≥18 anos)</t>
  </si>
  <si>
    <t xml:space="preserve">Auto-relato breve (15 itens, ~3-5 min) para rastreio de perturbações do espectro bipolar (Hirschfeld et al., 2000; validação PT-BR Gurgel et al., 2012). 13 itens de sintomas maníacos/hipomaníacos + 1 item de co-ocorrência temporal + 1 item de impacto funcional. Classificação principal em 4 níveis (Rastreio Positivo, Sintomatologia Bipolar Incompleta, Zona Subclínica, Rastreio Negativo) e 4 alertas diferenciais (TDAH adulto, Borderline/Cluster B, Características Mistas, Confounding por Substâncias). NUNCA constitui diagnóstico — instrumento de rastreio. Os domínios não são visíveis ao paciente durante o preenchimento.</t>
  </si>
  <si>
    <t xml:space="preserve">Soma P1 (sintomas); Co-ocorrência (P2); Impacto funcional (P3); Activação somática; Cognição acelerada; Expansividade hedónica; Pressão comunicacional; Disforia/Irritabilidade; Desregulação comportamental; Classificação; Alertas Diferenciais</t>
  </si>
  <si>
    <t xml:space="preserve">mdq</t>
  </si>
  <si>
    <t xml:space="preserve">q_mdq</t>
  </si>
  <si>
    <t xml:space="preserve">https://correiaricardina-ui.github.io/questionarios/MDQ_v1.html</t>
  </si>
  <si>
    <t xml:space="preserve">NEO PI-R — Inventário de Personalidade NEO Revisto</t>
  </si>
  <si>
    <t xml:space="preserve">Avaliação dos 5 grandes domínios de personalidade (N, E, O, A, C) e 30 facetas — 240 itens (Costa &amp; McCrae 1992 · Lima &amp; Simões 1997)</t>
  </si>
  <si>
    <t xml:space="preserve">Neuroticismo; Extroversão; Abertura à Experiência; Amabilidade; Conscienciosidade</t>
  </si>
  <si>
    <t xml:space="preserve">neopir</t>
  </si>
  <si>
    <t xml:space="preserve">q_neopir</t>
  </si>
  <si>
    <t xml:space="preserve">https://correiaricardina-ui.github.io/questionarios/NEO_PIR_v1.html</t>
  </si>
  <si>
    <t xml:space="preserve">OCI-CV-R — Sintomatologia Obsessivo-Compulsiva</t>
  </si>
  <si>
    <t xml:space="preserve">Criança/Adolescente, Paciente</t>
  </si>
  <si>
    <t xml:space="preserve">Rastreio de sintomatologia obsessivo-compulsiva pediátrica em 5 dimensões (Abramovitch et al., 2022) — auto-relato com 18 itens; janela do último mês</t>
  </si>
  <si>
    <t xml:space="preserve">VD — Verificação/Dúvida; OBS — Obsessões; LAV — Lavagem; ORD — Ordenação; NEUTR — Neutralização; Total</t>
  </si>
  <si>
    <t xml:space="preserve">ocicvr</t>
  </si>
  <si>
    <t xml:space="preserve">q_ocicvr</t>
  </si>
  <si>
    <t xml:space="preserve">https://correiaricardina-ui.github.io/questionarios/OCI_CV_R_v1.html</t>
  </si>
  <si>
    <t xml:space="preserve">OCI-R — Sintomatologia Obsessivo-Compulsiva (adultos)</t>
  </si>
  <si>
    <t xml:space="preserve">≥18 anos</t>
  </si>
  <si>
    <t xml:space="preserve">Rastreio de sintomatologia obsessivo-compulsiva em adultos em 6 dimensões (Foa et al., 2002 · versão PT: Cardoso, 2015) — auto-relato com 18 itens, escala 0-4; janela do último mês; corte ≥21 sugere provável POC</t>
  </si>
  <si>
    <t xml:space="preserve">Lavagem; Verificação; Ordem; Acumulação; Obsessões; Neutralização; Total</t>
  </si>
  <si>
    <t xml:space="preserve">ocir</t>
  </si>
  <si>
    <t xml:space="preserve">q_ocir</t>
  </si>
  <si>
    <t xml:space="preserve">https://correiaricardina-ui.github.io/questionarios/OCI_R_v1.html</t>
  </si>
  <si>
    <t xml:space="preserve">PAI — Adultos</t>
  </si>
  <si>
    <t xml:space="preserve">18+ anos</t>
  </si>
  <si>
    <t xml:space="preserve">Inventário de Avaliação da Personalidade — Adultos (344 itens, 22 escalas, normas PT Paulino et al. 2024)</t>
  </si>
  <si>
    <t xml:space="preserve">Queixas Somáticas (SOM); Ansiedade (ANX); Perturbações Relacionadas com a Ansiedade (ARD); Depressão (DEP); Mania (MAN); Paranoia (PAR); Esquizofrenia (SCZ); Características Borderline (BOR); Características Antissociais (ANT); Problemas com Álcool (ALC); Problemas com Drogas (DRG); Agressão (AGG); Ideação Suicida (SUI); Stress (STR); Falta de Apoio Social (NON); Rejeição do Tratamento (RXR); Dominância (DOM); Afabilidade (WRM)</t>
  </si>
  <si>
    <t xml:space="preserve">pai</t>
  </si>
  <si>
    <t xml:space="preserve">q_pai_adult</t>
  </si>
  <si>
    <t xml:space="preserve">https://correiaricardina-ui.github.io/questionarios/PAI_adult_final.html</t>
  </si>
  <si>
    <t xml:space="preserve">PAI-A</t>
  </si>
  <si>
    <t xml:space="preserve">Inventário de Avaliação da Personalidade — Adolescente (316 itens, 19 escalas, Morey 2007)</t>
  </si>
  <si>
    <t xml:space="preserve">Inconsistência (validade) (ICN); Infrequência (validade) (INF); Impressão Negativa (validade) (NIM); Impressão Positiva (validade) (PIM); Queixas Somáticas (SOM); Ansiedade (ANS); Depressão (DEP); Mania (MAN); Paranoia (PAR); Esquizofrenia (ESQ); Características Borderline (BPD); Características Antissociais (ANT); Problemas com Álcool (ALC); Problemas com Drogas (DRG); Agressão (AGR); Ideação Suicida (SUI); Stress (STR); Falta de Apoio Social (NON); Rejeição do Tratamento (RXR)</t>
  </si>
  <si>
    <t xml:space="preserve">paia</t>
  </si>
  <si>
    <t xml:space="preserve">q_pai_a</t>
  </si>
  <si>
    <t xml:space="preserve">https://correiaricardina-ui.github.io/questionarios/PAI_A_final.html</t>
  </si>
  <si>
    <t xml:space="preserve">PALS — Aluno (2.º e 3.º ciclo)</t>
  </si>
  <si>
    <t xml:space="preserve">10–14 anos</t>
  </si>
  <si>
    <t xml:space="preserve">Avaliar padrões adaptativos/maladaptativos de motivação académica, eficácia, estratégias e clima familiar — versão adaptada à pré-adolescência (Midgley et al., 2000)</t>
  </si>
  <si>
    <t xml:space="preserve">Orientações pessoais; Clima sala; Eficácia + estratégias; Família; Eixos motivacionais 2×2; Índice de Funcionamento Adaptativo Académico (IFAA); Índice de Risco Motivacional (IRM); Índice de Externalização Académica (IEA); Índice de Discrepância Pessoa-Contexto (Mastery) (IDPCm); Índice de Discrepância Pessoa-Contexto (Performance) (IDPCp)</t>
  </si>
  <si>
    <t xml:space="preserve">palsstudent23c</t>
  </si>
  <si>
    <t xml:space="preserve">q_pals_student_23c</t>
  </si>
  <si>
    <t xml:space="preserve">https://correiaricardina-ui.github.io/questionarios/PALS_Student_2-3ciclo_v1.html</t>
  </si>
  <si>
    <t xml:space="preserve">PALS — Aluno (Secundário)</t>
  </si>
  <si>
    <t xml:space="preserve">14–18 anos</t>
  </si>
  <si>
    <t xml:space="preserve">Avaliar padrões adaptativos/maladaptativos de motivação académica, eficácia, estratégias e clima familiar — inclui foco vocacional (Midgley et al., 2000)</t>
  </si>
  <si>
    <t xml:space="preserve">Orientações pessoais; Clima sala; Eficácia + estratégias; Família; Vocacional; Eixos motivacionais 2×2; Índice de Funcionamento Adaptativo Académico (IFAA); Índice de Risco Motivacional (IRM); Índice de Externalização Académica (IEA); Índice de Discrepância Pessoa-Contexto (Mastery) (IDPCm); Índice de Discrepância Pessoa-Contexto (Performance) (IDPCp)</t>
  </si>
  <si>
    <t xml:space="preserve">palsstudentsec</t>
  </si>
  <si>
    <t xml:space="preserve">q_pals_student_sec</t>
  </si>
  <si>
    <t xml:space="preserve">https://correiaricardina-ui.github.io/questionarios/PALS_Student_Secundario_v1.html</t>
  </si>
  <si>
    <t xml:space="preserve">PALS — Aluno 2.º/3.º Ciclo (Reduzido)</t>
  </si>
  <si>
    <t xml:space="preserve">Versão breve (46 itens) do PALS Aluno 2.º/3.º ciclo — mesmas 18 subescalas, 5 índices e 7 perfis da versão completa, linguagem adaptada à pré-adolescência (Midgley et al., 2000)</t>
  </si>
  <si>
    <t xml:space="preserve">palsstudent23cred</t>
  </si>
  <si>
    <t xml:space="preserve">q_pals_student_23c_red</t>
  </si>
  <si>
    <t xml:space="preserve">https://correiaricardina-ui.github.io/questionarios/PALS_Student_2-3ciclo_Reduzido_v1.html</t>
  </si>
  <si>
    <t xml:space="preserve">PALS — Aluno Secundário (Reduzido)</t>
  </si>
  <si>
    <t xml:space="preserve">Versão breve (46 itens) do PALS Aluno Secundário — mesmas 18 subescalas, 5 índices e 8 perfis da versão completa, inclui foco vocacional (Midgley et al., 2000)</t>
  </si>
  <si>
    <t xml:space="preserve">palsstudentsecred</t>
  </si>
  <si>
    <t xml:space="preserve">q_pals_student_sec_red</t>
  </si>
  <si>
    <t xml:space="preserve">https://correiaricardina-ui.github.io/questionarios/PALS_Student_Secundario_Reduzido_v1.html</t>
  </si>
  <si>
    <t xml:space="preserve">PALS — Parent</t>
  </si>
  <si>
    <t xml:space="preserve">Mapear orientações motivacionais parentais, pressão academica e clima familiar de eficácia/afeto face à escola (Midgley et al., 2000)</t>
  </si>
  <si>
    <t xml:space="preserve">Mastery parental; Performance parental; Eficácia parental; Afeto face à escola; Polaridade de Orientações Parentais (POP); Polaridade do Clima Escolar (perceção parental) (PCEP); Índice de Funcionamento Parental (IFP); Índice de Pressão Académica Parental (IPCA); Índice de Risco de Pressão-Avoidance (IRPA); Índice de Coerência Casa-Escola (Mastery) (ICEFM); Índice de Coerência Casa-Escola (Performance) (ICEFP); Índice de Risco Parental-Familiar (IRPF); Índice de Investimento Parental Adaptativo (IIP); Índice de Pressão Internalizante (IPI); Índice de Discrepância Casa-Escola Global (IDC)</t>
  </si>
  <si>
    <t xml:space="preserve">palsparent</t>
  </si>
  <si>
    <t xml:space="preserve">q_pals_parent</t>
  </si>
  <si>
    <t xml:space="preserve">https://correiaricardina-ui.github.io/questionarios/PALS_Parent_v1.html</t>
  </si>
  <si>
    <t xml:space="preserve">PALS — Parent (Reduzido)</t>
  </si>
  <si>
    <t xml:space="preserve">Versão breve (21 itens) do PALS Parent — mesmas 8 subescalas, 9 índices clínicos e 7 perfis da versão completa, com menor tempo de administração (Midgley et al., 2000)</t>
  </si>
  <si>
    <t xml:space="preserve">palsparentred</t>
  </si>
  <si>
    <t xml:space="preserve">q_pals_parent_red</t>
  </si>
  <si>
    <t xml:space="preserve">https://correiaricardina-ui.github.io/questionarios/PALS_Parent_Reduzido_v1.html</t>
  </si>
  <si>
    <t xml:space="preserve">PALS — Teacher</t>
  </si>
  <si>
    <t xml:space="preserve">Mapear estruturas de meta da sala, abordagens à instrução e eficácia/afeto docente (Midgley et al., 2000)</t>
  </si>
  <si>
    <t xml:space="preserve">Estruturas de meta; Abordagens instrução; Eficácia docente; Afeto profissional; Polaridade do Clima Escolar (PCS); Polaridade do Clima de Instrução (PCI); Índice de Funcionamento Docente (IFD); Índice de Coerência (Mastery) (ICA); Índice de Coerência (Performance) (ICP); Índice de Risco Performance-Avoidance Climático (IRP); Índice de Risco de Burnout Docente (IRBD)</t>
  </si>
  <si>
    <t xml:space="preserve">palsteacher</t>
  </si>
  <si>
    <t xml:space="preserve">q_pals_teacher</t>
  </si>
  <si>
    <t xml:space="preserve">https://correiaricardina-ui.github.io/questionarios/PALS_Teacher_v1.html</t>
  </si>
  <si>
    <t xml:space="preserve">PALS — Teacher (Reduzido)</t>
  </si>
  <si>
    <t xml:space="preserve">Versão breve (20 itens) do PALS Teacher — mesmas 7 subescalas, 5 índices e 6 perfis da versão completa (Midgley et al., 2000)</t>
  </si>
  <si>
    <t xml:space="preserve">palsteacherred</t>
  </si>
  <si>
    <t xml:space="preserve">q_pals_teacher_red</t>
  </si>
  <si>
    <t xml:space="preserve">https://correiaricardina-ui.github.io/questionarios/PALS_Teacher_Reduzido_v1.html</t>
  </si>
  <si>
    <t xml:space="preserve">PPGR-J — Pressão Percebida em Guarda-Redes Jovens</t>
  </si>
  <si>
    <t xml:space="preserve">Atleta, Jovem avaliado, Paciente</t>
  </si>
  <si>
    <t xml:space="preserve">≥ 12 anos (guarda-redes)</t>
  </si>
  <si>
    <t xml:space="preserve">Avalia a vivência multidimensional da pressão de desempenho em guarda-redes jovens (Correia, 2026 — clínico-exploratório, sem validação psicométrica formal)</t>
  </si>
  <si>
    <t xml:space="preserve">AAC — Ativação Ansiogénica; MEF — Medo do Erro; PFE — Pressão Externa; APP — Autoexigência; EEIP — Exposição/Identidade; RPRM — Recuperação Pós-Erro; Score Total (TOTAL); Normalizado 0-100</t>
  </si>
  <si>
    <t xml:space="preserve">ppgrj</t>
  </si>
  <si>
    <t xml:space="preserve">q_ppgrj</t>
  </si>
  <si>
    <t xml:space="preserve">https://correiaricardina-ui.github.io/questionarios/PPGRJ_v1.html</t>
  </si>
  <si>
    <t xml:space="preserve">PS2 — Acompanhamento Escolar</t>
  </si>
  <si>
    <t xml:space="preserve">3–14:11 anos</t>
  </si>
  <si>
    <t xml:space="preserve">Avalia padrões de processamento sensorial em contexto escolar — versão professor</t>
  </si>
  <si>
    <t xml:space="preserve">Procura; Evitamento; Sensibilidade; Registo; Auditivo; Visual; Tátil; Movimento; Comportamento; Fator Escolar 1; Fator Escolar 2; Fator Escolar 3; Fator Escolar 4</t>
  </si>
  <si>
    <t xml:space="preserve">ps2escola</t>
  </si>
  <si>
    <t xml:space="preserve">q_ps2escola</t>
  </si>
  <si>
    <t xml:space="preserve">https://correiaricardina-ui.github.io/questionarios/PS2_Escola_v1.html</t>
  </si>
  <si>
    <t xml:space="preserve">PS2 — Questionário do Cuidador</t>
  </si>
  <si>
    <t xml:space="preserve">Mãe, Pai, Enc. Educação, Cuidador(a)</t>
  </si>
  <si>
    <t xml:space="preserve">Avalia padrões de processamento sensorial em casa — versão cuidadores</t>
  </si>
  <si>
    <t xml:space="preserve">Procura; Evitamento; Sensibilidade; Registo; Auditivo; Visual; Tátil; Movimento; Posição Corporal; Oral; Conduta; Socioemocional; Atenção</t>
  </si>
  <si>
    <t xml:space="preserve">ps2pais</t>
  </si>
  <si>
    <t xml:space="preserve">q_ps2pais</t>
  </si>
  <si>
    <t xml:space="preserve">https://correiaricardina-ui.github.io/questionarios/PS2_Pais_v1.html</t>
  </si>
  <si>
    <t xml:space="preserve">PSI-4 adap — Escala de Avaliação do Stress Parental</t>
  </si>
  <si>
    <t xml:space="preserve">Parentalidade &amp; Stress Parental</t>
  </si>
  <si>
    <t xml:space="preserve">Mãe, Pai, Enc. Educação, Cuidador</t>
  </si>
  <si>
    <t xml:space="preserve">Pais/cuidadores de crianças 0–~12 anos</t>
  </si>
  <si>
    <t xml:space="preserve">Despiste exploratório do stress parental por autorrelato do cuidador (36 itens, escala 1-5) em 3 domínios: Mal-estar Parental, Interação Disfuncional Pais-Criança e Criança Difícil. Adaptação inspirada (Via B) no modelo de Abidin (1990/1995/2012) — NÃO reproduz o PSI-4-SF (PAR, 2012) nem as suas normas/cut-offs. Sem normas portuguesas: resultados descritivos por POMP % e bandas (referenciadas à amplitude teórica), com Índice RD de validade e itens sentinela. A interpretação clínica é da responsabilidade do psicólogo.</t>
  </si>
  <si>
    <t xml:space="preserve">Mal-estar Parental (MP); Interação Disfuncional Pais-Criança (ID); Criança Difícil (CD); Stress Total</t>
  </si>
  <si>
    <t xml:space="preserve">psi4adap</t>
  </si>
  <si>
    <t xml:space="preserve">q_psi4adap</t>
  </si>
  <si>
    <t xml:space="preserve">https://correiaricardina-ui.github.io/questionarios/PSI4_adap.html</t>
  </si>
  <si>
    <t xml:space="preserve">QACSE-C — Competências Socioemocionais (Complementar à BAS-3)</t>
  </si>
  <si>
    <t xml:space="preserve">10–17 anos</t>
  </si>
  <si>
    <t xml:space="preserve">Cobrir as cinco dimensões CASEL ausentes da BAS-3 — auto-relato, complementar (Coelho &amp; Sousa, 2016)</t>
  </si>
  <si>
    <t xml:space="preserve">Autoconsciência Emocional (ACE); Regulação Emocional (RE); Tomada de Perspetiva (TP); Resolução Assertiva de Conflitos (RAC); Tomada de Decisão Responsável (TDR)</t>
  </si>
  <si>
    <t xml:space="preserve">qacse_c</t>
  </si>
  <si>
    <t xml:space="preserve">q_qacse_c</t>
  </si>
  <si>
    <t xml:space="preserve">https://correiaricardina-ui.github.io/questionarios/QACSE_C_v1.html</t>
  </si>
  <si>
    <t xml:space="preserve">QACSE-R — Competências Socioemocionais (reduzida)</t>
  </si>
  <si>
    <t xml:space="preserve">10–16 anos</t>
  </si>
  <si>
    <t xml:space="preserve">Avaliar competências socioemocionais — auto-relato, versão reduzida (Coelho &amp; Sousa, 2020)</t>
  </si>
  <si>
    <t xml:space="preserve">Autocontrolo (AC); Competências Relacionais (CR); Isolamento Social (IS); Ansiedade Social (AS)</t>
  </si>
  <si>
    <t xml:space="preserve">qacse_r</t>
  </si>
  <si>
    <t xml:space="preserve">q_qacse_r</t>
  </si>
  <si>
    <t xml:space="preserve">https://correiaricardina-ui.github.io/questionarios/QACSE_R_v1.html</t>
  </si>
  <si>
    <t xml:space="preserve">QC Coparentalidade — Mãe</t>
  </si>
  <si>
    <t xml:space="preserve">Mãe</t>
  </si>
  <si>
    <t xml:space="preserve">Adultos</t>
  </si>
  <si>
    <t xml:space="preserve">Avalia cooperação, triangulação e conflito coparental — versão mãe</t>
  </si>
  <si>
    <t xml:space="preserve">Cooperação; Triangulação; Conflito</t>
  </si>
  <si>
    <t xml:space="preserve">qc_mae</t>
  </si>
  <si>
    <t xml:space="preserve">q_qc_mae</t>
  </si>
  <si>
    <t xml:space="preserve">https://correiaricardina-ui.github.io/questionarios/QC_Mae.html</t>
  </si>
  <si>
    <t xml:space="preserve">QC Coparentalidade — Pai</t>
  </si>
  <si>
    <t xml:space="preserve">Pai</t>
  </si>
  <si>
    <t xml:space="preserve">Avalia cooperação, triangulação e conflito coparental — versão pai</t>
  </si>
  <si>
    <t xml:space="preserve">qc_pai</t>
  </si>
  <si>
    <t xml:space="preserve">q_qc_pai</t>
  </si>
  <si>
    <t xml:space="preserve">https://correiaricardina-ui.github.io/questionarios/QC_Pai.html</t>
  </si>
  <si>
    <t xml:space="preserve">QEA — Esquemas para Adolescentes</t>
  </si>
  <si>
    <t xml:space="preserve">10–25 anos</t>
  </si>
  <si>
    <t xml:space="preserve">Avalia 18 esquemas precoces mal-adaptativos em adolescentes — auto-relato (Santos, Rijo &amp; Pinto-Gouveia, 2009); ponto de corte clínico: média ≥ 3,5</t>
  </si>
  <si>
    <t xml:space="preserve">Isolamento Social/Alienação (IS); Emaranhamento (EMA); Padrões Excessivos/Rígidos de Realização (PER); Privação Emocional (PE); Abandono (AB); Auto-Punição (AP); Auto-Sacrifício (AS); Vulnerabilidade ao Mal e à Doença (VUL); Desconfiança/Abuso (DA); Inibição Emocional (IEMOC); Subjugação ao Grupo (SUB); Grandiosidade (GR); Fracasso (FR); Dependência/Incompetência Funcional (DEP); Defeito/Incapacidade de ser Amado (DF); Procura de Aprovação/Reconhecimento (REC); Auto-controlo/Auto-disciplina Insuficientes (AI); Pessimismo (PESS); Menos Valia e Desligamento (domínio 2.ª ordem) (MVD); Ligação Excessiva e Vulnerabilidade Pessoal (domínio 2.ª ordem) (LEV); Auto-engrandecimento (domínio 2.ª ordem) (AE); Média Global</t>
  </si>
  <si>
    <t xml:space="preserve">qea</t>
  </si>
  <si>
    <t xml:space="preserve">q_qea</t>
  </si>
  <si>
    <t xml:space="preserve">https://correiaricardina-ui.github.io/questionarios/QEA_questionario.html</t>
  </si>
  <si>
    <t xml:space="preserve">QEDP</t>
  </si>
  <si>
    <t xml:space="preserve">Avalia envolvimento e desenvolvimento parental</t>
  </si>
  <si>
    <t xml:space="preserve">Demandingness; Autonomia; Percepcao</t>
  </si>
  <si>
    <t xml:space="preserve">qedp</t>
  </si>
  <si>
    <t xml:space="preserve">q_qedp</t>
  </si>
  <si>
    <t xml:space="preserve">https://correiaricardina-ui.github.io/questionarios/QEDP_v2.html</t>
  </si>
  <si>
    <t xml:space="preserve">QEE — Questionário Ecológico Escolar</t>
  </si>
  <si>
    <t xml:space="preserve">Professor(a), Diretor(a) de Turma</t>
  </si>
  <si>
    <t xml:space="preserve">Caracterização clínica multi-informador do funcionamento emocional, social e adaptativo em contexto escolar (versão clínica revista, enquadramento bioecológico de Bronfenbrenner + lógica ASEBA). 40 itens fechados + 4 qualitativos.</t>
  </si>
  <si>
    <t xml:space="preserve">Integração e Pertença Social (IPS); Sensibilidade Relacional (SR); Sintomas Internalizantes (SI); Reatividade Comportamental (RC); Pressão de Desempenho e Perfeccionismo (PDP); Funcionamento Académico Adaptativo (FAA); Autorregulação e Coping Adaptativo (ACA); Fatores Protetores Contextuais (FPC); Índice Global de Preocupação Clínica (IGPC)</t>
  </si>
  <si>
    <t xml:space="preserve">qeeescola</t>
  </si>
  <si>
    <t xml:space="preserve">q_qee_escola</t>
  </si>
  <si>
    <t xml:space="preserve">https://correiaricardina-ui.github.io/questionarios/QEE_Escola_v1.html</t>
  </si>
  <si>
    <t xml:space="preserve">QEP — Questionário Ecológico Parental</t>
  </si>
  <si>
    <t xml:space="preserve">Caracterização clínica multi-informador do funcionamento emocional, social e adaptativo (versão clínica revista, paralela ao QEE — enquadramento bioecológico + lógica ASEBA). 40 itens fechados + 4 qualitativos.</t>
  </si>
  <si>
    <t xml:space="preserve">Integração Social e Pertença (IPS); Sensibilidade Relacional (SR); Sintomas Internalizantes (SI); Reatividade Comportamental (RC); Pressão de Desempenho e Perfeccionismo (PDP); Funcionamento Adaptativo Geral (FAG); Autorregulação e Coping Adaptativo (ACA); Fatores Protetores Familiares (FPF); Índice Global de Preocupação Clínica (IGPC)</t>
  </si>
  <si>
    <t xml:space="preserve">qeppais</t>
  </si>
  <si>
    <t xml:space="preserve">q_qep_pais</t>
  </si>
  <si>
    <t xml:space="preserve">https://correiaricardina-ui.github.io/questionarios/QEP_Pais_v1.html</t>
  </si>
  <si>
    <t xml:space="preserve">RAADS-R</t>
  </si>
  <si>
    <t xml:space="preserve">Avalia sintomas de PEA em adultos — auto-relato (Ritvo et al., 2011)</t>
  </si>
  <si>
    <t xml:space="preserve">Social; Linguagem; Sensoriomotora; Circunscrita; Total</t>
  </si>
  <si>
    <t xml:space="preserve">raadsr</t>
  </si>
  <si>
    <t xml:space="preserve">q_raadsr</t>
  </si>
  <si>
    <t xml:space="preserve">https://correiaricardina-ui.github.io/questionarios/RAADS_R_v1.html</t>
  </si>
  <si>
    <t xml:space="preserve">RBS-R — Comportamentos Repetitivos, Revista</t>
  </si>
  <si>
    <t xml:space="preserve">Mãe, Pai, Enc. Educação, Cuidador, Professor(a), Clínico</t>
  </si>
  <si>
    <t xml:space="preserve">3–70 anos (heteroavaliação)</t>
  </si>
  <si>
    <t xml:space="preserve">Avalia a variedade e severidade de comportamentos repetitivos e rígidos por heteroinformação (43 itens, escala 0-3) em 6 subescalas: Estereotipias Motoras, Autoagressivos, Compulsivos, Ritualísticos, Rigidez Cognitiva/Sameness e Interesses Restritos. Tradução PT-PT de trabalho (não validada); interpretação por percentis relativa a normas clínicas espanholas (Martínez-González &amp; Piqueras, 2019) por grupo de referência (TEA/DI/TEA-DI), seleccionável no detalhe. Sem pontos de corte universais.</t>
  </si>
  <si>
    <t xml:space="preserve">Estereotipias Motoras; Comportamentos Autoagressivos; Comportamentos Compulsivos; Comportamentos Ritualísticos; Rigidez Cognitiva / Sameness; Interesses Restritos; Total</t>
  </si>
  <si>
    <t xml:space="preserve">rbsr</t>
  </si>
  <si>
    <t xml:space="preserve">q_rbsr</t>
  </si>
  <si>
    <t xml:space="preserve">https://correiaricardina-ui.github.io/questionarios/RBS_R.html</t>
  </si>
  <si>
    <t xml:space="preserve">RCADS-25 — Pais/Cuidadores</t>
  </si>
  <si>
    <t xml:space="preserve">Avalia ansiedade e depressão em crianças e adolescentes — versão para pais (25 itens)</t>
  </si>
  <si>
    <t xml:space="preserve">Depressão Major (T) (MDD_T); Ansiedade Total (T) (ANX_T); Score Total (T) (Total_T); Fobia Social (SP); Ansiedade de Separação (SAD); Ansiedade Generalizada (GAD); Perturbação de Pânico (PD); Obsessivo-Compulsivo (OCD)</t>
  </si>
  <si>
    <t xml:space="preserve">rcads_25cg</t>
  </si>
  <si>
    <t xml:space="preserve">q_rcads_25cg</t>
  </si>
  <si>
    <t xml:space="preserve">https://correiaricardina-ui.github.io/questionarios/RCADS25_Pais_v2.html</t>
  </si>
  <si>
    <t xml:space="preserve">RCADS-25 — Youth (Self-Report)</t>
  </si>
  <si>
    <t xml:space="preserve">Avalia ansiedade e depressão em crianças e adolescentes — versão de auto-avaliação (25 itens)</t>
  </si>
  <si>
    <t xml:space="preserve">rcads_25y</t>
  </si>
  <si>
    <t xml:space="preserve">q_rcads_25y</t>
  </si>
  <si>
    <t xml:space="preserve">https://correiaricardina-ui.github.io/questionarios/RCADS25_Youth_v2.html</t>
  </si>
  <si>
    <t xml:space="preserve">RCADS-47 — Pais/Cuidadores</t>
  </si>
  <si>
    <t xml:space="preserve">Avalia ansiedade e depressão em crianças e adolescentes — versão para pais (47 itens)</t>
  </si>
  <si>
    <t xml:space="preserve">Depressão Major (T) (MDD_T); Ansiedade Total (T) (ANX_T); Score Total (T) (Total_T); Fobia Social (SP); Fobia Social (T) (SP_T); Ansiedade de Separação (SAD); Ansiedade de Separação (T) (SAD_T); Ansiedade Generalizada (GAD); Ansiedade Generalizada (T) (GAD_T); Perturbação de Pânico (PD); Perturbação de Pânico (T) (PD_T); Obsessivo-Compulsivo (OCD); Obsessivo-Compulsivo (T) (OCD_T)</t>
  </si>
  <si>
    <t xml:space="preserve">rcads_47cg</t>
  </si>
  <si>
    <t xml:space="preserve">q_rcads_47cg</t>
  </si>
  <si>
    <t xml:space="preserve">https://correiaricardina-ui.github.io/questionarios/RCADS47_Pais_v2.html</t>
  </si>
  <si>
    <t xml:space="preserve">RCADS-47 — Youth (Self-Report)</t>
  </si>
  <si>
    <t xml:space="preserve">Avalia ansiedade e depressão em crianças e adolescentes — versão de auto-avaliação (47 itens)</t>
  </si>
  <si>
    <t xml:space="preserve">rcads_47y</t>
  </si>
  <si>
    <t xml:space="preserve">q_rcads_47y</t>
  </si>
  <si>
    <t xml:space="preserve">https://correiaricardina-ui.github.io/questionarios/RCADS47_Youth_v2.html</t>
  </si>
  <si>
    <t xml:space="preserve">RSES — Auto-Estima de Rosenberg</t>
  </si>
  <si>
    <t xml:space="preserve">12–20 anos</t>
  </si>
  <si>
    <t xml:space="preserve">Avalia a auto-estima global em adolescentes — autorrelato (10 itens, escala 0-3). Versão PT validada para contexto escolar e forense (Pechorro, Marôco, Poiares &amp; Vieira, 2011). Interpretação normativo-referenciada por z-score face ao grupo (Contexto × Sexo) — não existem pontos de corte clínicos portugueses.</t>
  </si>
  <si>
    <t xml:space="preserve">Auto-estima global</t>
  </si>
  <si>
    <t xml:space="preserve">rses</t>
  </si>
  <si>
    <t xml:space="preserve">q_rses</t>
  </si>
  <si>
    <t xml:space="preserve">https://correiaricardina-ui.github.io/questionarios/RSES_v1.html</t>
  </si>
  <si>
    <t xml:space="preserve">SCARED-R — Criança</t>
  </si>
  <si>
    <t xml:space="preserve">Avaliação de perturbações de ansiedade — versão autorrelato</t>
  </si>
  <si>
    <t xml:space="preserve">Pânico; Ansiedade Generalizada; Separação; Fobia Social; Fobia Específica; Obsessivo-Compulsiva; Stress Pós-Traumático; Total</t>
  </si>
  <si>
    <t xml:space="preserve">scared_r_crianca</t>
  </si>
  <si>
    <t xml:space="preserve">q_scared_r_crianca</t>
  </si>
  <si>
    <t xml:space="preserve">https://correiaricardina-ui.github.io/questionarios/SCARED_R_Crianca.html</t>
  </si>
  <si>
    <t xml:space="preserve">SCARED-R — Pais/Cuid.</t>
  </si>
  <si>
    <t xml:space="preserve">Avaliação de perturbações de ansiedade — versão pais/cuidadores</t>
  </si>
  <si>
    <t xml:space="preserve">scared_r_pais</t>
  </si>
  <si>
    <t xml:space="preserve">q_scared_r_pais</t>
  </si>
  <si>
    <t xml:space="preserve">https://correiaricardina-ui.github.io/questionarios/SCARED_R_Pais.html</t>
  </si>
  <si>
    <t xml:space="preserve">SDS — Self-Directed Search (Holland)</t>
  </si>
  <si>
    <t xml:space="preserve">≥13 anos</t>
  </si>
  <si>
    <t xml:space="preserve">Avaliar interesses profissionais RIASEC e gerar Código de Holland para orientação vocacional</t>
  </si>
  <si>
    <t xml:space="preserve">Realista (R); Investigador (I); Artístico (A); Social (S); Empreendedor (E); Convencional (C); Código Holland</t>
  </si>
  <si>
    <t xml:space="preserve">sds_holland</t>
  </si>
  <si>
    <t xml:space="preserve">q_sds_holland</t>
  </si>
  <si>
    <t xml:space="preserve">https://correiaricardina-ui.github.io/questionarios/SDS_Holland.html</t>
  </si>
  <si>
    <t xml:space="preserve">SEQ-C — Autoeficácia para Crianças</t>
  </si>
  <si>
    <t xml:space="preserve">7.º–12.º ano</t>
  </si>
  <si>
    <t xml:space="preserve">Avalia crenças de autoeficácia em três domínios: académico, social e emocional (Nogueira, 2003)</t>
  </si>
  <si>
    <t xml:space="preserve">AE Académica; AE Social; AE Emocional; AE Global</t>
  </si>
  <si>
    <t xml:space="preserve">seqc</t>
  </si>
  <si>
    <t xml:space="preserve">q_seqc</t>
  </si>
  <si>
    <t xml:space="preserve">https://correiaricardina-ui.github.io/questionarios/SEQC_v2.html</t>
  </si>
  <si>
    <t xml:space="preserve">SNAP-IV — Escala de Sintomas de PHDA (Versão Reduzida, DSM-IV)</t>
  </si>
  <si>
    <t xml:space="preserve">Mãe, Pai, Enc. Educação, Professor(a)</t>
  </si>
  <si>
    <t xml:space="preserve">5–11 anos</t>
  </si>
  <si>
    <t xml:space="preserve">Rastreio dimensional dos sintomas de PHDA por heteroavaliação (pais ou professores), 18 itens em escala 0–3 (Não ocorre=0, Um pouco=1, Frequente=2, Muito frequente=3). Métrica = média por item nas dimensões Desatenção (itens 1–9), Hiperatividade-Impulsividade (itens 10–18) e Combinada/PHDA (itens 1–18). O tipo de informante (Pais / Professores) determina os pontos de corte de rastreio de Swanson et al. e as bandas graduadas de Bussing et al. (2008). Resultado exploratório — limiares heurísticos internacionais, sem normas portuguesas; não constitui diagnóstico (a formulação de PHDA exige avaliação multimodal e multi-informante, DSM-5-TR / CID-11). Versão portuguesa: Octávio Moura (2006, 2012).</t>
  </si>
  <si>
    <t xml:space="preserve">Desatenção (itens 1–9); Hiperatividade-Impulsividade (itens 10–18); Combinada / PHDA (itens 1–18)</t>
  </si>
  <si>
    <t xml:space="preserve">snapiv</t>
  </si>
  <si>
    <t xml:space="preserve">q_snapiv</t>
  </si>
  <si>
    <t xml:space="preserve">https://correiaricardina-ui.github.io/questionarios/SNAP_IV_v1.html</t>
  </si>
  <si>
    <t xml:space="preserve">Sociograma · Mapa Social</t>
  </si>
  <si>
    <t xml:space="preserve">Criança/Adolescente, Pais, Mãe, Pai, Enc. Educação, Professor, Diretor de Turma</t>
  </si>
  <si>
    <t xml:space="preserve">Sociograma informal e entrevista ecológica — mapa visual das relações de apoio, afiliação e distância na turma + ecologia da escola (espaços confortáveis vs evitados) + auto-percepção vs percepção atribuída à turma. Baseado em Moreno (1934), Coie &amp; Dodge (1988), Bronfenbrenner (1979), Cillessen &amp; Marks (2011), Resnick et al. (1997) e Hagerty et al. (1992). Não substitui sociometria formal aplicada à turma; serve como ponto de partida para entrevista clínica e observação ecológica.</t>
  </si>
  <si>
    <t xml:space="preserve">Apoio emocional; Pertença e escolha mútua; Distância/Exclusão; Self vs Other; Mapa ecológico; Adultos de referência</t>
  </si>
  <si>
    <t xml:space="preserve">sociograma</t>
  </si>
  <si>
    <t xml:space="preserve">q_sociograma</t>
  </si>
  <si>
    <t xml:space="preserve">https://correiaricardina-ui.github.io/questionarios/SOCIOGRAMA_RC_v1.html</t>
  </si>
  <si>
    <t xml:space="preserve">SPAS — Pais</t>
  </si>
  <si>
    <t xml:space="preserve">3–13 anos</t>
  </si>
  <si>
    <t xml:space="preserve">Avalia ansiedade social em crianças — versão pais</t>
  </si>
  <si>
    <t xml:space="preserve">Ansiedade Generalizada (AG); Ansiedade Social (AS); Ansiedade de Separação (SEP); Medos de Dano Físico (MDF); Obsessivo-Compulsivo (POC); Score Total (Total)</t>
  </si>
  <si>
    <t xml:space="preserve">spas_pais</t>
  </si>
  <si>
    <t xml:space="preserve">q_spas_pais</t>
  </si>
  <si>
    <t xml:space="preserve">https://correiaricardina-ui.github.io/questionarios/SPAS_Pais.html</t>
  </si>
  <si>
    <t xml:space="preserve">SPAS — Professor</t>
  </si>
  <si>
    <t xml:space="preserve">Avalia ansiedade social em crianças — versão professor/educador</t>
  </si>
  <si>
    <t xml:space="preserve">spas_prof</t>
  </si>
  <si>
    <t xml:space="preserve">q_spas_prof</t>
  </si>
  <si>
    <t xml:space="preserve">https://correiaricardina-ui.github.io/questionarios/SPAS_Educador.html</t>
  </si>
  <si>
    <t xml:space="preserve">SPPA — Como é que eu sou? + Importância (Adolescentes)</t>
  </si>
  <si>
    <t xml:space="preserve">Perfil de autoperceção para adolescentes (Self-Perception Profile for Adolescents, Harter 1988/2012) em bateria única: Parte I «Como é que eu sou?» (45 itens, 9 subescalas de 5 itens — 8 domínios específicos + Autoestima Global como dimensão própria; médias 1–4 com pró-rateamento ≥4/5) e Parte II «Qual a importância destas coisas?» (16 itens, 8 áreas; valorizada ≥3). Comparação normativa descritiva com as normas americanas do manual de 2012 (M sexo×ano, DP por ano; idades 13–16 → 8.º–11.º ano EUA; limiares z ±1,0 e ±1,5) e discrepâncias competência−importância (James/Harter) com sinalização de vulnerabilidade da autoestima. Tradução técnica PT-PT sem validação nem normas portuguesas — leitura clínica do psicólogo.</t>
  </si>
  <si>
    <t xml:space="preserve">Escolar; Social; Atlética; Aparência Física; Laboral; Romântica; Comportamento; Amizades Íntimas; Autoestima Global; Importância por área; Discrepâncias C−I</t>
  </si>
  <si>
    <t xml:space="preserve">sppa</t>
  </si>
  <si>
    <t xml:space="preserve">q_sppa</t>
  </si>
  <si>
    <t xml:space="preserve">https://correiaricardina-ui.github.io/questionarios/SPPA.html</t>
  </si>
  <si>
    <t xml:space="preserve">SPPC — Como é que eu sou + Importância (Crianças)</t>
  </si>
  <si>
    <t xml:space="preserve">3.º–8.º ano (normas 9–14 anos)</t>
  </si>
  <si>
    <t xml:space="preserve">Escala de Autoperceção para Crianças (Self-Perception Profile for Children, Harter 2012, rev. 1985) em bateria única: Parte I «Como é que eu sou» (36 itens, 6 subescalas de 6 itens — 5 domínios específicos + Autoestima Global como dimensão própria; médias 1–4 com pró-rateamento ≥4/6) e Parte II «Que importância isto tem para mim?» (10 itens, 5 áreas; valorizada ≥3). Comparação normativa descritiva com as normas do Anexo 2 (M e DP por sexo×idade, 9–14 anos; limiares z ±1,0 e ±1,5), discrepâncias competência−importância (James/Harter) com sinalização de vulnerabilidade da autoestima e comparação criança–professor (|C−P|: &lt;0,5 convergência · 0,5–1,0 ligeira · ≥1,0 marcada) quando existe registo da Escala do Professor. Subescala Social com limitação normativa divulgada (normas 1985 vs itens 2012). Tradução técnica PT-PT sem validação nem normas portuguesas — leitura clínica do psicólogo.</t>
  </si>
  <si>
    <t xml:space="preserve">Competência Escolar; Competência Social; Competência Desportiva; Aparência Física; Comportamento; Autoestima Global; Importância por área; Discrepâncias C−I; Comparação criança–professor</t>
  </si>
  <si>
    <t xml:space="preserve">sppc</t>
  </si>
  <si>
    <t xml:space="preserve">q_sppc</t>
  </si>
  <si>
    <t xml:space="preserve">https://correiaricardina-ui.github.io/questionarios/SPPC_Bateria.html</t>
  </si>
  <si>
    <t xml:space="preserve">SPPC — Escala de Avaliação do Professor (Crianças)</t>
  </si>
  <si>
    <t xml:space="preserve">3.º–8.º ano</t>
  </si>
  <si>
    <t xml:space="preserve">Escala de Avaliação do Professor paralela ao Self-Perception Profile for Children (Harter, 2012): 15 itens sobre a competência REAL da criança segundo o juízo independente do(a) professor(a), em 5 domínios de 3 itens (médias 1–4 com pró-rateamento ≥2/3) — Competência Escolar, Social, Desportiva, Aparência Física e Comportamento. A Autoestima Global não é avaliada por observadores externos. Sem normas: leitura exclusivamente descritiva. Inclui comparação criança–professor por domínio quando existe registo SPPC do mesmo código (|C−P|: &lt;0,5 convergência · 0,5–1,0 discrepância ligeira · ≥1,0 marcada) — índice de convergência de perspetivas, não medida de validade nem indicador de distorção por parte da criança. Tradução técnica PT-PT sem validação.</t>
  </si>
  <si>
    <t xml:space="preserve">Competência Escolar; Competência Social; Competência Desportiva; Aparência Física; Comportamento; Comparação criança–professor</t>
  </si>
  <si>
    <t xml:space="preserve">sppc_professor</t>
  </si>
  <si>
    <t xml:space="preserve">q_sppc_professor</t>
  </si>
  <si>
    <t xml:space="preserve">https://correiaricardina-ui.github.io/questionarios/SPPC_Professor.html</t>
  </si>
  <si>
    <t xml:space="preserve">SPPCS — Perfil de Autoperceção para Estudantes Universitários</t>
  </si>
  <si>
    <t xml:space="preserve">Ensino superior (17–23 anos)</t>
  </si>
  <si>
    <t xml:space="preserve">Perfil de Autoperceção para Estudantes Universitários (Self-Perception Profile for College Students, Neemann &amp; Harter, 2012) em bateria única de 98 itens: «Como Eu Sou» (54 itens, 13 subescalas — Competência no Trabalho, Competência Escolar, Aceitação Social, Aparência Física, Relação com os Pais, Amizades Íntimas, Capacidade Intelectual, Moralidade, Relações Amorosas, Humor, Criatividade, Competência Atlética + Autoestima Global como dimensão própria de 6 itens; médias 1–4), «Classificações de Importância» (24 itens, 12 domínios) e «As Pessoas na Minha Vida» (20 itens, 5 fontes de apoio social — Amigo Íntimo, Mãe, Pai, Professores, Organizações Académicas). Classificações descritivas por valores z face às normas norte-americanas por sexo (N=300; sem normas portuguesas). Discrepância competência−importância (modelo de James/Harter) calculada apenas nos domínios com importância = 4. Tradução técnica PT-PT para uso clínico exploratório e investigação — leitura clínica do psicólogo.</t>
  </si>
  <si>
    <t xml:space="preserve">Competência no Trabalho; Competência Escolar; Aceitação Social; Aparência Física; Relação com os Pais; Amizades Íntimas; Capacidade Intelectual; Moralidade; Relações Amorosas; Humor; Criatividade; Competência Atlética; Autoestima Global; Importância por domínio; Discrepância C−I; Apoio Social Percebido</t>
  </si>
  <si>
    <t xml:space="preserve">sppcs</t>
  </si>
  <si>
    <t xml:space="preserve">q_sppcs</t>
  </si>
  <si>
    <t xml:space="preserve">https://correiaricardina-ui.github.io/questionarios/SPPCS_v1.html</t>
  </si>
  <si>
    <t xml:space="preserve">SPP-LD — Como Eu Sou + Importância (DAE)</t>
  </si>
  <si>
    <t xml:space="preserve">3.º–8.º ano (8–15 anos)</t>
  </si>
  <si>
    <t xml:space="preserve">Perfil de Autoperceção para Alunos com Dificuldades de Aprendizagem Específicas (Self-Perception Profile for Learning Disabled Students, Renick &amp; Harter, 1988/2012) em bateria única: «Como Eu Sou» (46 itens, 10 subescalas — 5 escolares: Capacidade Intelectual Geral, Leitura, Escrita, Ortografia, Matemática; + Atlética, Social, Aparência Física, Conduta + Autoestima Global como dimensão própria; médias 1–4 com máximo de 1 omisso por subescala), «Com Quem Me Comparei» (9 áreas; grupo de comparação social — sala de apoio vs aulas regulares — variável crítica de interpretação nesta população) e Escala de Importância (18 itens, 9 domínios). Sem normas: bandas descritivas do manual (&lt;2,00 baixa · 2,00–3,75 média · &gt;3,75 elevada) e referências americanas meramente comparativas (DAE pública/privada/desenvolvimento típico). Discrepâncias competência−importância (James) só nos domínios com importância ≥3,0, com soma, média e sinalização de vulnerabilidade. Aplicável também a alunos com desenvolvimento típico. Tradução técnica PT-PT (Via A) sem validação nem normas portuguesas — leitura clínica do psicólogo.</t>
  </si>
  <si>
    <t xml:space="preserve">Capacidade Intelectual Geral; Competência em Leitura; Competência em Escrita; Competência em Ortografia; Competência em Matemática; Competência Atlética; Competência Social; Aparência Física; Conduta Comportamental; Autoestima Global; Importância por domínio; Discrepâncias C−I; Grupo de comparação social</t>
  </si>
  <si>
    <t xml:space="preserve">sppld</t>
  </si>
  <si>
    <t xml:space="preserve">q_sppld</t>
  </si>
  <si>
    <t xml:space="preserve">https://correiaricardina-ui.github.io/questionarios/SPPLD_Bateria.html</t>
  </si>
  <si>
    <t xml:space="preserve">SRS-2 — Pais/Cuid.</t>
  </si>
  <si>
    <t xml:space="preserve">Avalia responsividade social — versão pais/cuidadores</t>
  </si>
  <si>
    <t xml:space="preserve">Consciência Social (PERC); Cognição Social (COG); Comunicação Social (COM); Motivação Social (MOT); Maneirismos/Interesses Restritos e Repetitivos (PRR); Índice de Comunicação e Interação Social (DSM-5) (CIS); Score Total (Total)</t>
  </si>
  <si>
    <t xml:space="preserve">srs2_pais</t>
  </si>
  <si>
    <t xml:space="preserve">q_srs2_pais</t>
  </si>
  <si>
    <t xml:space="preserve">https://correiaricardina-ui.github.io/questionarios/SRS2_IE_Pais_v1.html</t>
  </si>
  <si>
    <t xml:space="preserve">SRS-2 — Professor</t>
  </si>
  <si>
    <t xml:space="preserve">Avalia responsividade social — versão professor</t>
  </si>
  <si>
    <t xml:space="preserve">srs2_prof</t>
  </si>
  <si>
    <t xml:space="preserve">q_srs2_prof</t>
  </si>
  <si>
    <t xml:space="preserve">https://correiaricardina-ui.github.io/questionarios/SRS2_IE_Prof_v1.html</t>
  </si>
  <si>
    <t xml:space="preserve">STAIC C-2 (A-Traço)</t>
  </si>
  <si>
    <t xml:space="preserve">Rastreio de ansiedade-traço (auto-relato) — Spielberger et al. (1973) / Dias &amp; Gonçalves (1999)</t>
  </si>
  <si>
    <t xml:space="preserve">Total; Z-Spielberger; Z-Biaggio; Z-D&amp;G PT</t>
  </si>
  <si>
    <t xml:space="preserve">staicc2</t>
  </si>
  <si>
    <t xml:space="preserve">q_staicc2</t>
  </si>
  <si>
    <t xml:space="preserve">https://correiaricardina-ui.github.io/questionarios/STAIC_C2_v1.html</t>
  </si>
  <si>
    <t xml:space="preserve">STAXI-NA — Inventário de Expressão de Raiva Estado-Traço (Crianças e Adolescentes)</t>
  </si>
  <si>
    <t xml:space="preserve">Auto-relato (32 itens, ~8-12 min) das dimensões emocional e expressiva da raiva (Del Barrio, Aluja &amp; Spielberger, 2004; tradução PT Ana Nunes — sem validação psicométrica formal). 8 subescalas em 4 escalas globais: Estado de Raiva, Raiva-Traço, Expressão da Raiva, Controlo da Raiva (adaptativa). Estrutura paginada em 3 partes com escalas de resposta distintas (Estado actual / Habitual / Quando-zangado). Normativos brasileiros (Costa &amp; Frizzo, 2012) — referência aproximativa. Tipologia clínica diferencial {Adaptativo, Risco Global, Externalização, Traço Contido, Défice de Controlo, Típico}.</t>
  </si>
  <si>
    <t xml:space="preserve">Sentimentos de Raiva (SR); Raiva Física e Verbal (RFV); Temperamento de Raiva (TR); Raiva Reativa (RR); Expressão da Raiva — Out (EROUT); Expressão da Raiva — In (ERIN); Controlo da Raiva — Out (CROUT); Controlo da Raiva — In (CRIN); Estado de Raiva (Global); Raiva-Traço (Global); Expressão da Raiva (Global); Controlo da Raiva (Global)</t>
  </si>
  <si>
    <t xml:space="preserve">staxina</t>
  </si>
  <si>
    <t xml:space="preserve">q_staxi_na</t>
  </si>
  <si>
    <t xml:space="preserve">https://correiaricardina-ui.github.io/questionarios/STAXI_NA_v1.html</t>
  </si>
  <si>
    <t xml:space="preserve">SWAN</t>
  </si>
  <si>
    <t xml:space="preserve">Pais, Mãe, Pai, Enc. Educação, Professor(a)</t>
  </si>
  <si>
    <t xml:space="preserve">Avaliar sintomas de PHDA em contexto dimensional</t>
  </si>
  <si>
    <t xml:space="preserve">Desatenção; Hiperatividade-Impulsividade</t>
  </si>
  <si>
    <t xml:space="preserve">swan</t>
  </si>
  <si>
    <t xml:space="preserve">q_swan</t>
  </si>
  <si>
    <t xml:space="preserve">https://correiaricardina-ui.github.io/questionarios/SWAN_v1.html</t>
  </si>
  <si>
    <t xml:space="preserve">TAS-20</t>
  </si>
  <si>
    <t xml:space="preserve">Avaliar alexitimia (dificuldade em identificar e descrever emoções)</t>
  </si>
  <si>
    <t xml:space="preserve">Dificuldade em Identificar Sentimentos (F1); Dificuldade em Descrever Sentimentos (F2); Pensamento Orientado para o Exterior (F3); Total</t>
  </si>
  <si>
    <t xml:space="preserve">tas20</t>
  </si>
  <si>
    <t xml:space="preserve">q_tas20</t>
  </si>
  <si>
    <t xml:space="preserve">https://correiaricardina-ui.github.io/questionarios/TAS20_v7.html</t>
  </si>
  <si>
    <t xml:space="preserve">UCLA-PTSD Adaptado — Rastreio de PSPT Pediátrica</t>
  </si>
  <si>
    <t xml:space="preserve">Trauma &amp; Stress</t>
  </si>
  <si>
    <t xml:space="preserve">7–11 anos (estendível 3–18)</t>
  </si>
  <si>
    <t xml:space="preserve">Instrumento clínico ad-hoc (sem validação psicométrica formal — uso orientativo, articulado com entrevista clínica). Adaptação inspirada (Via B do protocolo) operacionalizando os critérios A–H do DSM-5-TR para Perturbação de Stress Pós-Traumático pediátrica, com formulação original em português europeu — NÃO constitui reprodução do UCLA PTSD Reaction Index for DSM-5 (Steinberg, Brymer, Pynoos et al.). Cotação clínica integrativa por psicólogo. Estrutura em 8 módulos: M1 Exposição (Critério A — 13 tipos de eventos sim/não + idade na altura), Evento Índice (tipo, idade, modalidade, descrição), M2 Intrusão (5 itens B Likert 0-4), M3 Evitamento (2 itens C), M4 Cognição/humor (7 itens D), M5 Ativação (6 itens E), M6 Dissociação (2 itens — especificador), M7 Duração F + Início H em meses, M8 Interferência funcional G (5 domínios). Total sintomático = B+C+D+E (0-80). Bandas: Mínima 0-19 / Ligeira 20-34 / Moderada 35-49 / Severa 50-80. Regra DSM-5-TR cumprida = A+B+C+D+E+F+G todos positivos. Especificadores: dissociativo (Dis1 ou Dis2 ≥ 2) e expressão tardia (início ≥ 6 meses). Padrões T1-T5 com hipótese clínica e ação sugerida. Não substitui o UCLA PTSD-RI, o CAPS-CA-5 ou outros instrumentos validados.</t>
  </si>
  <si>
    <t xml:space="preserve">Exposição (Critério A); Evento Índice; Intrusão (B); Evitamento (C); Cognição/humor (D); Ativação (E); Dissociação (especificador); Duração e Início (F, H); Interferência funcional (G); Total sintomático; Banda; Padrão T1–T5; Regra DSM-5-TR</t>
  </si>
  <si>
    <t xml:space="preserve">ucla_ptsd_adaptado</t>
  </si>
  <si>
    <t xml:space="preserve">q_ucla_ptsd_adaptado</t>
  </si>
  <si>
    <t xml:space="preserve">https://correiaricardina-ui.github.io/questionarios/UCLA_PTSD_Adaptado.html</t>
  </si>
  <si>
    <t xml:space="preserve">CSHQ-PT — Hábitos de Sono da Criança (Pais)</t>
  </si>
  <si>
    <t xml:space="preserve">Sono</t>
  </si>
  <si>
    <t xml:space="preserve">2–10 anos</t>
  </si>
  <si>
    <t xml:space="preserve">Rastreio dos hábitos e problemas de sono por heteroavaliação parental (33 itens, escala de frequência). Cotação em 8 subescalas + Índice de Perturbação do Sono (IPS). Ponto de corte da validação portuguesa: IPS ≥ 48 = rastreio positivo (Silva et al., 2013). Rastreio, não diagnóstico.</t>
  </si>
  <si>
    <t xml:space="preserve">Resistência em ir para a cama; Início do sono; Duração do sono; Ansiedade associada ao sono; Despertares noturnos; Parassónias; Perturbação respiratória do sono; Sonolência diurna; Índice de Perturbação do Sono (IPS)</t>
  </si>
  <si>
    <t xml:space="preserve">cshq_pt_pais</t>
  </si>
  <si>
    <t xml:space="preserve">q_cshq_pt_pais</t>
  </si>
  <si>
    <t xml:space="preserve">https://correiaricardina-ui.github.io/questionarios/CSHQ_PT_Pais_v1.html</t>
  </si>
  <si>
    <t xml:space="preserve">SSR-PT — Auto-Relato sobre o Sono</t>
  </si>
  <si>
    <t xml:space="preserve">Auto-relato dos hábitos e problemas de sono (itens cotados 4–26, escala de frequência). Cotação em 7 subescalas + Total SSR. Cut-off Total &gt; 41 = perturbação global do sono (Owens et al., 2000). Rastreio, não diagnóstico; integrar com relato parental (ex. CSHQ-PT).</t>
  </si>
  <si>
    <t xml:space="preserve">Resistência ao Deitar; Início do Sono; Duração do Sono; Ansiedade do Sono; Despertares Noturnos; Parassónias; Sonolência Diurna; Total SSR</t>
  </si>
  <si>
    <t xml:space="preserve">ssr_pt</t>
  </si>
  <si>
    <t xml:space="preserve">q_ssr_pt</t>
  </si>
  <si>
    <t xml:space="preserve">https://correiaricardina-ui.github.io/questionarios/SSR_PT_v1.html</t>
  </si>
  <si>
    <t xml:space="preserve">TS-OC · Parte I — Gravidade de Tiques (YGTSS)</t>
  </si>
  <si>
    <t xml:space="preserve">Mãe, Pai, Enc. Educação, Paciente</t>
  </si>
  <si>
    <t xml:space="preserve">Lista de sintomas de tiques + escala de gravidade (Yale Global Tic Severity Scale; Leckman et al., 1989). Cotação descritiva das dimensões motora e fónica em duas janelas — Atual (últimos 7 dias) e Pior fase — com Total de Tiques (0–50), Comprometimento (0–50) e Pontuação Global (0–100). Aplicação com apoio familiar; cotação final confirmada pelo/a psicólogo/a em entrevista. Rastreio/monitorização, não diagnóstico.</t>
  </si>
  <si>
    <t xml:space="preserve">Subtotal Motor; Subtotal Fónico; Total de Tiques; Comprometimento; Pontuação Global YGTSS</t>
  </si>
  <si>
    <t xml:space="preserve">tsoc_ygtss</t>
  </si>
  <si>
    <t xml:space="preserve">q_tsoc_ygtss</t>
  </si>
  <si>
    <t xml:space="preserve">https://correiaricardina-ui.github.io/questionarios/TSOC_YGTSS_v1.html</t>
  </si>
  <si>
    <t xml:space="preserve">A-DES — Escala de Experiências Dissociativas em Adolescentes</t>
  </si>
  <si>
    <t xml:space="preserve">Rastreio dimensional de experiências dissociativas por auto-relato do adolescente (30 itens, escala 0–10). Métrica = média global + 5 domínios (Amnésia; Despersonalização/Desrealização; Absorção; Alteração de Identidade; Transversal). Ponto de corte orientador: média ≥ 4,0 = dissociação clinicamente significativa; 3,0–3,9 = moderada. Instrumento de rastreio/orientação, não diagnóstico — integrar sempre com entrevista clínica, observação e história de vida.</t>
  </si>
  <si>
    <t xml:space="preserve">Amnésia; Despersonalização/Desrealização; Absorção; Alteração de Identidade; Transversal; Média Global A-DES</t>
  </si>
  <si>
    <t xml:space="preserve">ades</t>
  </si>
  <si>
    <t xml:space="preserve">q_ades</t>
  </si>
  <si>
    <t xml:space="preserve">https://correiaricardina-ui.github.io/questionarios/A_DES_v1.html</t>
  </si>
  <si>
    <t xml:space="preserve">ACE-Q — Experiências Adversas na Infância · Autorrelato (Adolescente)</t>
  </si>
  <si>
    <t xml:space="preserve">Rastreio de experiências adversas na infância por autorrelato do adolescente (18 itens, escala de frequência 0–2). Adaptação clínica da ACE-Q (Felitti et al., 1998) / ACE-IQ (WHO, 2010) para 6 domínios. Pontuação total 0–36 com bandas orientadoras (0–8 baixa; 9–18 moderada; &gt;18 elevada) e classificação por domínio. Instrumento de rastreio/orientação, não diagnóstico — integrar sempre com entrevista clínica e história de vida. Os domínios e a pontuação não são visíveis ao respondente.</t>
  </si>
  <si>
    <t xml:space="preserve">Relações familiares e ambiente emocional; Instabilidade familiar; Experiências de perda; Experiências de insegurança ou ameaça; Experiências sociais difíceis; Experiência emocional interna</t>
  </si>
  <si>
    <t xml:space="preserve">aceq_adol</t>
  </si>
  <si>
    <t xml:space="preserve">q_aceq_adol</t>
  </si>
  <si>
    <t xml:space="preserve">https://correiaricardina-ui.github.io/questionarios/ACE-Q_Adolescente.html</t>
  </si>
  <si>
    <t xml:space="preserve">ACE-Q — Experiências Adversas na Infância · Cuidador</t>
  </si>
  <si>
    <t xml:space="preserve">Rastreio de experiências adversas na infância por relato do cuidador (15 itens, escala de frequência 0–2). Adaptação clínica da ACE-Q (Felitti et al., 1998) e da versão pediátrica PEARLS (Brar et al., 2021) para 6 domínios. Pontuação total 0–30 com bandas orientadoras (0–6 baixa exposição; 7–14 moderada; ≥15 significativa) e classificação por domínio. Instrumento de rastreio/orientação, não diagnóstico — integrar sempre com entrevista clínica e história de vida. Os domínios e a pontuação não são visíveis ao respondente.</t>
  </si>
  <si>
    <t xml:space="preserve">Ambiente emocional familiar; Instabilidade familiar; Experiências de perda; Segurança e proteção; Experiências sociais difíceis; Eventos stressantes significativos</t>
  </si>
  <si>
    <t xml:space="preserve">aceq_cuid</t>
  </si>
  <si>
    <t xml:space="preserve">q_aceq_cuid</t>
  </si>
  <si>
    <t xml:space="preserve">https://correiaricardina-ui.github.io/questionarios/ACE-Q_Cuidador.html</t>
  </si>
  <si>
    <t xml:space="preserve">Entrevista adaptada CAARMS — Experiências Psicóticas Atenuadas, Dissociação e Funcionamento</t>
  </si>
  <si>
    <t xml:space="preserve">Psicóloga (aplicação clínica)</t>
  </si>
  <si>
    <t xml:space="preserve">Adolescentes / jovens</t>
  </si>
  <si>
    <t xml:space="preserve">Entrevista semiestruturada aplicada pela psicóloga (Avaliação Fenomenológica de Experiências Psicóticas Atenuadas, Dissociação e Funcionamento Subjetivo). Adaptação inspirada (Via B) nos domínios do CAARMS (Yung, McGorry et al., 2005), com formulação original em português europeu — NÃO constitui reprodução do CAARMS. Orientadora e descritiva, não diagnóstica: não classifica risco (UHR/APS/BLIPS). 10 domínios com cotação estruturada 0/1/2 (típico–preservado / intermédio / marcado–ausente); campos vazios cotam 0. A aplicação regista as respostas fluidas ditas pelo próprio, a cotação de cada item e observações qualitativas; o painel apresenta o perfil por domínio, o Índice Global de Alteração Dimensional (IGAD = média dos 10 índices; IGAD bruto = soma/54×100) e um painel de sinalização (11 marcadores Alto/Médio). Bandas orientadoras do IGAD: &lt;34 Mínima / 34–66 Moderada / ≥67 Elevada. Instrumento orientativo, a integrar sempre com entrevista clínica, observação e história de vida. Os domínios e a pontuação não são visíveis ao respondente.</t>
  </si>
  <si>
    <t xml:space="preserve">Experiências percetivas atípicas; Pensamento, fluência e organização cognitiva; Ideias de referência, desconfiança e hipervigilância; Self, corpo e experiências dissociativas; Experiência emocional e afetividade; Funcionamento global e esforço subjetivo; Narrativa subjetiva e organização do discurso; Qualidade de contacto e presença relacional; Insight, significado e medos implícitos; Coerência interna e continuidade do self; IGAD (Índice Global de Alteração Dimensional)</t>
  </si>
  <si>
    <t xml:space="preserve">caarms_adap</t>
  </si>
  <si>
    <t xml:space="preserve">q_caarms_adap</t>
  </si>
  <si>
    <t xml:space="preserve">https://correiaricardina-ui.github.io/questionarios/Entrevista_CAARMS_adap.html</t>
  </si>
  <si>
    <t xml:space="preserve">Resumo por Área Clínica (recalcula automaticamente)</t>
  </si>
  <si>
    <t xml:space="preserve">Nº de instrumentos</t>
  </si>
  <si>
    <t xml:space="preserve">% do total</t>
  </si>
  <si>
    <t xml:space="preserve">TOTAL CATALOGADO</t>
  </si>
  <si>
    <t xml:space="preserve">Verificação de integridade</t>
  </si>
  <si>
    <t xml:space="preserve">Soma por área = total catalogado?</t>
  </si>
  <si>
    <t xml:space="preserve">Fluxo de trabalho — integração de um novo instrumento</t>
  </si>
  <si>
    <t xml:space="preserve">Passo</t>
  </si>
  <si>
    <t xml:space="preserve">Ação</t>
  </si>
  <si>
    <t xml:space="preserve">Notas / regras</t>
  </si>
  <si>
    <t xml:space="preserve">1 · HTML</t>
  </si>
  <si>
    <t xml:space="preserve">Construir o HTML do questionário</t>
  </si>
  <si>
    <t xml:space="preserve">Validar a lógica de scoring em Python/Node ANTES de escrever o HTML. Um instrumento de cada vez.</t>
  </si>
  <si>
    <t xml:space="preserve">2 · RC</t>
  </si>
  <si>
    <t xml:space="preserve">Integrar no painel RC (RC_Avaliacao_Pacientes)</t>
  </si>
  <si>
    <t xml:space="preserve">Acrescentar a entrada ao array defaults e ao HEADERS/buildRow. Estritamente aditivo (zero remocoes). Nunca renomear ficheiros HTML ja publicados.</t>
  </si>
  <si>
    <t xml:space="preserve">3 · Apps Script</t>
  </si>
  <si>
    <t xml:space="preserve">Atualizar o Apps Script + Google Sheet</t>
  </si>
  <si>
    <t xml:space="preserve">Criar o separador da Sheet (syncKey) e redeploy SOBRE o mesmo URL permanente. Nunca criar um deployment novo (muda o URL e parte tudo).</t>
  </si>
  <si>
    <t xml:space="preserve">4 · Excel</t>
  </si>
  <si>
    <t xml:space="preserve">Atualizar este catalogo (RC_Catalogo_Questionarios.xlsx)</t>
  </si>
  <si>
    <t xml:space="preserve">Acrescentar uma linha no fim da tabela «Catalogo» (a tabela expande sozinha). Preencher todas as colunas; expandir as siglas dos dominios por extenso.</t>
  </si>
  <si>
    <t xml:space="preserve">Como atualizar este catálogo</t>
  </si>
  <si>
    <t xml:space="preserve">1.</t>
  </si>
  <si>
    <t xml:space="preserve">Na folha «Catalogo», acrescente uma linha logo a seguir a ultima (a tabela expande automaticamente). Nao deixe linhas em branco no meio.</t>
  </si>
  <si>
    <t xml:space="preserve">2.</t>
  </si>
  <si>
    <t xml:space="preserve">Preencha as colunas B a M. A coluna «Nº» (A) renumera-se sozinha - nao a edite.</t>
  </si>
  <si>
    <t xml:space="preserve">3.</t>
  </si>
  <si>
    <t xml:space="preserve">Idade min/max em anos servem para filtrar: use 0 quando comeca no nascimento e 99 quando nao ha limite superior. A coluna «Faixa etaria» fica em texto legivel.</t>
  </si>
  <si>
    <t xml:space="preserve">4.</t>
  </si>
  <si>
    <t xml:space="preserve">Use o mesmo «syncKey» do Apps Script e o «ID interno» (q_…) do array defaults. Expanda as siglas dos dominios por extenso.</t>
  </si>
  <si>
    <t xml:space="preserve">5.</t>
  </si>
  <si>
    <t xml:space="preserve">Reutilize uma «Area Clinica» existente sempre que possivel. Se criar uma AREA nova, acrescente uma linha na folha «Resumo por Area» (a verificacao de integridade avisa se faltar).</t>
  </si>
  <si>
    <t xml:space="preserve">6.</t>
  </si>
  <si>
    <t xml:space="preserve">Pesquisar/filtrar: clique na seta de qualquer cabecalho. Para «o que avalia X anos na dimensao Y», filtre Area + Idade min &lt;= X + Idade max &gt;= X.</t>
  </si>
  <si>
    <t xml:space="preserve">Fonte:</t>
  </si>
  <si>
    <t xml:space="preserve">Gerado a partir do array «defaults» de RC_Avaliacao_Pacientes (138 instrumentos). Dominios expandidos a partir das folhas de cotacao de cada instrumento.</t>
  </si>
  <si>
    <t xml:space="preserve">Nota:</t>
  </si>
  <si>
    <t xml:space="preserve">Catalogo de gestao interna. Em saida clinica usar sempre «Ricardina Correia · OPP 8233».</t>
  </si>
</sst>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A6B7B"/>
      <name val="Arial"/>
      <family val="0"/>
      <charset val="1"/>
    </font>
    <font>
      <b val="true"/>
      <sz val="10"/>
      <color rgb="FFFFFFFF"/>
      <name val="Arial"/>
      <family val="0"/>
      <charset val="1"/>
    </font>
    <font>
      <sz val="9"/>
      <name val="Arial"/>
      <family val="0"/>
      <charset val="1"/>
    </font>
    <font>
      <u val="single"/>
      <sz val="9"/>
      <color rgb="FF1155CC"/>
      <name val="Arial"/>
      <family val="0"/>
      <charset val="1"/>
    </font>
    <font>
      <b val="true"/>
      <sz val="12"/>
      <color rgb="FFFFFFFF"/>
      <name val="Arial"/>
      <family val="0"/>
      <charset val="1"/>
    </font>
    <font>
      <sz val="10"/>
      <name val="Arial"/>
      <family val="0"/>
      <charset val="1"/>
    </font>
    <font>
      <b val="true"/>
      <sz val="10"/>
      <name val="Arial"/>
      <family val="0"/>
      <charset val="1"/>
    </font>
    <font>
      <b val="true"/>
      <sz val="9"/>
      <color rgb="FF3B5A7A"/>
      <name val="Arial"/>
      <family val="0"/>
      <charset val="1"/>
    </font>
    <font>
      <b val="true"/>
      <sz val="10"/>
      <color rgb="FF3B5A7A"/>
      <name val="Arial"/>
      <family val="0"/>
      <charset val="1"/>
    </font>
  </fonts>
  <fills count="4">
    <fill>
      <patternFill patternType="none"/>
    </fill>
    <fill>
      <patternFill patternType="gray125"/>
    </fill>
    <fill>
      <patternFill patternType="solid">
        <fgColor rgb="FF3B5A7A"/>
        <bgColor rgb="FF5A6B7B"/>
      </patternFill>
    </fill>
    <fill>
      <patternFill patternType="solid">
        <fgColor rgb="FFEAF0F6"/>
        <bgColor rgb="FFFFFFFF"/>
      </patternFill>
    </fill>
  </fills>
  <borders count="2">
    <border diagonalUp="false" diagonalDown="false">
      <left/>
      <right/>
      <top/>
      <bottom/>
      <diagonal/>
    </border>
    <border diagonalUp="false" diagonalDown="false">
      <left style="thin">
        <color rgb="FFD6DDE5"/>
      </left>
      <right style="thin">
        <color rgb="FFD6DDE5"/>
      </right>
      <top style="thin">
        <color rgb="FFD6DDE5"/>
      </top>
      <bottom style="thin">
        <color rgb="FFD6DD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6" fontId="0" fillId="0" borderId="1" xfId="0" applyFont="false" applyBorder="true" applyAlignment="true" applyProtection="false">
      <alignment horizontal="general" vertical="center" textRotation="0" wrapText="false" indent="0" shrinkToFit="false"/>
      <protection locked="true" hidden="false"/>
    </xf>
    <xf numFmtId="164" fontId="11" fillId="3" borderId="1" xfId="0" applyFont="true" applyBorder="true" applyAlignment="true" applyProtection="false">
      <alignment horizontal="general" vertical="bottom" textRotation="0" wrapText="false" indent="0" shrinkToFit="false"/>
      <protection locked="true" hidden="false"/>
    </xf>
    <xf numFmtId="166" fontId="0" fillId="3" borderId="1" xfId="0" applyFont="fals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3B5A7A"/>
          <bgColor rgb="FF000000"/>
        </patternFill>
      </fill>
    </dxf>
    <dxf>
      <fill>
        <patternFill patternType="solid">
          <bgColor rgb="FF000000"/>
        </patternFill>
      </fill>
    </dxf>
    <dxf>
      <fill>
        <patternFill patternType="solid">
          <fgColor rgb="FFFFFFFF"/>
          <bgColor rgb="FF000000"/>
        </patternFill>
      </fill>
    </dxf>
    <dxf>
      <fill>
        <patternFill patternType="solid">
          <fgColor rgb="FF1155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F0F6"/>
      <rgbColor rgb="FF660066"/>
      <rgbColor rgb="FFFF8080"/>
      <rgbColor rgb="FF1155CC"/>
      <rgbColor rgb="FFD6D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B7B"/>
      <rgbColor rgb="FF969696"/>
      <rgbColor rgb="FF003366"/>
      <rgbColor rgb="FF339966"/>
      <rgbColor rgb="FF003300"/>
      <rgbColor rgb="FF333300"/>
      <rgbColor rgb="FF993300"/>
      <rgbColor rgb="FF993366"/>
      <rgbColor rgb="FF3B5A7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Catalogo" displayName="Catalogo" ref="A3:M162" headerRowCount="1" totalsRowCount="0" totalsRowShown="0">
  <autoFilter ref="A3:M162"/>
  <tableColumns count="13">
    <tableColumn id="1" name="Nº"/>
    <tableColumn id="2" name="Nome do Instrumento"/>
    <tableColumn id="3" name="Área Clínica"/>
    <tableColumn id="4" name="Destinatários"/>
    <tableColumn id="5" name="Faixa etária"/>
    <tableColumn id="6" name="Idade mín (anos)"/>
    <tableColumn id="7" name="Idade máx (anos)"/>
    <tableColumn id="8" name="Nº domínios"/>
    <tableColumn id="9" name="Objetivo clínico"/>
    <tableColumn id="10" name="Domínios / Subescalas (por extenso)"/>
    <tableColumn id="11" name="syncKey (Sheet)"/>
    <tableColumn id="12" name="ID interno"/>
    <tableColumn id="13" name="Lin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orreiaricardina-ui.github.io/questionarios/ABAS3_PreEscolar_Educador.html" TargetMode="External"/><Relationship Id="rId2" Type="http://schemas.openxmlformats.org/officeDocument/2006/relationships/hyperlink" Target="https://correiaricardina-ui.github.io/questionarios/ABAS3_PreEscolar.html" TargetMode="External"/><Relationship Id="rId3" Type="http://schemas.openxmlformats.org/officeDocument/2006/relationships/hyperlink" Target="https://correiaricardina-ui.github.io/questionarios/ABAS3_Professor_v2.html" TargetMode="External"/><Relationship Id="rId4" Type="http://schemas.openxmlformats.org/officeDocument/2006/relationships/hyperlink" Target="https://correiaricardina-ui.github.io/questionarios/ABAS3_Pais_v2.html" TargetMode="External"/><Relationship Id="rId5" Type="http://schemas.openxmlformats.org/officeDocument/2006/relationships/hyperlink" Target="https://correiaricardina-ui.github.io/questionarios/AQ_Child_v1.html" TargetMode="External"/><Relationship Id="rId6" Type="http://schemas.openxmlformats.org/officeDocument/2006/relationships/hyperlink" Target="https://correiaricardina-ui.github.io/questionarios/Anamnese_HP_v1.html" TargetMode="External"/><Relationship Id="rId7" Type="http://schemas.openxmlformats.org/officeDocument/2006/relationships/hyperlink" Target="https://correiaricardina-ui.github.io/questionarios/Anamnese_complementar_v2.html" TargetMode="External"/><Relationship Id="rId8" Type="http://schemas.openxmlformats.org/officeDocument/2006/relationships/hyperlink" Target="https://correiaricardina-ui.github.io/questionarios/AQ_BussPerry_v1.html" TargetMode="External"/><Relationship Id="rId9" Type="http://schemas.openxmlformats.org/officeDocument/2006/relationships/hyperlink" Target="https://correiaricardina-ui.github.io/questionarios/LDS_v2.html" TargetMode="External"/><Relationship Id="rId10" Type="http://schemas.openxmlformats.org/officeDocument/2006/relationships/hyperlink" Target="https://correiaricardina-ui.github.io/questionarios/CBCL_15_v5.html" TargetMode="External"/><Relationship Id="rId11" Type="http://schemas.openxmlformats.org/officeDocument/2006/relationships/hyperlink" Target="https://correiaricardina-ui.github.io/questionarios/CBCL_618_v1.html" TargetMode="External"/><Relationship Id="rId12" Type="http://schemas.openxmlformats.org/officeDocument/2006/relationships/hyperlink" Target="https://correiaricardina-ui.github.io/questionarios/TRF_618_v1.html" TargetMode="External"/><Relationship Id="rId13" Type="http://schemas.openxmlformats.org/officeDocument/2006/relationships/hyperlink" Target="https://correiaricardina-ui.github.io/questionarios/YSR_1118_v2.html" TargetMode="External"/><Relationship Id="rId14" Type="http://schemas.openxmlformats.org/officeDocument/2006/relationships/hyperlink" Target="https://correiaricardina-ui.github.io/questionarios/BAS3_v1.html" TargetMode="External"/><Relationship Id="rId15" Type="http://schemas.openxmlformats.org/officeDocument/2006/relationships/hyperlink" Target="https://correiaricardina-ui.github.io/questionarios/BESAA_v1.html" TargetMode="External"/><Relationship Id="rId16" Type="http://schemas.openxmlformats.org/officeDocument/2006/relationships/hyperlink" Target="https://correiaricardina-ui.github.io/questionarios/BRIEF_Autoavaliacao_v2.html" TargetMode="External"/><Relationship Id="rId17" Type="http://schemas.openxmlformats.org/officeDocument/2006/relationships/hyperlink" Target="https://correiaricardina-ui.github.io/questionarios/BRIEF_Pais_v5.html" TargetMode="External"/><Relationship Id="rId18" Type="http://schemas.openxmlformats.org/officeDocument/2006/relationships/hyperlink" Target="https://correiaricardina-ui.github.io/questionarios/BRIEF_Professores_v3.html" TargetMode="External"/><Relationship Id="rId19" Type="http://schemas.openxmlformats.org/officeDocument/2006/relationships/hyperlink" Target="https://correiaricardina-ui.github.io/questionarios/BRIEF_PreEscolar_Pais_v2.html" TargetMode="External"/><Relationship Id="rId20" Type="http://schemas.openxmlformats.org/officeDocument/2006/relationships/hyperlink" Target="https://correiaricardina-ui.github.io/questionarios/BRIEF_PreEscolar_Professores_v2.html" TargetMode="External"/><Relationship Id="rId21" Type="http://schemas.openxmlformats.org/officeDocument/2006/relationships/hyperlink" Target="https://correiaricardina-ui.github.io/questionarios/CSSRS_v1.html" TargetMode="External"/><Relationship Id="rId22" Type="http://schemas.openxmlformats.org/officeDocument/2006/relationships/hyperlink" Target="https://correiaricardina-ui.github.io/questionarios/CABS_Autorrelato.html" TargetMode="External"/><Relationship Id="rId23" Type="http://schemas.openxmlformats.org/officeDocument/2006/relationships/hyperlink" Target="https://correiaricardina-ui.github.io/questionarios/CABS_Heterorrelato.html" TargetMode="External"/><Relationship Id="rId24" Type="http://schemas.openxmlformats.org/officeDocument/2006/relationships/hyperlink" Target="https://correiaricardina-ui.github.io/questionarios/CARS2-HP_v1.html" TargetMode="External"/><Relationship Id="rId25" Type="http://schemas.openxmlformats.org/officeDocument/2006/relationships/hyperlink" Target="https://correiaricardina-ui.github.io/questionarios/CARS2-QPC_v1.html" TargetMode="External"/><Relationship Id="rId26" Type="http://schemas.openxmlformats.org/officeDocument/2006/relationships/hyperlink" Target="https://correiaricardina-ui.github.io/questionarios/CARS2-ST_v1.html" TargetMode="External"/><Relationship Id="rId27" Type="http://schemas.openxmlformats.org/officeDocument/2006/relationships/hyperlink" Target="https://correiaricardina-ui.github.io/questionarios/CERQ_18_v1.html" TargetMode="External"/><Relationship Id="rId28" Type="http://schemas.openxmlformats.org/officeDocument/2006/relationships/hyperlink" Target="https://correiaricardina-ui.github.io/questionarios/CDI2_SR_v1.html" TargetMode="External"/><Relationship Id="rId29" Type="http://schemas.openxmlformats.org/officeDocument/2006/relationships/hyperlink" Target="https://correiaricardina-ui.github.io/questionarios/CERQ_36_v1.html" TargetMode="External"/><Relationship Id="rId30" Type="http://schemas.openxmlformats.org/officeDocument/2006/relationships/hyperlink" Target="https://correiaricardina-ui.github.io/questionarios/CERQ_K_v1.html" TargetMode="External"/><Relationship Id="rId31" Type="http://schemas.openxmlformats.org/officeDocument/2006/relationships/hyperlink" Target="https://correiaricardina-ui.github.io/questionarios/DERS_v1.html" TargetMode="External"/><Relationship Id="rId32" Type="http://schemas.openxmlformats.org/officeDocument/2006/relationships/hyperlink" Target="https://correiaricardina-ui.github.io/questionarios/ChEAT_v1.html" TargetMode="External"/><Relationship Id="rId33" Type="http://schemas.openxmlformats.org/officeDocument/2006/relationships/hyperlink" Target="https://correiaricardina-ui.github.io/questionarios/checklist_obs_medicacao_PHDA_casa.html" TargetMode="External"/><Relationship Id="rId34" Type="http://schemas.openxmlformats.org/officeDocument/2006/relationships/hyperlink" Target="https://correiaricardina-ui.github.io/questionarios/checklist_obs_medicacao_PHDA_escola.html" TargetMode="External"/><Relationship Id="rId35" Type="http://schemas.openxmlformats.org/officeDocument/2006/relationships/hyperlink" Target="https://correiaricardina-ui.github.io/questionarios/CMAS_R_v1.html" TargetMode="External"/><Relationship Id="rId36" Type="http://schemas.openxmlformats.org/officeDocument/2006/relationships/hyperlink" Target="https://correiaricardina-ui.github.io/questionarios/Collins_Silhuetas.html" TargetMode="External"/><Relationship Id="rId37" Type="http://schemas.openxmlformats.org/officeDocument/2006/relationships/hyperlink" Target="https://correiaricardina-ui.github.io/questionarios/COMPA_A_Mae.html" TargetMode="External"/><Relationship Id="rId38" Type="http://schemas.openxmlformats.org/officeDocument/2006/relationships/hyperlink" Target="https://correiaricardina-ui.github.io/questionarios/COMPA_A_Pai.html" TargetMode="External"/><Relationship Id="rId39" Type="http://schemas.openxmlformats.org/officeDocument/2006/relationships/hyperlink" Target="https://correiaricardina-ui.github.io/questionarios/COMPA_C_Mae.html" TargetMode="External"/><Relationship Id="rId40" Type="http://schemas.openxmlformats.org/officeDocument/2006/relationships/hyperlink" Target="https://correiaricardina-ui.github.io/questionarios/COMPA_C_Pai.html" TargetMode="External"/><Relationship Id="rId41" Type="http://schemas.openxmlformats.org/officeDocument/2006/relationships/hyperlink" Target="https://correiaricardina-ui.github.io/questionarios/COMPA_P.html" TargetMode="External"/><Relationship Id="rId42" Type="http://schemas.openxmlformats.org/officeDocument/2006/relationships/hyperlink" Target="https://correiaricardina-ui.github.io/questionarios/Conners3_Pais_Full.html" TargetMode="External"/><Relationship Id="rId43" Type="http://schemas.openxmlformats.org/officeDocument/2006/relationships/hyperlink" Target="https://correiaricardina-ui.github.io/questionarios/Conners3_Pais_Short.html" TargetMode="External"/><Relationship Id="rId44" Type="http://schemas.openxmlformats.org/officeDocument/2006/relationships/hyperlink" Target="https://correiaricardina-ui.github.io/questionarios/Conners3_Professores_Full.html" TargetMode="External"/><Relationship Id="rId45" Type="http://schemas.openxmlformats.org/officeDocument/2006/relationships/hyperlink" Target="https://correiaricardina-ui.github.io/questionarios/Conners3_Professores_Short.html" TargetMode="External"/><Relationship Id="rId46" Type="http://schemas.openxmlformats.org/officeDocument/2006/relationships/hyperlink" Target="https://correiaricardina-ui.github.io/questionarios/MDQ_v1.html" TargetMode="External"/><Relationship Id="rId47" Type="http://schemas.openxmlformats.org/officeDocument/2006/relationships/hyperlink" Target="https://correiaricardina-ui.github.io/questionarios/C-SSRS-DC_DeficeCognitivo_v1.html" TargetMode="External"/><Relationship Id="rId48" Type="http://schemas.openxmlformats.org/officeDocument/2006/relationships/hyperlink" Target="https://correiaricardina-ui.github.io/questionarios/C-SSRS-P_Pediatrica_v1.html" TargetMode="External"/><Relationship Id="rId49" Type="http://schemas.openxmlformats.org/officeDocument/2006/relationships/hyperlink" Target="https://correiaricardina-ui.github.io/questionarios/UCLA_PTSD_Adaptado.html" TargetMode="External"/><Relationship Id="rId50" Type="http://schemas.openxmlformats.org/officeDocument/2006/relationships/hyperlink" Target="https://correiaricardina-ui.github.io/questionarios/CTRF_15_v2.html" TargetMode="External"/><Relationship Id="rId51" Type="http://schemas.openxmlformats.org/officeDocument/2006/relationships/hyperlink" Target="https://correiaricardina-ui.github.io/questionarios/ERC_Pais_v1.html" TargetMode="External"/><Relationship Id="rId52" Type="http://schemas.openxmlformats.org/officeDocument/2006/relationships/hyperlink" Target="https://correiaricardina-ui.github.io/questionarios/ABAS3_Autorrelato_v1.html" TargetMode="External"/><Relationship Id="rId53" Type="http://schemas.openxmlformats.org/officeDocument/2006/relationships/hyperlink" Target="https://correiaricardina-ui.github.io/questionarios/DIVA5_v1.html" TargetMode="External"/><Relationship Id="rId54" Type="http://schemas.openxmlformats.org/officeDocument/2006/relationships/hyperlink" Target="https://correiaricardina-ui.github.io/questionarios/EAFE_v2.html" TargetMode="External"/><Relationship Id="rId55" Type="http://schemas.openxmlformats.org/officeDocument/2006/relationships/hyperlink" Target="https://correiaricardina-ui.github.io/questionarios/EAT26_v2.html" TargetMode="External"/><Relationship Id="rId56" Type="http://schemas.openxmlformats.org/officeDocument/2006/relationships/hyperlink" Target="https://correiaricardina-ui.github.io/questionarios/ECE-FEA.html" TargetMode="External"/><Relationship Id="rId57" Type="http://schemas.openxmlformats.org/officeDocument/2006/relationships/hyperlink" Target="https://correiaricardina-ui.github.io/questionarios/EDEQ_v1.html" TargetMode="External"/><Relationship Id="rId58" Type="http://schemas.openxmlformats.org/officeDocument/2006/relationships/hyperlink" Target="https://correiaricardina-ui.github.io/questionarios/EMP_HF_v1.html" TargetMode="External"/><Relationship Id="rId59" Type="http://schemas.openxmlformats.org/officeDocument/2006/relationships/hyperlink" Target="https://correiaricardina-ui.github.io/questionarios/JTCI_92.html" TargetMode="External"/><Relationship Id="rId60" Type="http://schemas.openxmlformats.org/officeDocument/2006/relationships/hyperlink" Target="https://correiaricardina-ui.github.io/questionarios/EPCAS_PE_v1.html" TargetMode="External"/><Relationship Id="rId61" Type="http://schemas.openxmlformats.org/officeDocument/2006/relationships/hyperlink" Target="https://correiaricardina-ui.github.io/questionarios/ERC_Professores_v1.html" TargetMode="External"/><Relationship Id="rId62" Type="http://schemas.openxmlformats.org/officeDocument/2006/relationships/hyperlink" Target="https://correiaricardina-ui.github.io/questionarios/ERICA_v1.html" TargetMode="External"/><Relationship Id="rId63" Type="http://schemas.openxmlformats.org/officeDocument/2006/relationships/hyperlink" Target="https://correiaricardina-ui.github.io/questionarios/ERQ_CA_v1.html" TargetMode="External"/><Relationship Id="rId64" Type="http://schemas.openxmlformats.org/officeDocument/2006/relationships/hyperlink" Target="https://correiaricardina-ui.github.io/questionarios/ISC24.html" TargetMode="External"/><Relationship Id="rId65" Type="http://schemas.openxmlformats.org/officeDocument/2006/relationships/hyperlink" Target="https://correiaricardina-ui.github.io/questionarios/FACES_IV_adap.html" TargetMode="External"/><Relationship Id="rId66" Type="http://schemas.openxmlformats.org/officeDocument/2006/relationships/hyperlink" Target="https://correiaricardina-ui.github.io/questionarios/FAD_60_v1.html" TargetMode="External"/><Relationship Id="rId67" Type="http://schemas.openxmlformats.org/officeDocument/2006/relationships/hyperlink" Target="https://correiaricardina-ui.github.io/questionarios/FAD_GF_v2.html" TargetMode="External"/><Relationship Id="rId68" Type="http://schemas.openxmlformats.org/officeDocument/2006/relationships/hyperlink" Target="https://correiaricardina-ui.github.io/questionarios/FAS_CR_Adolescencia.html" TargetMode="External"/><Relationship Id="rId69" Type="http://schemas.openxmlformats.org/officeDocument/2006/relationships/hyperlink" Target="https://correiaricardina-ui.github.io/questionarios/FAS_CR_Infancia.html" TargetMode="External"/><Relationship Id="rId70" Type="http://schemas.openxmlformats.org/officeDocument/2006/relationships/hyperlink" Target="https://correiaricardina-ui.github.io/questionarios/FAS_Parental.html" TargetMode="External"/><Relationship Id="rId71" Type="http://schemas.openxmlformats.org/officeDocument/2006/relationships/hyperlink" Target="https://correiaricardina-ui.github.io/questionarios/FASA_CR_Adolescencia.html" TargetMode="External"/><Relationship Id="rId72" Type="http://schemas.openxmlformats.org/officeDocument/2006/relationships/hyperlink" Target="https://correiaricardina-ui.github.io/questionarios/FASA_CR_Infancia.html" TargetMode="External"/><Relationship Id="rId73" Type="http://schemas.openxmlformats.org/officeDocument/2006/relationships/hyperlink" Target="https://correiaricardina-ui.github.io/questionarios/FASA_Parental.html" TargetMode="External"/><Relationship Id="rId74" Type="http://schemas.openxmlformats.org/officeDocument/2006/relationships/hyperlink" Target="https://correiaricardina-ui.github.io/questionarios/FSSC_R_v1.html" TargetMode="External"/><Relationship Id="rId75" Type="http://schemas.openxmlformats.org/officeDocument/2006/relationships/hyperlink" Target="https://correiaricardina-ui.github.io/questionarios/IIM_Criancas_v1.html" TargetMode="External"/><Relationship Id="rId76" Type="http://schemas.openxmlformats.org/officeDocument/2006/relationships/hyperlink" Target="https://correiaricardina-ui.github.io/questionarios/IIM_Heterorrelato_v1.html" TargetMode="External"/><Relationship Id="rId77" Type="http://schemas.openxmlformats.org/officeDocument/2006/relationships/hyperlink" Target="https://correiaricardina-ui.github.io/questionarios/IMC_C.html" TargetMode="External"/><Relationship Id="rId78" Type="http://schemas.openxmlformats.org/officeDocument/2006/relationships/hyperlink" Target="https://correiaricardina-ui.github.io/questionarios/IPP-R_v1.html" TargetMode="External"/><Relationship Id="rId79" Type="http://schemas.openxmlformats.org/officeDocument/2006/relationships/hyperlink" Target="https://correiaricardina-ui.github.io/questionarios/IVP_Super_v1.html" TargetMode="External"/><Relationship Id="rId80" Type="http://schemas.openxmlformats.org/officeDocument/2006/relationships/hyperlink" Target="https://correiaricardina-ui.github.io/questionarios/ISAS_v1.html" TargetMode="External"/><Relationship Id="rId81" Type="http://schemas.openxmlformats.org/officeDocument/2006/relationships/hyperlink" Target="https://correiaricardina-ui.github.io/questionarios/Kidcope_Adolescentes_v1.html" TargetMode="External"/><Relationship Id="rId82" Type="http://schemas.openxmlformats.org/officeDocument/2006/relationships/hyperlink" Target="https://correiaricardina-ui.github.io/questionarios/ISS_ESI_v1.html" TargetMode="External"/><Relationship Id="rId83" Type="http://schemas.openxmlformats.org/officeDocument/2006/relationships/hyperlink" Target="https://correiaricardina-ui.github.io/questionarios/SDS_Holland.html" TargetMode="External"/><Relationship Id="rId84" Type="http://schemas.openxmlformats.org/officeDocument/2006/relationships/hyperlink" Target="https://correiaricardina-ui.github.io/questionarios/NEO_PIR_v1.html" TargetMode="External"/><Relationship Id="rId85" Type="http://schemas.openxmlformats.org/officeDocument/2006/relationships/hyperlink" Target="https://correiaricardina-ui.github.io/questionarios/Kidcope_Criancas_v1.html" TargetMode="External"/><Relationship Id="rId86" Type="http://schemas.openxmlformats.org/officeDocument/2006/relationships/hyperlink" Target="https://correiaricardina-ui.github.io/questionarios/TAS20_v7.html" TargetMode="External"/><Relationship Id="rId87" Type="http://schemas.openxmlformats.org/officeDocument/2006/relationships/hyperlink" Target="https://correiaricardina-ui.github.io/questionarios/PS2_Escola_v1.html" TargetMode="External"/><Relationship Id="rId88" Type="http://schemas.openxmlformats.org/officeDocument/2006/relationships/hyperlink" Target="https://correiaricardina-ui.github.io/questionarios/MAP_ParentalAvaliacaoSistemica_1214_v1.html" TargetMode="External"/><Relationship Id="rId89" Type="http://schemas.openxmlformats.org/officeDocument/2006/relationships/hyperlink" Target="https://correiaricardina-ui.github.io/questionarios/MAP_ParentalAvaliacaoSistemica_1518_v1.html" TargetMode="External"/><Relationship Id="rId90" Type="http://schemas.openxmlformats.org/officeDocument/2006/relationships/hyperlink" Target="https://correiaricardina-ui.github.io/questionarios/MAP_ParentalAvaliacaoSistemica_v1.html" TargetMode="External"/><Relationship Id="rId91" Type="http://schemas.openxmlformats.org/officeDocument/2006/relationships/hyperlink" Target="https://correiaricardina-ui.github.io/questionarios/MAP_ParentalAvaliacaoSistemica_PI_v1.html" TargetMode="External"/><Relationship Id="rId92" Type="http://schemas.openxmlformats.org/officeDocument/2006/relationships/hyperlink" Target="https://correiaricardina-ui.github.io/questionarios/MBI-SS_v1.html" TargetMode="External"/><Relationship Id="rId93" Type="http://schemas.openxmlformats.org/officeDocument/2006/relationships/hyperlink" Target="https://correiaricardina-ui.github.io/questionarios/M-CHAT-R-F_v1.html" TargetMode="External"/><Relationship Id="rId94" Type="http://schemas.openxmlformats.org/officeDocument/2006/relationships/hyperlink" Target="https://correiaricardina-ui.github.io/questionarios/MCP_Breve.html" TargetMode="External"/><Relationship Id="rId95" Type="http://schemas.openxmlformats.org/officeDocument/2006/relationships/hyperlink" Target="https://correiaricardina-ui.github.io/questionarios/MCP_Completo.html" TargetMode="External"/><Relationship Id="rId96" Type="http://schemas.openxmlformats.org/officeDocument/2006/relationships/hyperlink" Target="https://correiaricardina-ui.github.io/questionarios/C-SSRS-A_Adolescente_v1.html" TargetMode="External"/><Relationship Id="rId97" Type="http://schemas.openxmlformats.org/officeDocument/2006/relationships/hyperlink" Target="https://correiaricardina-ui.github.io/questionarios/PAI_adult_final.html" TargetMode="External"/><Relationship Id="rId98" Type="http://schemas.openxmlformats.org/officeDocument/2006/relationships/hyperlink" Target="https://correiaricardina-ui.github.io/questionarios/OCI_CV_R_v1.html" TargetMode="External"/><Relationship Id="rId99" Type="http://schemas.openxmlformats.org/officeDocument/2006/relationships/hyperlink" Target="https://correiaricardina-ui.github.io/questionarios/OCI_R_v1.html" TargetMode="External"/><Relationship Id="rId100" Type="http://schemas.openxmlformats.org/officeDocument/2006/relationships/hyperlink" Target="https://correiaricardina-ui.github.io/questionarios/PAI_A_final.html" TargetMode="External"/><Relationship Id="rId101" Type="http://schemas.openxmlformats.org/officeDocument/2006/relationships/hyperlink" Target="https://correiaricardina-ui.github.io/questionarios/QEA_questionario.html" TargetMode="External"/><Relationship Id="rId102" Type="http://schemas.openxmlformats.org/officeDocument/2006/relationships/hyperlink" Target="https://correiaricardina-ui.github.io/questionarios/PALS_Student_2-3ciclo_v1.html" TargetMode="External"/><Relationship Id="rId103" Type="http://schemas.openxmlformats.org/officeDocument/2006/relationships/hyperlink" Target="https://correiaricardina-ui.github.io/questionarios/PALS_Student_Secundario_v1.html" TargetMode="External"/><Relationship Id="rId104" Type="http://schemas.openxmlformats.org/officeDocument/2006/relationships/hyperlink" Target="https://correiaricardina-ui.github.io/questionarios/PALS_Student_2-3ciclo_Reduzido_v1.html" TargetMode="External"/><Relationship Id="rId105" Type="http://schemas.openxmlformats.org/officeDocument/2006/relationships/hyperlink" Target="https://correiaricardina-ui.github.io/questionarios/PALS_Student_Secundario_Reduzido_v1.html" TargetMode="External"/><Relationship Id="rId106" Type="http://schemas.openxmlformats.org/officeDocument/2006/relationships/hyperlink" Target="https://correiaricardina-ui.github.io/questionarios/PALS_Parent_v1.html" TargetMode="External"/><Relationship Id="rId107" Type="http://schemas.openxmlformats.org/officeDocument/2006/relationships/hyperlink" Target="https://correiaricardina-ui.github.io/questionarios/PALS_Parent_Reduzido_v1.html" TargetMode="External"/><Relationship Id="rId108" Type="http://schemas.openxmlformats.org/officeDocument/2006/relationships/hyperlink" Target="https://correiaricardina-ui.github.io/questionarios/PALS_Teacher_v1.html" TargetMode="External"/><Relationship Id="rId109" Type="http://schemas.openxmlformats.org/officeDocument/2006/relationships/hyperlink" Target="https://correiaricardina-ui.github.io/questionarios/PALS_Teacher_Reduzido_v1.html" TargetMode="External"/><Relationship Id="rId110" Type="http://schemas.openxmlformats.org/officeDocument/2006/relationships/hyperlink" Target="https://correiaricardina-ui.github.io/questionarios/PPGRJ_v1.html" TargetMode="External"/><Relationship Id="rId111" Type="http://schemas.openxmlformats.org/officeDocument/2006/relationships/hyperlink" Target="https://correiaricardina-ui.github.io/questionarios/PS2_Pais_v1.html" TargetMode="External"/><Relationship Id="rId112" Type="http://schemas.openxmlformats.org/officeDocument/2006/relationships/hyperlink" Target="https://correiaricardina-ui.github.io/questionarios/RAADS_R_v1.html" TargetMode="External"/><Relationship Id="rId113" Type="http://schemas.openxmlformats.org/officeDocument/2006/relationships/hyperlink" Target="https://correiaricardina-ui.github.io/questionarios/EMP_F_v1.html" TargetMode="External"/><Relationship Id="rId114" Type="http://schemas.openxmlformats.org/officeDocument/2006/relationships/hyperlink" Target="https://correiaricardina-ui.github.io/questionarios/QACSE_C_v1.html" TargetMode="External"/><Relationship Id="rId115" Type="http://schemas.openxmlformats.org/officeDocument/2006/relationships/hyperlink" Target="https://correiaricardina-ui.github.io/questionarios/QACSE_R_v1.html" TargetMode="External"/><Relationship Id="rId116" Type="http://schemas.openxmlformats.org/officeDocument/2006/relationships/hyperlink" Target="https://correiaricardina-ui.github.io/questionarios/QC_Mae.html" TargetMode="External"/><Relationship Id="rId117" Type="http://schemas.openxmlformats.org/officeDocument/2006/relationships/hyperlink" Target="https://correiaricardina-ui.github.io/questionarios/QC_Pai.html" TargetMode="External"/><Relationship Id="rId118" Type="http://schemas.openxmlformats.org/officeDocument/2006/relationships/hyperlink" Target="https://correiaricardina-ui.github.io/questionarios/CCBQ_v1.html" TargetMode="External"/><Relationship Id="rId119" Type="http://schemas.openxmlformats.org/officeDocument/2006/relationships/hyperlink" Target="https://correiaricardina-ui.github.io/questionarios/QEDP_v2.html" TargetMode="External"/><Relationship Id="rId120" Type="http://schemas.openxmlformats.org/officeDocument/2006/relationships/hyperlink" Target="https://correiaricardina-ui.github.io/questionarios/QEE_Escola_v1.html" TargetMode="External"/><Relationship Id="rId121" Type="http://schemas.openxmlformats.org/officeDocument/2006/relationships/hyperlink" Target="https://correiaricardina-ui.github.io/questionarios/QEP_Pais_v1.html" TargetMode="External"/><Relationship Id="rId122" Type="http://schemas.openxmlformats.org/officeDocument/2006/relationships/hyperlink" Target="https://correiaricardina-ui.github.io/questionarios/RBS_R.html" TargetMode="External"/><Relationship Id="rId123" Type="http://schemas.openxmlformats.org/officeDocument/2006/relationships/hyperlink" Target="https://correiaricardina-ui.github.io/questionarios/SRS2_IE_Pais_v1.html" TargetMode="External"/><Relationship Id="rId124" Type="http://schemas.openxmlformats.org/officeDocument/2006/relationships/hyperlink" Target="https://correiaricardina-ui.github.io/questionarios/RCADS25_Pais_v2.html" TargetMode="External"/><Relationship Id="rId125" Type="http://schemas.openxmlformats.org/officeDocument/2006/relationships/hyperlink" Target="https://correiaricardina-ui.github.io/questionarios/RCADS25_Youth_v2.html" TargetMode="External"/><Relationship Id="rId126" Type="http://schemas.openxmlformats.org/officeDocument/2006/relationships/hyperlink" Target="https://correiaricardina-ui.github.io/questionarios/RCADS47_Pais_v2.html" TargetMode="External"/><Relationship Id="rId127" Type="http://schemas.openxmlformats.org/officeDocument/2006/relationships/hyperlink" Target="https://correiaricardina-ui.github.io/questionarios/RCADS47_Youth_v2.html" TargetMode="External"/><Relationship Id="rId128" Type="http://schemas.openxmlformats.org/officeDocument/2006/relationships/hyperlink" Target="https://correiaricardina-ui.github.io/questionarios/RSES_v1.html" TargetMode="External"/><Relationship Id="rId129" Type="http://schemas.openxmlformats.org/officeDocument/2006/relationships/hyperlink" Target="https://correiaricardina-ui.github.io/questionarios/SCARED_R_Crianca.html" TargetMode="External"/><Relationship Id="rId130" Type="http://schemas.openxmlformats.org/officeDocument/2006/relationships/hyperlink" Target="https://correiaricardina-ui.github.io/questionarios/SCARED_R_Pais.html" TargetMode="External"/><Relationship Id="rId131" Type="http://schemas.openxmlformats.org/officeDocument/2006/relationships/hyperlink" Target="https://correiaricardina-ui.github.io/questionarios/PSI4_adap.html" TargetMode="External"/><Relationship Id="rId132" Type="http://schemas.openxmlformats.org/officeDocument/2006/relationships/hyperlink" Target="https://correiaricardina-ui.github.io/questionarios/SEQC_v2.html" TargetMode="External"/><Relationship Id="rId133" Type="http://schemas.openxmlformats.org/officeDocument/2006/relationships/hyperlink" Target="https://correiaricardina-ui.github.io/questionarios/SOCIOGRAMA_RC_v1.html" TargetMode="External"/><Relationship Id="rId134" Type="http://schemas.openxmlformats.org/officeDocument/2006/relationships/hyperlink" Target="https://correiaricardina-ui.github.io/questionarios/SPAS_Pais.html" TargetMode="External"/><Relationship Id="rId135" Type="http://schemas.openxmlformats.org/officeDocument/2006/relationships/hyperlink" Target="https://correiaricardina-ui.github.io/questionarios/SPAS_Educador.html" TargetMode="External"/><Relationship Id="rId136" Type="http://schemas.openxmlformats.org/officeDocument/2006/relationships/hyperlink" Target="https://correiaricardina-ui.github.io/questionarios/SPPA.html" TargetMode="External"/><Relationship Id="rId137" Type="http://schemas.openxmlformats.org/officeDocument/2006/relationships/hyperlink" Target="https://correiaricardina-ui.github.io/questionarios/SPPC_Bateria.html" TargetMode="External"/><Relationship Id="rId138" Type="http://schemas.openxmlformats.org/officeDocument/2006/relationships/hyperlink" Target="https://correiaricardina-ui.github.io/questionarios/SPPC_Professor.html" TargetMode="External"/><Relationship Id="rId139" Type="http://schemas.openxmlformats.org/officeDocument/2006/relationships/hyperlink" Target="https://correiaricardina-ui.github.io/questionarios/SPPCS_v1.html" TargetMode="External"/><Relationship Id="rId140" Type="http://schemas.openxmlformats.org/officeDocument/2006/relationships/hyperlink" Target="https://correiaricardina-ui.github.io/questionarios/SPPLD_Bateria.html" TargetMode="External"/><Relationship Id="rId141" Type="http://schemas.openxmlformats.org/officeDocument/2006/relationships/hyperlink" Target="https://correiaricardina-ui.github.io/questionarios/SRS2_IE_Prof_v1.html" TargetMode="External"/><Relationship Id="rId142" Type="http://schemas.openxmlformats.org/officeDocument/2006/relationships/hyperlink" Target="https://correiaricardina-ui.github.io/questionarios/IIM_AdolAdultos_v1.html" TargetMode="External"/><Relationship Id="rId143" Type="http://schemas.openxmlformats.org/officeDocument/2006/relationships/hyperlink" Target="https://correiaricardina-ui.github.io/questionarios/STAIC_C2_v1.html" TargetMode="External"/><Relationship Id="rId144" Type="http://schemas.openxmlformats.org/officeDocument/2006/relationships/hyperlink" Target="https://correiaricardina-ui.github.io/questionarios/STAXI_NA_v1.html" TargetMode="External"/><Relationship Id="rId145" Type="http://schemas.openxmlformats.org/officeDocument/2006/relationships/hyperlink" Target="https://correiaricardina-ui.github.io/questionarios/SWAN_v1.html" TargetMode="External"/><Relationship Id="rId146" Type="http://schemas.openxmlformats.org/officeDocument/2006/relationships/hyperlink" Target="https://correiaricardina-ui.github.io/questionarios/BSI_v1.html" TargetMode="External"/><Relationship Id="rId147"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2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25.5" hidden="false" customHeight="true" outlineLevel="0" collapsed="false">
      <c r="A1" s="2" t="s">
        <v>0</v>
      </c>
      <c r="B1" s="2"/>
      <c r="C1" s="2"/>
      <c r="D1" s="2"/>
      <c r="E1" s="2"/>
      <c r="F1" s="2"/>
      <c r="G1" s="2"/>
      <c r="H1" s="2"/>
      <c r="I1" s="2"/>
      <c r="J1" s="2"/>
      <c r="K1" s="2"/>
      <c r="L1" s="2"/>
      <c r="M1" s="2"/>
    </row>
    <row r="2" customFormat="false" ht="15.75" hidden="false" customHeight="true" outlineLevel="0" collapsed="false">
      <c r="A2" s="3" t="s">
        <v>1</v>
      </c>
      <c r="B2" s="3"/>
      <c r="C2" s="3"/>
      <c r="D2" s="3"/>
      <c r="E2" s="3"/>
      <c r="F2" s="3"/>
      <c r="G2" s="3"/>
      <c r="H2" s="3"/>
      <c r="I2" s="3"/>
      <c r="J2" s="3"/>
      <c r="K2" s="3"/>
      <c r="L2" s="3"/>
      <c r="M2" s="3"/>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ROW()-3</f>
        <v>1</v>
      </c>
      <c r="B4" s="6" t="s">
        <v>15</v>
      </c>
      <c r="C4" s="6" t="s">
        <v>16</v>
      </c>
      <c r="D4" s="6" t="s">
        <v>17</v>
      </c>
      <c r="E4" s="6" t="s">
        <v>18</v>
      </c>
      <c r="F4" s="5" t="n">
        <v>16</v>
      </c>
      <c r="G4" s="5" t="n">
        <v>99</v>
      </c>
      <c r="H4" s="5" t="n">
        <v>4</v>
      </c>
      <c r="I4" s="6" t="s">
        <v>19</v>
      </c>
      <c r="J4" s="6" t="s">
        <v>20</v>
      </c>
      <c r="K4" s="6" t="s">
        <v>21</v>
      </c>
      <c r="L4" s="6" t="s">
        <v>22</v>
      </c>
      <c r="M4" s="7" t="s">
        <v>23</v>
      </c>
    </row>
    <row r="5" customFormat="false" ht="42" hidden="false" customHeight="true" outlineLevel="0" collapsed="false">
      <c r="A5" s="5" t="n">
        <f aca="false">ROW()-3</f>
        <v>2</v>
      </c>
      <c r="B5" s="6" t="s">
        <v>24</v>
      </c>
      <c r="C5" s="6" t="s">
        <v>16</v>
      </c>
      <c r="D5" s="6" t="s">
        <v>25</v>
      </c>
      <c r="E5" s="6" t="s">
        <v>26</v>
      </c>
      <c r="F5" s="5" t="n">
        <v>0</v>
      </c>
      <c r="G5" s="5" t="n">
        <v>5.9</v>
      </c>
      <c r="H5" s="5" t="n">
        <v>4</v>
      </c>
      <c r="I5" s="6" t="s">
        <v>27</v>
      </c>
      <c r="J5" s="6" t="s">
        <v>28</v>
      </c>
      <c r="K5" s="6" t="s">
        <v>29</v>
      </c>
      <c r="L5" s="6" t="s">
        <v>30</v>
      </c>
      <c r="M5" s="7" t="s">
        <v>31</v>
      </c>
    </row>
    <row r="6" customFormat="false" ht="42" hidden="false" customHeight="true" outlineLevel="0" collapsed="false">
      <c r="A6" s="5" t="n">
        <f aca="false">ROW()-3</f>
        <v>3</v>
      </c>
      <c r="B6" s="6" t="s">
        <v>32</v>
      </c>
      <c r="C6" s="6" t="s">
        <v>16</v>
      </c>
      <c r="D6" s="6" t="s">
        <v>33</v>
      </c>
      <c r="E6" s="6" t="s">
        <v>34</v>
      </c>
      <c r="F6" s="5" t="n">
        <v>6</v>
      </c>
      <c r="G6" s="5" t="n">
        <v>20.9</v>
      </c>
      <c r="H6" s="5" t="n">
        <v>4</v>
      </c>
      <c r="I6" s="6" t="s">
        <v>35</v>
      </c>
      <c r="J6" s="6" t="s">
        <v>28</v>
      </c>
      <c r="K6" s="6" t="s">
        <v>36</v>
      </c>
      <c r="L6" s="6" t="s">
        <v>37</v>
      </c>
      <c r="M6" s="7" t="s">
        <v>38</v>
      </c>
    </row>
    <row r="7" customFormat="false" ht="42" hidden="false" customHeight="true" outlineLevel="0" collapsed="false">
      <c r="A7" s="5" t="n">
        <f aca="false">ROW()-3</f>
        <v>4</v>
      </c>
      <c r="B7" s="6" t="s">
        <v>39</v>
      </c>
      <c r="C7" s="6" t="s">
        <v>16</v>
      </c>
      <c r="D7" s="6" t="s">
        <v>33</v>
      </c>
      <c r="E7" s="6" t="s">
        <v>26</v>
      </c>
      <c r="F7" s="5" t="n">
        <v>0</v>
      </c>
      <c r="G7" s="5" t="n">
        <v>5.9</v>
      </c>
      <c r="H7" s="5" t="n">
        <v>4</v>
      </c>
      <c r="I7" s="6" t="s">
        <v>40</v>
      </c>
      <c r="J7" s="6" t="s">
        <v>28</v>
      </c>
      <c r="K7" s="6" t="s">
        <v>41</v>
      </c>
      <c r="L7" s="6" t="s">
        <v>42</v>
      </c>
      <c r="M7" s="7" t="s">
        <v>43</v>
      </c>
    </row>
    <row r="8" customFormat="false" ht="42" hidden="false" customHeight="true" outlineLevel="0" collapsed="false">
      <c r="A8" s="5" t="n">
        <f aca="false">ROW()-3</f>
        <v>5</v>
      </c>
      <c r="B8" s="6" t="s">
        <v>44</v>
      </c>
      <c r="C8" s="6" t="s">
        <v>16</v>
      </c>
      <c r="D8" s="6" t="s">
        <v>45</v>
      </c>
      <c r="E8" s="6" t="s">
        <v>34</v>
      </c>
      <c r="F8" s="5" t="n">
        <v>6</v>
      </c>
      <c r="G8" s="5" t="n">
        <v>20.9</v>
      </c>
      <c r="H8" s="5" t="n">
        <v>4</v>
      </c>
      <c r="I8" s="6" t="s">
        <v>46</v>
      </c>
      <c r="J8" s="6" t="s">
        <v>28</v>
      </c>
      <c r="K8" s="6" t="s">
        <v>47</v>
      </c>
      <c r="L8" s="6" t="s">
        <v>48</v>
      </c>
      <c r="M8" s="7" t="s">
        <v>49</v>
      </c>
    </row>
    <row r="9" customFormat="false" ht="42" hidden="false" customHeight="true" outlineLevel="0" collapsed="false">
      <c r="A9" s="5" t="n">
        <f aca="false">ROW()-3</f>
        <v>6</v>
      </c>
      <c r="B9" s="6" t="s">
        <v>50</v>
      </c>
      <c r="C9" s="6" t="s">
        <v>51</v>
      </c>
      <c r="D9" s="6" t="s">
        <v>33</v>
      </c>
      <c r="E9" s="6" t="s">
        <v>52</v>
      </c>
      <c r="F9" s="5" t="n">
        <v>0</v>
      </c>
      <c r="G9" s="5" t="n">
        <v>83.2</v>
      </c>
      <c r="H9" s="5" t="n">
        <v>5</v>
      </c>
      <c r="I9" s="6" t="s">
        <v>53</v>
      </c>
      <c r="J9" s="6" t="s">
        <v>54</v>
      </c>
      <c r="K9" s="6" t="s">
        <v>55</v>
      </c>
      <c r="L9" s="6" t="s">
        <v>56</v>
      </c>
      <c r="M9" s="7" t="s">
        <v>57</v>
      </c>
    </row>
    <row r="10" customFormat="false" ht="42" hidden="false" customHeight="true" outlineLevel="0" collapsed="false">
      <c r="A10" s="5" t="n">
        <f aca="false">ROW()-3</f>
        <v>7</v>
      </c>
      <c r="B10" s="6" t="s">
        <v>58</v>
      </c>
      <c r="C10" s="6" t="s">
        <v>51</v>
      </c>
      <c r="D10" s="6" t="s">
        <v>33</v>
      </c>
      <c r="E10" s="6" t="s">
        <v>52</v>
      </c>
      <c r="F10" s="5" t="n">
        <v>0</v>
      </c>
      <c r="G10" s="5" t="n">
        <v>83.2</v>
      </c>
      <c r="H10" s="5" t="n">
        <v>4</v>
      </c>
      <c r="I10" s="6" t="s">
        <v>59</v>
      </c>
      <c r="J10" s="6" t="s">
        <v>60</v>
      </c>
      <c r="K10" s="6" t="s">
        <v>61</v>
      </c>
      <c r="L10" s="6" t="s">
        <v>62</v>
      </c>
      <c r="M10" s="7" t="s">
        <v>63</v>
      </c>
    </row>
    <row r="11" customFormat="false" ht="42" hidden="false" customHeight="true" outlineLevel="0" collapsed="false">
      <c r="A11" s="5" t="n">
        <f aca="false">ROW()-3</f>
        <v>8</v>
      </c>
      <c r="B11" s="6" t="s">
        <v>64</v>
      </c>
      <c r="C11" s="6" t="s">
        <v>51</v>
      </c>
      <c r="D11" s="6" t="s">
        <v>33</v>
      </c>
      <c r="E11" s="6" t="s">
        <v>65</v>
      </c>
      <c r="F11" s="5" t="n">
        <v>0</v>
      </c>
      <c r="G11" s="5" t="n">
        <v>99</v>
      </c>
      <c r="H11" s="5" t="n">
        <v>5</v>
      </c>
      <c r="I11" s="6" t="s">
        <v>66</v>
      </c>
      <c r="J11" s="6" t="s">
        <v>67</v>
      </c>
      <c r="K11" s="6" t="s">
        <v>68</v>
      </c>
      <c r="L11" s="6" t="s">
        <v>69</v>
      </c>
      <c r="M11" s="7" t="s">
        <v>70</v>
      </c>
    </row>
    <row r="12" customFormat="false" ht="42" hidden="false" customHeight="true" outlineLevel="0" collapsed="false">
      <c r="A12" s="5" t="n">
        <f aca="false">ROW()-3</f>
        <v>9</v>
      </c>
      <c r="B12" s="6" t="s">
        <v>71</v>
      </c>
      <c r="C12" s="6" t="s">
        <v>72</v>
      </c>
      <c r="D12" s="6" t="s">
        <v>17</v>
      </c>
      <c r="E12" s="6" t="s">
        <v>73</v>
      </c>
      <c r="F12" s="5" t="n">
        <v>16</v>
      </c>
      <c r="G12" s="5" t="n">
        <v>99</v>
      </c>
      <c r="H12" s="5" t="n">
        <v>5</v>
      </c>
      <c r="I12" s="6" t="s">
        <v>74</v>
      </c>
      <c r="J12" s="6" t="s">
        <v>75</v>
      </c>
      <c r="K12" s="6" t="s">
        <v>76</v>
      </c>
      <c r="L12" s="6" t="s">
        <v>77</v>
      </c>
      <c r="M12" s="7" t="s">
        <v>78</v>
      </c>
    </row>
    <row r="13" customFormat="false" ht="42" hidden="false" customHeight="true" outlineLevel="0" collapsed="false">
      <c r="A13" s="5" t="n">
        <f aca="false">ROW()-3</f>
        <v>10</v>
      </c>
      <c r="B13" s="6" t="s">
        <v>79</v>
      </c>
      <c r="C13" s="6" t="s">
        <v>16</v>
      </c>
      <c r="D13" s="6" t="s">
        <v>33</v>
      </c>
      <c r="E13" s="6" t="s">
        <v>80</v>
      </c>
      <c r="F13" s="5" t="n">
        <v>4</v>
      </c>
      <c r="G13" s="5" t="n">
        <v>11.9</v>
      </c>
      <c r="H13" s="5" t="n">
        <v>6</v>
      </c>
      <c r="I13" s="6" t="s">
        <v>81</v>
      </c>
      <c r="J13" s="6" t="s">
        <v>82</v>
      </c>
      <c r="K13" s="6" t="s">
        <v>83</v>
      </c>
      <c r="L13" s="6" t="s">
        <v>84</v>
      </c>
      <c r="M13" s="7" t="s">
        <v>85</v>
      </c>
    </row>
    <row r="14" customFormat="false" ht="42" hidden="false" customHeight="true" outlineLevel="0" collapsed="false">
      <c r="A14" s="5" t="n">
        <f aca="false">ROW()-3</f>
        <v>11</v>
      </c>
      <c r="B14" s="6" t="s">
        <v>86</v>
      </c>
      <c r="C14" s="6" t="s">
        <v>72</v>
      </c>
      <c r="D14" s="6" t="s">
        <v>87</v>
      </c>
      <c r="E14" s="6" t="s">
        <v>88</v>
      </c>
      <c r="F14" s="5" t="n">
        <v>1.5</v>
      </c>
      <c r="G14" s="5" t="n">
        <v>5.9</v>
      </c>
      <c r="H14" s="5" t="n">
        <v>10</v>
      </c>
      <c r="I14" s="6" t="s">
        <v>89</v>
      </c>
      <c r="J14" s="6" t="s">
        <v>90</v>
      </c>
      <c r="K14" s="6" t="s">
        <v>91</v>
      </c>
      <c r="L14" s="6" t="s">
        <v>92</v>
      </c>
      <c r="M14" s="7" t="s">
        <v>93</v>
      </c>
    </row>
    <row r="15" customFormat="false" ht="42" hidden="false" customHeight="true" outlineLevel="0" collapsed="false">
      <c r="A15" s="5" t="n">
        <f aca="false">ROW()-3</f>
        <v>12</v>
      </c>
      <c r="B15" s="6" t="s">
        <v>94</v>
      </c>
      <c r="C15" s="6" t="s">
        <v>72</v>
      </c>
      <c r="D15" s="6" t="s">
        <v>87</v>
      </c>
      <c r="E15" s="6" t="s">
        <v>95</v>
      </c>
      <c r="F15" s="5" t="n">
        <v>6</v>
      </c>
      <c r="G15" s="5" t="n">
        <v>17.9</v>
      </c>
      <c r="H15" s="5" t="n">
        <v>10</v>
      </c>
      <c r="I15" s="6" t="s">
        <v>96</v>
      </c>
      <c r="J15" s="6" t="s">
        <v>97</v>
      </c>
      <c r="K15" s="6" t="s">
        <v>98</v>
      </c>
      <c r="L15" s="6" t="s">
        <v>99</v>
      </c>
      <c r="M15" s="7" t="s">
        <v>100</v>
      </c>
    </row>
    <row r="16" customFormat="false" ht="42" hidden="false" customHeight="true" outlineLevel="0" collapsed="false">
      <c r="A16" s="5" t="n">
        <f aca="false">ROW()-3</f>
        <v>13</v>
      </c>
      <c r="B16" s="6" t="s">
        <v>101</v>
      </c>
      <c r="C16" s="6" t="s">
        <v>72</v>
      </c>
      <c r="D16" s="6" t="s">
        <v>45</v>
      </c>
      <c r="E16" s="6" t="s">
        <v>95</v>
      </c>
      <c r="F16" s="5" t="n">
        <v>6</v>
      </c>
      <c r="G16" s="5" t="n">
        <v>17.9</v>
      </c>
      <c r="H16" s="5" t="n">
        <v>5</v>
      </c>
      <c r="I16" s="6" t="s">
        <v>102</v>
      </c>
      <c r="J16" s="6" t="s">
        <v>103</v>
      </c>
      <c r="K16" s="6" t="s">
        <v>104</v>
      </c>
      <c r="L16" s="6" t="s">
        <v>105</v>
      </c>
      <c r="M16" s="7" t="s">
        <v>106</v>
      </c>
    </row>
    <row r="17" customFormat="false" ht="42" hidden="false" customHeight="true" outlineLevel="0" collapsed="false">
      <c r="A17" s="5" t="n">
        <f aca="false">ROW()-3</f>
        <v>14</v>
      </c>
      <c r="B17" s="6" t="s">
        <v>107</v>
      </c>
      <c r="C17" s="6" t="s">
        <v>72</v>
      </c>
      <c r="D17" s="6" t="s">
        <v>17</v>
      </c>
      <c r="E17" s="6" t="s">
        <v>108</v>
      </c>
      <c r="F17" s="5" t="n">
        <v>11</v>
      </c>
      <c r="G17" s="5" t="n">
        <v>17.9</v>
      </c>
      <c r="H17" s="5" t="n">
        <v>9</v>
      </c>
      <c r="I17" s="6" t="s">
        <v>109</v>
      </c>
      <c r="J17" s="6" t="s">
        <v>110</v>
      </c>
      <c r="K17" s="6" t="s">
        <v>111</v>
      </c>
      <c r="L17" s="6" t="s">
        <v>112</v>
      </c>
      <c r="M17" s="7" t="s">
        <v>113</v>
      </c>
    </row>
    <row r="18" customFormat="false" ht="42" hidden="false" customHeight="true" outlineLevel="0" collapsed="false">
      <c r="A18" s="5" t="n">
        <f aca="false">ROW()-3</f>
        <v>15</v>
      </c>
      <c r="B18" s="6" t="s">
        <v>114</v>
      </c>
      <c r="C18" s="6" t="s">
        <v>115</v>
      </c>
      <c r="D18" s="6" t="s">
        <v>17</v>
      </c>
      <c r="E18" s="6" t="s">
        <v>108</v>
      </c>
      <c r="F18" s="5" t="n">
        <v>11</v>
      </c>
      <c r="G18" s="5" t="n">
        <v>17.9</v>
      </c>
      <c r="H18" s="5" t="n">
        <v>6</v>
      </c>
      <c r="I18" s="6" t="s">
        <v>116</v>
      </c>
      <c r="J18" s="6" t="s">
        <v>117</v>
      </c>
      <c r="K18" s="6" t="s">
        <v>118</v>
      </c>
      <c r="L18" s="6" t="s">
        <v>119</v>
      </c>
      <c r="M18" s="7" t="s">
        <v>120</v>
      </c>
    </row>
    <row r="19" customFormat="false" ht="42" hidden="false" customHeight="true" outlineLevel="0" collapsed="false">
      <c r="A19" s="5" t="n">
        <f aca="false">ROW()-3</f>
        <v>16</v>
      </c>
      <c r="B19" s="6" t="s">
        <v>121</v>
      </c>
      <c r="C19" s="6" t="s">
        <v>122</v>
      </c>
      <c r="D19" s="6" t="s">
        <v>123</v>
      </c>
      <c r="E19" s="6" t="s">
        <v>124</v>
      </c>
      <c r="F19" s="5" t="n">
        <v>12</v>
      </c>
      <c r="G19" s="5" t="n">
        <v>99</v>
      </c>
      <c r="H19" s="5" t="n">
        <v>3</v>
      </c>
      <c r="I19" s="6" t="s">
        <v>125</v>
      </c>
      <c r="J19" s="6" t="s">
        <v>126</v>
      </c>
      <c r="K19" s="6" t="s">
        <v>127</v>
      </c>
      <c r="L19" s="6" t="s">
        <v>128</v>
      </c>
      <c r="M19" s="7" t="s">
        <v>129</v>
      </c>
    </row>
    <row r="20" customFormat="false" ht="42" hidden="false" customHeight="true" outlineLevel="0" collapsed="false">
      <c r="A20" s="5" t="n">
        <f aca="false">ROW()-3</f>
        <v>17</v>
      </c>
      <c r="B20" s="6" t="s">
        <v>130</v>
      </c>
      <c r="C20" s="6" t="s">
        <v>131</v>
      </c>
      <c r="D20" s="6" t="s">
        <v>17</v>
      </c>
      <c r="E20" s="6" t="s">
        <v>108</v>
      </c>
      <c r="F20" s="5" t="n">
        <v>11</v>
      </c>
      <c r="G20" s="5" t="n">
        <v>17.9</v>
      </c>
      <c r="H20" s="5" t="n">
        <v>11</v>
      </c>
      <c r="I20" s="6" t="s">
        <v>132</v>
      </c>
      <c r="J20" s="6" t="s">
        <v>133</v>
      </c>
      <c r="K20" s="6" t="s">
        <v>134</v>
      </c>
      <c r="L20" s="6" t="s">
        <v>135</v>
      </c>
      <c r="M20" s="7" t="s">
        <v>136</v>
      </c>
    </row>
    <row r="21" customFormat="false" ht="42" hidden="false" customHeight="true" outlineLevel="0" collapsed="false">
      <c r="A21" s="5" t="n">
        <f aca="false">ROW()-3</f>
        <v>18</v>
      </c>
      <c r="B21" s="6" t="s">
        <v>137</v>
      </c>
      <c r="C21" s="6" t="s">
        <v>131</v>
      </c>
      <c r="D21" s="6" t="s">
        <v>33</v>
      </c>
      <c r="E21" s="6" t="s">
        <v>138</v>
      </c>
      <c r="F21" s="5" t="n">
        <v>5</v>
      </c>
      <c r="G21" s="5" t="n">
        <v>17.9</v>
      </c>
      <c r="H21" s="5" t="n">
        <v>9</v>
      </c>
      <c r="I21" s="6" t="s">
        <v>139</v>
      </c>
      <c r="J21" s="6" t="s">
        <v>140</v>
      </c>
      <c r="K21" s="6" t="s">
        <v>141</v>
      </c>
      <c r="L21" s="6" t="s">
        <v>142</v>
      </c>
      <c r="M21" s="7" t="s">
        <v>143</v>
      </c>
    </row>
    <row r="22" customFormat="false" ht="42" hidden="false" customHeight="true" outlineLevel="0" collapsed="false">
      <c r="A22" s="5" t="n">
        <f aca="false">ROW()-3</f>
        <v>19</v>
      </c>
      <c r="B22" s="6" t="s">
        <v>144</v>
      </c>
      <c r="C22" s="6" t="s">
        <v>131</v>
      </c>
      <c r="D22" s="6" t="s">
        <v>45</v>
      </c>
      <c r="E22" s="6" t="s">
        <v>138</v>
      </c>
      <c r="F22" s="5" t="n">
        <v>5</v>
      </c>
      <c r="G22" s="5" t="n">
        <v>17.9</v>
      </c>
      <c r="H22" s="5" t="n">
        <v>9</v>
      </c>
      <c r="I22" s="6" t="s">
        <v>145</v>
      </c>
      <c r="J22" s="6" t="s">
        <v>140</v>
      </c>
      <c r="K22" s="6" t="s">
        <v>146</v>
      </c>
      <c r="L22" s="6" t="s">
        <v>147</v>
      </c>
      <c r="M22" s="7" t="s">
        <v>148</v>
      </c>
    </row>
    <row r="23" customFormat="false" ht="42" hidden="false" customHeight="true" outlineLevel="0" collapsed="false">
      <c r="A23" s="5" t="n">
        <f aca="false">ROW()-3</f>
        <v>20</v>
      </c>
      <c r="B23" s="6" t="s">
        <v>149</v>
      </c>
      <c r="C23" s="6" t="s">
        <v>131</v>
      </c>
      <c r="D23" s="6" t="s">
        <v>33</v>
      </c>
      <c r="E23" s="6" t="s">
        <v>150</v>
      </c>
      <c r="F23" s="5" t="n">
        <v>2</v>
      </c>
      <c r="G23" s="5" t="n">
        <v>5.9</v>
      </c>
      <c r="H23" s="5" t="n">
        <v>9</v>
      </c>
      <c r="I23" s="6" t="s">
        <v>151</v>
      </c>
      <c r="J23" s="6" t="s">
        <v>140</v>
      </c>
      <c r="K23" s="6" t="s">
        <v>152</v>
      </c>
      <c r="L23" s="6" t="s">
        <v>153</v>
      </c>
      <c r="M23" s="7" t="s">
        <v>154</v>
      </c>
    </row>
    <row r="24" customFormat="false" ht="42" hidden="false" customHeight="true" outlineLevel="0" collapsed="false">
      <c r="A24" s="5" t="n">
        <f aca="false">ROW()-3</f>
        <v>21</v>
      </c>
      <c r="B24" s="6" t="s">
        <v>155</v>
      </c>
      <c r="C24" s="6" t="s">
        <v>131</v>
      </c>
      <c r="D24" s="6" t="s">
        <v>156</v>
      </c>
      <c r="E24" s="6" t="s">
        <v>150</v>
      </c>
      <c r="F24" s="5" t="n">
        <v>2</v>
      </c>
      <c r="G24" s="5" t="n">
        <v>5.9</v>
      </c>
      <c r="H24" s="5" t="n">
        <v>9</v>
      </c>
      <c r="I24" s="6" t="s">
        <v>157</v>
      </c>
      <c r="J24" s="6" t="s">
        <v>140</v>
      </c>
      <c r="K24" s="6" t="s">
        <v>158</v>
      </c>
      <c r="L24" s="6" t="s">
        <v>159</v>
      </c>
      <c r="M24" s="7" t="s">
        <v>160</v>
      </c>
    </row>
    <row r="25" customFormat="false" ht="42" hidden="false" customHeight="true" outlineLevel="0" collapsed="false">
      <c r="A25" s="5" t="n">
        <f aca="false">ROW()-3</f>
        <v>22</v>
      </c>
      <c r="B25" s="6" t="s">
        <v>161</v>
      </c>
      <c r="C25" s="6" t="s">
        <v>162</v>
      </c>
      <c r="D25" s="6" t="s">
        <v>163</v>
      </c>
      <c r="E25" s="6" t="s">
        <v>164</v>
      </c>
      <c r="F25" s="5" t="n">
        <v>1.1</v>
      </c>
      <c r="G25" s="5" t="n">
        <v>99</v>
      </c>
      <c r="H25" s="5" t="n">
        <v>12</v>
      </c>
      <c r="I25" s="6" t="s">
        <v>165</v>
      </c>
      <c r="J25" s="6" t="s">
        <v>166</v>
      </c>
      <c r="K25" s="6" t="s">
        <v>167</v>
      </c>
      <c r="L25" s="6" t="s">
        <v>168</v>
      </c>
      <c r="M25" s="7" t="s">
        <v>169</v>
      </c>
    </row>
    <row r="26" customFormat="false" ht="42" hidden="false" customHeight="true" outlineLevel="0" collapsed="false">
      <c r="A26" s="5" t="n">
        <f aca="false">ROW()-3</f>
        <v>23</v>
      </c>
      <c r="B26" s="6" t="s">
        <v>170</v>
      </c>
      <c r="C26" s="6" t="s">
        <v>171</v>
      </c>
      <c r="D26" s="6" t="s">
        <v>172</v>
      </c>
      <c r="E26" s="6" t="s">
        <v>173</v>
      </c>
      <c r="F26" s="5" t="n">
        <v>0.7</v>
      </c>
      <c r="G26" s="5" t="n">
        <v>1.5</v>
      </c>
      <c r="H26" s="5" t="n">
        <v>4</v>
      </c>
      <c r="I26" s="6" t="s">
        <v>174</v>
      </c>
      <c r="J26" s="6" t="s">
        <v>175</v>
      </c>
      <c r="K26" s="6" t="s">
        <v>176</v>
      </c>
      <c r="L26" s="6" t="s">
        <v>177</v>
      </c>
      <c r="M26" s="7" t="s">
        <v>178</v>
      </c>
    </row>
    <row r="27" customFormat="false" ht="42" hidden="false" customHeight="true" outlineLevel="0" collapsed="false">
      <c r="A27" s="5" t="n">
        <f aca="false">ROW()-3</f>
        <v>24</v>
      </c>
      <c r="B27" s="6" t="s">
        <v>179</v>
      </c>
      <c r="C27" s="6" t="s">
        <v>171</v>
      </c>
      <c r="D27" s="6" t="s">
        <v>33</v>
      </c>
      <c r="E27" s="6" t="s">
        <v>180</v>
      </c>
      <c r="F27" s="5" t="n">
        <v>0.3</v>
      </c>
      <c r="G27" s="5" t="n">
        <v>1.5</v>
      </c>
      <c r="H27" s="5" t="n">
        <v>4</v>
      </c>
      <c r="I27" s="6" t="s">
        <v>181</v>
      </c>
      <c r="J27" s="6" t="s">
        <v>175</v>
      </c>
      <c r="K27" s="6" t="s">
        <v>182</v>
      </c>
      <c r="L27" s="6" t="s">
        <v>183</v>
      </c>
      <c r="M27" s="7" t="s">
        <v>184</v>
      </c>
    </row>
    <row r="28" customFormat="false" ht="42" hidden="false" customHeight="true" outlineLevel="0" collapsed="false">
      <c r="A28" s="5" t="n">
        <f aca="false">ROW()-3</f>
        <v>25</v>
      </c>
      <c r="B28" s="6" t="s">
        <v>185</v>
      </c>
      <c r="C28" s="6" t="s">
        <v>186</v>
      </c>
      <c r="D28" s="6" t="s">
        <v>187</v>
      </c>
      <c r="E28" s="6" t="s">
        <v>188</v>
      </c>
      <c r="F28" s="5" t="n">
        <v>6</v>
      </c>
      <c r="G28" s="5" t="n">
        <v>100</v>
      </c>
      <c r="H28" s="5" t="n">
        <v>15</v>
      </c>
      <c r="I28" s="6" t="s">
        <v>189</v>
      </c>
      <c r="J28" s="6" t="s">
        <v>190</v>
      </c>
      <c r="K28" s="6" t="s">
        <v>191</v>
      </c>
      <c r="L28" s="6" t="s">
        <v>192</v>
      </c>
      <c r="M28" s="7" t="s">
        <v>193</v>
      </c>
    </row>
    <row r="29" customFormat="false" ht="42" hidden="false" customHeight="true" outlineLevel="0" collapsed="false">
      <c r="A29" s="5" t="n">
        <f aca="false">ROW()-3</f>
        <v>26</v>
      </c>
      <c r="B29" s="6" t="s">
        <v>194</v>
      </c>
      <c r="C29" s="6" t="s">
        <v>186</v>
      </c>
      <c r="D29" s="6" t="s">
        <v>195</v>
      </c>
      <c r="E29" s="6" t="s">
        <v>196</v>
      </c>
      <c r="F29" s="5" t="n">
        <v>0</v>
      </c>
      <c r="G29" s="5" t="n">
        <v>100</v>
      </c>
      <c r="H29" s="5" t="n">
        <v>15</v>
      </c>
      <c r="I29" s="6" t="s">
        <v>197</v>
      </c>
      <c r="J29" s="6" t="s">
        <v>198</v>
      </c>
      <c r="K29" s="6" t="s">
        <v>199</v>
      </c>
      <c r="L29" s="6" t="s">
        <v>200</v>
      </c>
      <c r="M29" s="7" t="s">
        <v>201</v>
      </c>
    </row>
    <row r="30" customFormat="false" ht="42" hidden="false" customHeight="true" outlineLevel="0" collapsed="false">
      <c r="A30" s="5" t="n">
        <f aca="false">ROW()-3</f>
        <v>27</v>
      </c>
      <c r="B30" s="6" t="s">
        <v>202</v>
      </c>
      <c r="C30" s="6" t="s">
        <v>186</v>
      </c>
      <c r="D30" s="6" t="s">
        <v>187</v>
      </c>
      <c r="E30" s="6" t="s">
        <v>203</v>
      </c>
      <c r="F30" s="5" t="n">
        <v>0</v>
      </c>
      <c r="G30" s="5" t="n">
        <v>100</v>
      </c>
      <c r="H30" s="5" t="n">
        <v>15</v>
      </c>
      <c r="I30" s="6" t="s">
        <v>204</v>
      </c>
      <c r="J30" s="6" t="s">
        <v>205</v>
      </c>
      <c r="K30" s="6" t="s">
        <v>206</v>
      </c>
      <c r="L30" s="6" t="s">
        <v>207</v>
      </c>
      <c r="M30" s="7" t="s">
        <v>208</v>
      </c>
    </row>
    <row r="31" customFormat="false" ht="42" hidden="false" customHeight="true" outlineLevel="0" collapsed="false">
      <c r="A31" s="5" t="n">
        <f aca="false">ROW()-3</f>
        <v>28</v>
      </c>
      <c r="B31" s="6" t="s">
        <v>209</v>
      </c>
      <c r="C31" s="6" t="s">
        <v>210</v>
      </c>
      <c r="D31" s="6" t="s">
        <v>211</v>
      </c>
      <c r="E31" s="6" t="s">
        <v>212</v>
      </c>
      <c r="F31" s="5" t="n">
        <v>6</v>
      </c>
      <c r="G31" s="5" t="n">
        <v>99</v>
      </c>
      <c r="H31" s="5" t="n">
        <v>4</v>
      </c>
      <c r="I31" s="6" t="s">
        <v>213</v>
      </c>
      <c r="J31" s="6" t="s">
        <v>214</v>
      </c>
      <c r="K31" s="6" t="s">
        <v>215</v>
      </c>
      <c r="L31" s="6" t="s">
        <v>216</v>
      </c>
      <c r="M31" s="7" t="s">
        <v>217</v>
      </c>
    </row>
    <row r="32" customFormat="false" ht="42" hidden="false" customHeight="true" outlineLevel="0" collapsed="false">
      <c r="A32" s="5" t="n">
        <f aca="false">ROW()-3</f>
        <v>29</v>
      </c>
      <c r="B32" s="6" t="s">
        <v>218</v>
      </c>
      <c r="C32" s="6" t="s">
        <v>219</v>
      </c>
      <c r="D32" s="6" t="s">
        <v>17</v>
      </c>
      <c r="E32" s="6" t="s">
        <v>220</v>
      </c>
      <c r="F32" s="5" t="n">
        <v>7</v>
      </c>
      <c r="G32" s="5" t="n">
        <v>17.9</v>
      </c>
      <c r="H32" s="5" t="n">
        <v>7</v>
      </c>
      <c r="I32" s="6" t="s">
        <v>221</v>
      </c>
      <c r="J32" s="6" t="s">
        <v>222</v>
      </c>
      <c r="K32" s="6" t="s">
        <v>223</v>
      </c>
      <c r="L32" s="6" t="s">
        <v>224</v>
      </c>
      <c r="M32" s="7" t="s">
        <v>225</v>
      </c>
    </row>
    <row r="33" customFormat="false" ht="42" hidden="false" customHeight="true" outlineLevel="0" collapsed="false">
      <c r="A33" s="5" t="n">
        <f aca="false">ROW()-3</f>
        <v>30</v>
      </c>
      <c r="B33" s="6" t="s">
        <v>226</v>
      </c>
      <c r="C33" s="6" t="s">
        <v>210</v>
      </c>
      <c r="D33" s="6" t="s">
        <v>17</v>
      </c>
      <c r="E33" s="6" t="s">
        <v>164</v>
      </c>
      <c r="F33" s="5" t="n">
        <v>13</v>
      </c>
      <c r="G33" s="5" t="n">
        <v>99</v>
      </c>
      <c r="H33" s="5" t="n">
        <v>10</v>
      </c>
      <c r="I33" s="6" t="s">
        <v>227</v>
      </c>
      <c r="J33" s="6" t="s">
        <v>228</v>
      </c>
      <c r="K33" s="6" t="s">
        <v>229</v>
      </c>
      <c r="L33" s="6" t="s">
        <v>230</v>
      </c>
      <c r="M33" s="7" t="s">
        <v>231</v>
      </c>
    </row>
    <row r="34" customFormat="false" ht="42" hidden="false" customHeight="true" outlineLevel="0" collapsed="false">
      <c r="A34" s="5" t="n">
        <f aca="false">ROW()-3</f>
        <v>31</v>
      </c>
      <c r="B34" s="6" t="s">
        <v>232</v>
      </c>
      <c r="C34" s="6" t="s">
        <v>210</v>
      </c>
      <c r="D34" s="6" t="s">
        <v>17</v>
      </c>
      <c r="E34" s="6" t="s">
        <v>233</v>
      </c>
      <c r="F34" s="5" t="n">
        <v>12</v>
      </c>
      <c r="G34" s="5" t="n">
        <v>99</v>
      </c>
      <c r="H34" s="5" t="n">
        <v>11</v>
      </c>
      <c r="I34" s="6" t="s">
        <v>234</v>
      </c>
      <c r="J34" s="6" t="s">
        <v>235</v>
      </c>
      <c r="K34" s="6" t="s">
        <v>236</v>
      </c>
      <c r="L34" s="6" t="s">
        <v>237</v>
      </c>
      <c r="M34" s="7" t="s">
        <v>238</v>
      </c>
    </row>
    <row r="35" customFormat="false" ht="42" hidden="false" customHeight="true" outlineLevel="0" collapsed="false">
      <c r="A35" s="5" t="n">
        <f aca="false">ROW()-3</f>
        <v>32</v>
      </c>
      <c r="B35" s="6" t="s">
        <v>239</v>
      </c>
      <c r="C35" s="6" t="s">
        <v>210</v>
      </c>
      <c r="D35" s="6" t="s">
        <v>17</v>
      </c>
      <c r="E35" s="6" t="s">
        <v>240</v>
      </c>
      <c r="F35" s="5" t="n">
        <v>9</v>
      </c>
      <c r="G35" s="5" t="n">
        <v>11.9</v>
      </c>
      <c r="H35" s="5" t="n">
        <v>11</v>
      </c>
      <c r="I35" s="6" t="s">
        <v>241</v>
      </c>
      <c r="J35" s="6" t="s">
        <v>235</v>
      </c>
      <c r="K35" s="6" t="s">
        <v>242</v>
      </c>
      <c r="L35" s="6" t="s">
        <v>243</v>
      </c>
      <c r="M35" s="7" t="s">
        <v>244</v>
      </c>
    </row>
    <row r="36" customFormat="false" ht="42" hidden="false" customHeight="true" outlineLevel="0" collapsed="false">
      <c r="A36" s="5" t="n">
        <f aca="false">ROW()-3</f>
        <v>33</v>
      </c>
      <c r="B36" s="6" t="s">
        <v>245</v>
      </c>
      <c r="C36" s="6" t="s">
        <v>122</v>
      </c>
      <c r="D36" s="6" t="s">
        <v>17</v>
      </c>
      <c r="E36" s="6" t="s">
        <v>246</v>
      </c>
      <c r="F36" s="5" t="n">
        <v>8</v>
      </c>
      <c r="G36" s="5" t="n">
        <v>12.9</v>
      </c>
      <c r="H36" s="5" t="n">
        <v>4</v>
      </c>
      <c r="I36" s="6" t="s">
        <v>247</v>
      </c>
      <c r="J36" s="6" t="s">
        <v>248</v>
      </c>
      <c r="K36" s="6" t="s">
        <v>249</v>
      </c>
      <c r="L36" s="6" t="s">
        <v>250</v>
      </c>
      <c r="M36" s="7" t="s">
        <v>251</v>
      </c>
    </row>
    <row r="37" customFormat="false" ht="42" hidden="false" customHeight="true" outlineLevel="0" collapsed="false">
      <c r="A37" s="5" t="n">
        <f aca="false">ROW()-3</f>
        <v>34</v>
      </c>
      <c r="B37" s="6" t="s">
        <v>252</v>
      </c>
      <c r="C37" s="6" t="s">
        <v>131</v>
      </c>
      <c r="D37" s="6" t="s">
        <v>33</v>
      </c>
      <c r="E37" s="6" t="s">
        <v>65</v>
      </c>
      <c r="F37" s="5" t="n">
        <v>0</v>
      </c>
      <c r="G37" s="5" t="n">
        <v>99</v>
      </c>
      <c r="H37" s="5" t="n">
        <v>6</v>
      </c>
      <c r="I37" s="6" t="s">
        <v>253</v>
      </c>
      <c r="J37" s="6" t="s">
        <v>254</v>
      </c>
      <c r="K37" s="6" t="s">
        <v>255</v>
      </c>
      <c r="L37" s="6" t="s">
        <v>256</v>
      </c>
      <c r="M37" s="7" t="s">
        <v>257</v>
      </c>
    </row>
    <row r="38" customFormat="false" ht="42" hidden="false" customHeight="true" outlineLevel="0" collapsed="false">
      <c r="A38" s="5" t="n">
        <f aca="false">ROW()-3</f>
        <v>35</v>
      </c>
      <c r="B38" s="6" t="s">
        <v>258</v>
      </c>
      <c r="C38" s="6" t="s">
        <v>131</v>
      </c>
      <c r="D38" s="6" t="s">
        <v>156</v>
      </c>
      <c r="E38" s="6" t="s">
        <v>65</v>
      </c>
      <c r="F38" s="5" t="n">
        <v>0</v>
      </c>
      <c r="G38" s="5" t="n">
        <v>99</v>
      </c>
      <c r="H38" s="5" t="n">
        <v>4</v>
      </c>
      <c r="I38" s="6" t="s">
        <v>259</v>
      </c>
      <c r="J38" s="6" t="s">
        <v>260</v>
      </c>
      <c r="K38" s="6" t="s">
        <v>261</v>
      </c>
      <c r="L38" s="6" t="s">
        <v>262</v>
      </c>
      <c r="M38" s="7" t="s">
        <v>263</v>
      </c>
    </row>
    <row r="39" customFormat="false" ht="42" hidden="false" customHeight="true" outlineLevel="0" collapsed="false">
      <c r="A39" s="5" t="n">
        <f aca="false">ROW()-3</f>
        <v>36</v>
      </c>
      <c r="B39" s="6" t="s">
        <v>264</v>
      </c>
      <c r="C39" s="6" t="s">
        <v>219</v>
      </c>
      <c r="D39" s="6" t="s">
        <v>17</v>
      </c>
      <c r="E39" s="6" t="s">
        <v>265</v>
      </c>
      <c r="F39" s="5" t="n">
        <v>8</v>
      </c>
      <c r="G39" s="5" t="n">
        <v>17.9</v>
      </c>
      <c r="H39" s="5" t="n">
        <v>2</v>
      </c>
      <c r="I39" s="6" t="s">
        <v>266</v>
      </c>
      <c r="J39" s="6" t="s">
        <v>267</v>
      </c>
      <c r="K39" s="6" t="s">
        <v>268</v>
      </c>
      <c r="L39" s="6" t="s">
        <v>269</v>
      </c>
      <c r="M39" s="7" t="s">
        <v>270</v>
      </c>
    </row>
    <row r="40" customFormat="false" ht="42" hidden="false" customHeight="true" outlineLevel="0" collapsed="false">
      <c r="A40" s="5" t="n">
        <f aca="false">ROW()-3</f>
        <v>37</v>
      </c>
      <c r="B40" s="6" t="s">
        <v>271</v>
      </c>
      <c r="C40" s="6" t="s">
        <v>122</v>
      </c>
      <c r="D40" s="6" t="s">
        <v>272</v>
      </c>
      <c r="E40" s="6" t="s">
        <v>273</v>
      </c>
      <c r="F40" s="5" t="n">
        <v>6</v>
      </c>
      <c r="G40" s="5" t="n">
        <v>17.9</v>
      </c>
      <c r="H40" s="5" t="n">
        <v>4</v>
      </c>
      <c r="I40" s="6" t="s">
        <v>274</v>
      </c>
      <c r="J40" s="6" t="s">
        <v>275</v>
      </c>
      <c r="K40" s="6" t="s">
        <v>276</v>
      </c>
      <c r="L40" s="6" t="s">
        <v>277</v>
      </c>
      <c r="M40" s="7" t="s">
        <v>278</v>
      </c>
    </row>
    <row r="41" customFormat="false" ht="42" hidden="false" customHeight="true" outlineLevel="0" collapsed="false">
      <c r="A41" s="5" t="n">
        <f aca="false">ROW()-3</f>
        <v>38</v>
      </c>
      <c r="B41" s="6" t="s">
        <v>279</v>
      </c>
      <c r="C41" s="6" t="s">
        <v>280</v>
      </c>
      <c r="D41" s="6" t="s">
        <v>17</v>
      </c>
      <c r="E41" s="6" t="s">
        <v>281</v>
      </c>
      <c r="F41" s="5" t="n">
        <v>12</v>
      </c>
      <c r="G41" s="5" t="n">
        <v>16.9</v>
      </c>
      <c r="H41" s="5" t="n">
        <v>6</v>
      </c>
      <c r="I41" s="6" t="s">
        <v>282</v>
      </c>
      <c r="J41" s="6" t="s">
        <v>283</v>
      </c>
      <c r="K41" s="6" t="s">
        <v>284</v>
      </c>
      <c r="L41" s="6" t="s">
        <v>285</v>
      </c>
      <c r="M41" s="7" t="s">
        <v>286</v>
      </c>
    </row>
    <row r="42" customFormat="false" ht="42" hidden="false" customHeight="true" outlineLevel="0" collapsed="false">
      <c r="A42" s="5" t="n">
        <f aca="false">ROW()-3</f>
        <v>39</v>
      </c>
      <c r="B42" s="6" t="s">
        <v>287</v>
      </c>
      <c r="C42" s="6" t="s">
        <v>280</v>
      </c>
      <c r="D42" s="6" t="s">
        <v>17</v>
      </c>
      <c r="E42" s="6" t="s">
        <v>281</v>
      </c>
      <c r="F42" s="5" t="n">
        <v>12</v>
      </c>
      <c r="G42" s="5" t="n">
        <v>16.9</v>
      </c>
      <c r="H42" s="5" t="n">
        <v>6</v>
      </c>
      <c r="I42" s="6" t="s">
        <v>288</v>
      </c>
      <c r="J42" s="6" t="s">
        <v>283</v>
      </c>
      <c r="K42" s="6" t="s">
        <v>289</v>
      </c>
      <c r="L42" s="6" t="s">
        <v>290</v>
      </c>
      <c r="M42" s="7" t="s">
        <v>291</v>
      </c>
    </row>
    <row r="43" customFormat="false" ht="42" hidden="false" customHeight="true" outlineLevel="0" collapsed="false">
      <c r="A43" s="5" t="n">
        <f aca="false">ROW()-3</f>
        <v>40</v>
      </c>
      <c r="B43" s="6" t="s">
        <v>292</v>
      </c>
      <c r="C43" s="6" t="s">
        <v>280</v>
      </c>
      <c r="D43" s="6" t="s">
        <v>17</v>
      </c>
      <c r="E43" s="6" t="s">
        <v>293</v>
      </c>
      <c r="F43" s="5" t="n">
        <v>7</v>
      </c>
      <c r="G43" s="5" t="n">
        <v>11.9</v>
      </c>
      <c r="H43" s="5" t="n">
        <v>3</v>
      </c>
      <c r="I43" s="6" t="s">
        <v>294</v>
      </c>
      <c r="J43" s="6" t="s">
        <v>295</v>
      </c>
      <c r="K43" s="6" t="s">
        <v>296</v>
      </c>
      <c r="L43" s="6" t="s">
        <v>297</v>
      </c>
      <c r="M43" s="7" t="s">
        <v>298</v>
      </c>
    </row>
    <row r="44" customFormat="false" ht="42" hidden="false" customHeight="true" outlineLevel="0" collapsed="false">
      <c r="A44" s="5" t="n">
        <f aca="false">ROW()-3</f>
        <v>41</v>
      </c>
      <c r="B44" s="6" t="s">
        <v>299</v>
      </c>
      <c r="C44" s="6" t="s">
        <v>280</v>
      </c>
      <c r="D44" s="6" t="s">
        <v>17</v>
      </c>
      <c r="E44" s="6" t="s">
        <v>293</v>
      </c>
      <c r="F44" s="5" t="n">
        <v>7</v>
      </c>
      <c r="G44" s="5" t="n">
        <v>11.9</v>
      </c>
      <c r="H44" s="5" t="n">
        <v>3</v>
      </c>
      <c r="I44" s="6" t="s">
        <v>300</v>
      </c>
      <c r="J44" s="6" t="s">
        <v>295</v>
      </c>
      <c r="K44" s="6" t="s">
        <v>301</v>
      </c>
      <c r="L44" s="6" t="s">
        <v>302</v>
      </c>
      <c r="M44" s="7" t="s">
        <v>303</v>
      </c>
    </row>
    <row r="45" customFormat="false" ht="42" hidden="false" customHeight="true" outlineLevel="0" collapsed="false">
      <c r="A45" s="5" t="n">
        <f aca="false">ROW()-3</f>
        <v>42</v>
      </c>
      <c r="B45" s="6" t="s">
        <v>304</v>
      </c>
      <c r="C45" s="6" t="s">
        <v>280</v>
      </c>
      <c r="D45" s="6" t="s">
        <v>33</v>
      </c>
      <c r="E45" s="6" t="s">
        <v>305</v>
      </c>
      <c r="F45" s="5" t="n">
        <v>0</v>
      </c>
      <c r="G45" s="5" t="n">
        <v>83.2</v>
      </c>
      <c r="H45" s="5" t="n">
        <v>6</v>
      </c>
      <c r="I45" s="6" t="s">
        <v>306</v>
      </c>
      <c r="J45" s="6" t="s">
        <v>307</v>
      </c>
      <c r="K45" s="6" t="s">
        <v>308</v>
      </c>
      <c r="L45" s="6" t="s">
        <v>309</v>
      </c>
      <c r="M45" s="7" t="s">
        <v>310</v>
      </c>
    </row>
    <row r="46" customFormat="false" ht="42" hidden="false" customHeight="true" outlineLevel="0" collapsed="false">
      <c r="A46" s="5" t="n">
        <f aca="false">ROW()-3</f>
        <v>43</v>
      </c>
      <c r="B46" s="6" t="s">
        <v>311</v>
      </c>
      <c r="C46" s="6" t="s">
        <v>131</v>
      </c>
      <c r="D46" s="6" t="s">
        <v>33</v>
      </c>
      <c r="E46" s="6" t="s">
        <v>95</v>
      </c>
      <c r="F46" s="5" t="n">
        <v>6</v>
      </c>
      <c r="G46" s="5" t="n">
        <v>17.9</v>
      </c>
      <c r="H46" s="5" t="n">
        <v>10</v>
      </c>
      <c r="I46" s="6" t="s">
        <v>312</v>
      </c>
      <c r="J46" s="6" t="s">
        <v>313</v>
      </c>
      <c r="K46" s="6" t="s">
        <v>314</v>
      </c>
      <c r="L46" s="6" t="s">
        <v>315</v>
      </c>
      <c r="M46" s="7" t="s">
        <v>316</v>
      </c>
    </row>
    <row r="47" customFormat="false" ht="42" hidden="false" customHeight="true" outlineLevel="0" collapsed="false">
      <c r="A47" s="5" t="n">
        <f aca="false">ROW()-3</f>
        <v>44</v>
      </c>
      <c r="B47" s="6" t="s">
        <v>317</v>
      </c>
      <c r="C47" s="6" t="s">
        <v>131</v>
      </c>
      <c r="D47" s="6" t="s">
        <v>33</v>
      </c>
      <c r="E47" s="6" t="s">
        <v>95</v>
      </c>
      <c r="F47" s="5" t="n">
        <v>6</v>
      </c>
      <c r="G47" s="5" t="n">
        <v>17.9</v>
      </c>
      <c r="H47" s="5" t="n">
        <v>6</v>
      </c>
      <c r="I47" s="6" t="s">
        <v>318</v>
      </c>
      <c r="J47" s="6" t="s">
        <v>319</v>
      </c>
      <c r="K47" s="6" t="s">
        <v>320</v>
      </c>
      <c r="L47" s="6" t="s">
        <v>321</v>
      </c>
      <c r="M47" s="7" t="s">
        <v>322</v>
      </c>
    </row>
    <row r="48" customFormat="false" ht="42" hidden="false" customHeight="true" outlineLevel="0" collapsed="false">
      <c r="A48" s="5" t="n">
        <f aca="false">ROW()-3</f>
        <v>45</v>
      </c>
      <c r="B48" s="6" t="s">
        <v>323</v>
      </c>
      <c r="C48" s="6" t="s">
        <v>131</v>
      </c>
      <c r="D48" s="6" t="s">
        <v>45</v>
      </c>
      <c r="E48" s="6" t="s">
        <v>95</v>
      </c>
      <c r="F48" s="5" t="n">
        <v>6</v>
      </c>
      <c r="G48" s="5" t="n">
        <v>17.9</v>
      </c>
      <c r="H48" s="5" t="n">
        <v>9</v>
      </c>
      <c r="I48" s="6" t="s">
        <v>324</v>
      </c>
      <c r="J48" s="6" t="s">
        <v>325</v>
      </c>
      <c r="K48" s="6" t="s">
        <v>326</v>
      </c>
      <c r="L48" s="6" t="s">
        <v>327</v>
      </c>
      <c r="M48" s="7" t="s">
        <v>328</v>
      </c>
    </row>
    <row r="49" customFormat="false" ht="42" hidden="false" customHeight="true" outlineLevel="0" collapsed="false">
      <c r="A49" s="5" t="n">
        <f aca="false">ROW()-3</f>
        <v>46</v>
      </c>
      <c r="B49" s="6" t="s">
        <v>329</v>
      </c>
      <c r="C49" s="6" t="s">
        <v>131</v>
      </c>
      <c r="D49" s="6" t="s">
        <v>45</v>
      </c>
      <c r="E49" s="6" t="s">
        <v>95</v>
      </c>
      <c r="F49" s="5" t="n">
        <v>6</v>
      </c>
      <c r="G49" s="5" t="n">
        <v>17.9</v>
      </c>
      <c r="H49" s="5" t="n">
        <v>5</v>
      </c>
      <c r="I49" s="6" t="s">
        <v>330</v>
      </c>
      <c r="J49" s="6" t="s">
        <v>331</v>
      </c>
      <c r="K49" s="6" t="s">
        <v>332</v>
      </c>
      <c r="L49" s="6" t="s">
        <v>333</v>
      </c>
      <c r="M49" s="7" t="s">
        <v>334</v>
      </c>
    </row>
    <row r="50" customFormat="false" ht="42" hidden="false" customHeight="true" outlineLevel="0" collapsed="false">
      <c r="A50" s="5" t="n">
        <f aca="false">ROW()-3</f>
        <v>47</v>
      </c>
      <c r="B50" s="6" t="s">
        <v>335</v>
      </c>
      <c r="C50" s="6" t="s">
        <v>162</v>
      </c>
      <c r="D50" s="6" t="s">
        <v>336</v>
      </c>
      <c r="E50" s="6" t="s">
        <v>337</v>
      </c>
      <c r="F50" s="5" t="n">
        <v>0</v>
      </c>
      <c r="G50" s="5" t="n">
        <v>99</v>
      </c>
      <c r="H50" s="5" t="n">
        <v>6</v>
      </c>
      <c r="I50" s="6" t="s">
        <v>338</v>
      </c>
      <c r="J50" s="6" t="s">
        <v>339</v>
      </c>
      <c r="K50" s="6" t="s">
        <v>340</v>
      </c>
      <c r="L50" s="6" t="s">
        <v>341</v>
      </c>
      <c r="M50" s="7" t="s">
        <v>342</v>
      </c>
    </row>
    <row r="51" customFormat="false" ht="42" hidden="false" customHeight="true" outlineLevel="0" collapsed="false">
      <c r="A51" s="5" t="n">
        <f aca="false">ROW()-3</f>
        <v>48</v>
      </c>
      <c r="B51" s="6" t="s">
        <v>343</v>
      </c>
      <c r="C51" s="6" t="s">
        <v>344</v>
      </c>
      <c r="D51" s="6" t="s">
        <v>17</v>
      </c>
      <c r="E51" s="6" t="s">
        <v>345</v>
      </c>
      <c r="F51" s="5" t="n">
        <v>12</v>
      </c>
      <c r="G51" s="5" t="n">
        <v>17.9</v>
      </c>
      <c r="H51" s="5" t="n">
        <v>5</v>
      </c>
      <c r="I51" s="6" t="s">
        <v>346</v>
      </c>
      <c r="J51" s="6" t="s">
        <v>347</v>
      </c>
      <c r="K51" s="6" t="s">
        <v>348</v>
      </c>
      <c r="L51" s="6" t="s">
        <v>349</v>
      </c>
      <c r="M51" s="7" t="s">
        <v>350</v>
      </c>
    </row>
    <row r="52" customFormat="false" ht="42" hidden="false" customHeight="true" outlineLevel="0" collapsed="false">
      <c r="A52" s="5" t="n">
        <f aca="false">ROW()-3</f>
        <v>49</v>
      </c>
      <c r="B52" s="6" t="s">
        <v>351</v>
      </c>
      <c r="C52" s="6" t="s">
        <v>344</v>
      </c>
      <c r="D52" s="6" t="s">
        <v>187</v>
      </c>
      <c r="E52" s="6" t="s">
        <v>352</v>
      </c>
      <c r="F52" s="5" t="n">
        <v>0</v>
      </c>
      <c r="G52" s="5" t="n">
        <v>100</v>
      </c>
      <c r="H52" s="5" t="n">
        <v>5</v>
      </c>
      <c r="I52" s="6" t="s">
        <v>353</v>
      </c>
      <c r="J52" s="6" t="s">
        <v>354</v>
      </c>
      <c r="K52" s="6" t="s">
        <v>355</v>
      </c>
      <c r="L52" s="6" t="s">
        <v>356</v>
      </c>
      <c r="M52" s="7" t="s">
        <v>357</v>
      </c>
    </row>
    <row r="53" customFormat="false" ht="42" hidden="false" customHeight="true" outlineLevel="0" collapsed="false">
      <c r="A53" s="5" t="n">
        <f aca="false">ROW()-3</f>
        <v>50</v>
      </c>
      <c r="B53" s="6" t="s">
        <v>358</v>
      </c>
      <c r="C53" s="6" t="s">
        <v>344</v>
      </c>
      <c r="D53" s="6" t="s">
        <v>187</v>
      </c>
      <c r="E53" s="6" t="s">
        <v>359</v>
      </c>
      <c r="F53" s="5" t="n">
        <v>6</v>
      </c>
      <c r="G53" s="5" t="n">
        <v>11.9</v>
      </c>
      <c r="H53" s="5" t="n">
        <v>5</v>
      </c>
      <c r="I53" s="6" t="s">
        <v>360</v>
      </c>
      <c r="J53" s="6" t="s">
        <v>361</v>
      </c>
      <c r="K53" s="6" t="s">
        <v>362</v>
      </c>
      <c r="L53" s="6" t="s">
        <v>363</v>
      </c>
      <c r="M53" s="7" t="s">
        <v>364</v>
      </c>
    </row>
    <row r="54" customFormat="false" ht="42" hidden="false" customHeight="true" outlineLevel="0" collapsed="false">
      <c r="A54" s="5" t="n">
        <f aca="false">ROW()-3</f>
        <v>51</v>
      </c>
      <c r="B54" s="6" t="s">
        <v>365</v>
      </c>
      <c r="C54" s="6" t="s">
        <v>72</v>
      </c>
      <c r="D54" s="6" t="s">
        <v>156</v>
      </c>
      <c r="E54" s="6" t="s">
        <v>88</v>
      </c>
      <c r="F54" s="5" t="n">
        <v>1.5</v>
      </c>
      <c r="G54" s="5" t="n">
        <v>5.9</v>
      </c>
      <c r="H54" s="5" t="n">
        <v>1</v>
      </c>
      <c r="I54" s="6" t="s">
        <v>366</v>
      </c>
      <c r="J54" s="6" t="s">
        <v>367</v>
      </c>
      <c r="K54" s="6" t="s">
        <v>368</v>
      </c>
      <c r="L54" s="6" t="s">
        <v>369</v>
      </c>
      <c r="M54" s="7" t="s">
        <v>370</v>
      </c>
    </row>
    <row r="55" customFormat="false" ht="42" hidden="false" customHeight="true" outlineLevel="0" collapsed="false">
      <c r="A55" s="5" t="n">
        <f aca="false">ROW()-3</f>
        <v>52</v>
      </c>
      <c r="B55" s="6" t="s">
        <v>371</v>
      </c>
      <c r="C55" s="6" t="s">
        <v>210</v>
      </c>
      <c r="D55" s="6" t="s">
        <v>17</v>
      </c>
      <c r="E55" s="6" t="s">
        <v>372</v>
      </c>
      <c r="F55" s="5" t="n">
        <v>14</v>
      </c>
      <c r="G55" s="5" t="n">
        <v>99</v>
      </c>
      <c r="H55" s="5" t="n">
        <v>7</v>
      </c>
      <c r="I55" s="6" t="s">
        <v>373</v>
      </c>
      <c r="J55" s="6" t="s">
        <v>374</v>
      </c>
      <c r="K55" s="6" t="s">
        <v>375</v>
      </c>
      <c r="L55" s="6" t="s">
        <v>376</v>
      </c>
      <c r="M55" s="7" t="s">
        <v>377</v>
      </c>
    </row>
    <row r="56" customFormat="false" ht="42" hidden="false" customHeight="true" outlineLevel="0" collapsed="false">
      <c r="A56" s="5" t="n">
        <f aca="false">ROW()-3</f>
        <v>53</v>
      </c>
      <c r="B56" s="6" t="s">
        <v>378</v>
      </c>
      <c r="C56" s="6" t="s">
        <v>379</v>
      </c>
      <c r="D56" s="6" t="s">
        <v>33</v>
      </c>
      <c r="E56" s="6" t="s">
        <v>65</v>
      </c>
      <c r="F56" s="5" t="n">
        <v>0</v>
      </c>
      <c r="G56" s="5" t="n">
        <v>99</v>
      </c>
      <c r="H56" s="5" t="n">
        <v>3</v>
      </c>
      <c r="I56" s="6" t="s">
        <v>380</v>
      </c>
      <c r="J56" s="6" t="s">
        <v>381</v>
      </c>
      <c r="K56" s="6" t="s">
        <v>382</v>
      </c>
      <c r="L56" s="6" t="s">
        <v>383</v>
      </c>
      <c r="M56" s="7" t="s">
        <v>384</v>
      </c>
    </row>
    <row r="57" customFormat="false" ht="42" hidden="false" customHeight="true" outlineLevel="0" collapsed="false">
      <c r="A57" s="5" t="n">
        <f aca="false">ROW()-3</f>
        <v>54</v>
      </c>
      <c r="B57" s="6" t="s">
        <v>385</v>
      </c>
      <c r="C57" s="6" t="s">
        <v>162</v>
      </c>
      <c r="D57" s="6" t="s">
        <v>187</v>
      </c>
      <c r="E57" s="6" t="s">
        <v>386</v>
      </c>
      <c r="F57" s="5" t="n">
        <v>7</v>
      </c>
      <c r="G57" s="5" t="n">
        <v>9</v>
      </c>
      <c r="H57" s="5" t="n">
        <v>8</v>
      </c>
      <c r="I57" s="6" t="s">
        <v>387</v>
      </c>
      <c r="J57" s="6" t="s">
        <v>388</v>
      </c>
      <c r="K57" s="6" t="s">
        <v>389</v>
      </c>
      <c r="L57" s="6" t="s">
        <v>390</v>
      </c>
      <c r="M57" s="7" t="s">
        <v>391</v>
      </c>
    </row>
    <row r="58" customFormat="false" ht="42" hidden="false" customHeight="true" outlineLevel="0" collapsed="false">
      <c r="A58" s="5" t="n">
        <f aca="false">ROW()-3</f>
        <v>55</v>
      </c>
      <c r="B58" s="6" t="s">
        <v>392</v>
      </c>
      <c r="C58" s="6" t="s">
        <v>131</v>
      </c>
      <c r="D58" s="6" t="s">
        <v>336</v>
      </c>
      <c r="E58" s="6" t="s">
        <v>393</v>
      </c>
      <c r="F58" s="5" t="n">
        <v>5</v>
      </c>
      <c r="G58" s="5" t="n">
        <v>99</v>
      </c>
      <c r="H58" s="5" t="n">
        <v>3</v>
      </c>
      <c r="I58" s="6" t="s">
        <v>394</v>
      </c>
      <c r="J58" s="6" t="s">
        <v>395</v>
      </c>
      <c r="K58" s="6" t="s">
        <v>396</v>
      </c>
      <c r="L58" s="6" t="s">
        <v>397</v>
      </c>
      <c r="M58" s="7" t="s">
        <v>398</v>
      </c>
    </row>
    <row r="59" customFormat="false" ht="42" hidden="false" customHeight="true" outlineLevel="0" collapsed="false">
      <c r="A59" s="5" t="n">
        <f aca="false">ROW()-3</f>
        <v>56</v>
      </c>
      <c r="B59" s="6" t="s">
        <v>399</v>
      </c>
      <c r="C59" s="6" t="s">
        <v>400</v>
      </c>
      <c r="D59" s="6" t="s">
        <v>17</v>
      </c>
      <c r="E59" s="6" t="s">
        <v>173</v>
      </c>
      <c r="F59" s="5" t="n">
        <v>8</v>
      </c>
      <c r="G59" s="5" t="n">
        <v>17.9</v>
      </c>
      <c r="H59" s="5" t="n">
        <v>5</v>
      </c>
      <c r="I59" s="6" t="s">
        <v>401</v>
      </c>
      <c r="J59" s="6" t="s">
        <v>402</v>
      </c>
      <c r="K59" s="6" t="s">
        <v>403</v>
      </c>
      <c r="L59" s="6" t="s">
        <v>404</v>
      </c>
      <c r="M59" s="7" t="s">
        <v>405</v>
      </c>
    </row>
    <row r="60" customFormat="false" ht="42" hidden="false" customHeight="true" outlineLevel="0" collapsed="false">
      <c r="A60" s="5" t="n">
        <f aca="false">ROW()-3</f>
        <v>57</v>
      </c>
      <c r="B60" s="6" t="s">
        <v>406</v>
      </c>
      <c r="C60" s="6" t="s">
        <v>122</v>
      </c>
      <c r="D60" s="6" t="s">
        <v>17</v>
      </c>
      <c r="E60" s="6" t="s">
        <v>407</v>
      </c>
      <c r="F60" s="5" t="n">
        <v>11</v>
      </c>
      <c r="G60" s="5" t="n">
        <v>99</v>
      </c>
      <c r="H60" s="5" t="n">
        <v>4</v>
      </c>
      <c r="I60" s="6" t="s">
        <v>408</v>
      </c>
      <c r="J60" s="6" t="s">
        <v>409</v>
      </c>
      <c r="K60" s="6" t="s">
        <v>410</v>
      </c>
      <c r="L60" s="6" t="s">
        <v>411</v>
      </c>
      <c r="M60" s="7" t="s">
        <v>412</v>
      </c>
    </row>
    <row r="61" customFormat="false" ht="42" hidden="false" customHeight="true" outlineLevel="0" collapsed="false">
      <c r="A61" s="5" t="n">
        <f aca="false">ROW()-3</f>
        <v>58</v>
      </c>
      <c r="B61" s="6" t="s">
        <v>413</v>
      </c>
      <c r="C61" s="6" t="s">
        <v>122</v>
      </c>
      <c r="D61" s="6" t="s">
        <v>17</v>
      </c>
      <c r="E61" s="6" t="s">
        <v>414</v>
      </c>
      <c r="F61" s="5" t="n">
        <v>10</v>
      </c>
      <c r="G61" s="5" t="n">
        <v>99</v>
      </c>
      <c r="H61" s="5" t="n">
        <v>6</v>
      </c>
      <c r="I61" s="6" t="s">
        <v>415</v>
      </c>
      <c r="J61" s="6" t="s">
        <v>416</v>
      </c>
      <c r="K61" s="6" t="s">
        <v>417</v>
      </c>
      <c r="L61" s="6" t="s">
        <v>418</v>
      </c>
      <c r="M61" s="7" t="s">
        <v>419</v>
      </c>
    </row>
    <row r="62" customFormat="false" ht="42" hidden="false" customHeight="true" outlineLevel="0" collapsed="false">
      <c r="A62" s="5" t="n">
        <f aca="false">ROW()-3</f>
        <v>59</v>
      </c>
      <c r="B62" s="6" t="s">
        <v>420</v>
      </c>
      <c r="C62" s="6" t="s">
        <v>122</v>
      </c>
      <c r="D62" s="6" t="s">
        <v>17</v>
      </c>
      <c r="E62" s="6" t="s">
        <v>407</v>
      </c>
      <c r="F62" s="5" t="n">
        <v>11</v>
      </c>
      <c r="G62" s="5" t="n">
        <v>99</v>
      </c>
      <c r="H62" s="5" t="n">
        <v>5</v>
      </c>
      <c r="I62" s="6" t="s">
        <v>421</v>
      </c>
      <c r="J62" s="6" t="s">
        <v>422</v>
      </c>
      <c r="K62" s="6" t="s">
        <v>423</v>
      </c>
      <c r="L62" s="6" t="s">
        <v>424</v>
      </c>
      <c r="M62" s="7" t="s">
        <v>425</v>
      </c>
    </row>
    <row r="63" customFormat="false" ht="42" hidden="false" customHeight="true" outlineLevel="0" collapsed="false">
      <c r="A63" s="5" t="n">
        <f aca="false">ROW()-3</f>
        <v>60</v>
      </c>
      <c r="B63" s="6" t="s">
        <v>426</v>
      </c>
      <c r="C63" s="6" t="s">
        <v>427</v>
      </c>
      <c r="D63" s="6" t="s">
        <v>272</v>
      </c>
      <c r="E63" s="6" t="s">
        <v>428</v>
      </c>
      <c r="F63" s="5" t="n">
        <v>12</v>
      </c>
      <c r="G63" s="5" t="n">
        <v>99</v>
      </c>
      <c r="H63" s="5" t="n">
        <v>6</v>
      </c>
      <c r="I63" s="6" t="s">
        <v>429</v>
      </c>
      <c r="J63" s="6" t="s">
        <v>430</v>
      </c>
      <c r="K63" s="6" t="s">
        <v>431</v>
      </c>
      <c r="L63" s="6" t="s">
        <v>432</v>
      </c>
      <c r="M63" s="7" t="s">
        <v>433</v>
      </c>
    </row>
    <row r="64" customFormat="false" ht="42" hidden="false" customHeight="true" outlineLevel="0" collapsed="false">
      <c r="A64" s="5" t="n">
        <f aca="false">ROW()-3</f>
        <v>61</v>
      </c>
      <c r="B64" s="6" t="s">
        <v>434</v>
      </c>
      <c r="C64" s="6" t="s">
        <v>427</v>
      </c>
      <c r="D64" s="6" t="s">
        <v>272</v>
      </c>
      <c r="E64" s="6" t="s">
        <v>428</v>
      </c>
      <c r="F64" s="5" t="n">
        <v>12</v>
      </c>
      <c r="G64" s="5" t="n">
        <v>99</v>
      </c>
      <c r="H64" s="5" t="n">
        <v>4</v>
      </c>
      <c r="I64" s="6" t="s">
        <v>435</v>
      </c>
      <c r="J64" s="6" t="s">
        <v>436</v>
      </c>
      <c r="K64" s="6" t="s">
        <v>437</v>
      </c>
      <c r="L64" s="6" t="s">
        <v>438</v>
      </c>
      <c r="M64" s="7" t="s">
        <v>439</v>
      </c>
    </row>
    <row r="65" customFormat="false" ht="42" hidden="false" customHeight="true" outlineLevel="0" collapsed="false">
      <c r="A65" s="5" t="n">
        <f aca="false">ROW()-3</f>
        <v>62</v>
      </c>
      <c r="B65" s="6" t="s">
        <v>440</v>
      </c>
      <c r="C65" s="6" t="s">
        <v>441</v>
      </c>
      <c r="D65" s="6" t="s">
        <v>442</v>
      </c>
      <c r="E65" s="6" t="s">
        <v>443</v>
      </c>
      <c r="F65" s="5" t="n">
        <v>0.3</v>
      </c>
      <c r="G65" s="5" t="n">
        <v>0.6</v>
      </c>
      <c r="H65" s="5" t="n">
        <v>7</v>
      </c>
      <c r="I65" s="6" t="s">
        <v>444</v>
      </c>
      <c r="J65" s="6" t="s">
        <v>445</v>
      </c>
      <c r="K65" s="6" t="s">
        <v>446</v>
      </c>
      <c r="L65" s="6" t="s">
        <v>447</v>
      </c>
      <c r="M65" s="7" t="s">
        <v>448</v>
      </c>
    </row>
    <row r="66" customFormat="false" ht="42" hidden="false" customHeight="true" outlineLevel="0" collapsed="false">
      <c r="A66" s="5" t="n">
        <f aca="false">ROW()-3</f>
        <v>63</v>
      </c>
      <c r="B66" s="6" t="s">
        <v>449</v>
      </c>
      <c r="C66" s="6" t="s">
        <v>210</v>
      </c>
      <c r="D66" s="6" t="s">
        <v>33</v>
      </c>
      <c r="E66" s="6" t="s">
        <v>450</v>
      </c>
      <c r="F66" s="5" t="n">
        <v>3</v>
      </c>
      <c r="G66" s="5" t="n">
        <v>17.9</v>
      </c>
      <c r="H66" s="5" t="n">
        <v>3</v>
      </c>
      <c r="I66" s="6" t="s">
        <v>451</v>
      </c>
      <c r="J66" s="6" t="s">
        <v>452</v>
      </c>
      <c r="K66" s="6" t="s">
        <v>453</v>
      </c>
      <c r="L66" s="6" t="s">
        <v>454</v>
      </c>
      <c r="M66" s="7" t="s">
        <v>455</v>
      </c>
    </row>
    <row r="67" customFormat="false" ht="42" hidden="false" customHeight="true" outlineLevel="0" collapsed="false">
      <c r="A67" s="5" t="n">
        <f aca="false">ROW()-3</f>
        <v>64</v>
      </c>
      <c r="B67" s="6" t="s">
        <v>456</v>
      </c>
      <c r="C67" s="6" t="s">
        <v>210</v>
      </c>
      <c r="D67" s="6" t="s">
        <v>156</v>
      </c>
      <c r="E67" s="6" t="s">
        <v>450</v>
      </c>
      <c r="F67" s="5" t="n">
        <v>3</v>
      </c>
      <c r="G67" s="5" t="n">
        <v>17.9</v>
      </c>
      <c r="H67" s="5" t="n">
        <v>3</v>
      </c>
      <c r="I67" s="6" t="s">
        <v>457</v>
      </c>
      <c r="J67" s="6" t="s">
        <v>452</v>
      </c>
      <c r="K67" s="6" t="s">
        <v>458</v>
      </c>
      <c r="L67" s="6" t="s">
        <v>459</v>
      </c>
      <c r="M67" s="7" t="s">
        <v>460</v>
      </c>
    </row>
    <row r="68" customFormat="false" ht="42" hidden="false" customHeight="true" outlineLevel="0" collapsed="false">
      <c r="A68" s="5" t="n">
        <f aca="false">ROW()-3</f>
        <v>65</v>
      </c>
      <c r="B68" s="6" t="s">
        <v>461</v>
      </c>
      <c r="C68" s="6" t="s">
        <v>210</v>
      </c>
      <c r="D68" s="6" t="s">
        <v>17</v>
      </c>
      <c r="E68" s="6" t="s">
        <v>462</v>
      </c>
      <c r="F68" s="5" t="n">
        <v>9</v>
      </c>
      <c r="G68" s="5" t="n">
        <v>17</v>
      </c>
      <c r="H68" s="5" t="n">
        <v>4</v>
      </c>
      <c r="I68" s="6" t="s">
        <v>463</v>
      </c>
      <c r="J68" s="6" t="s">
        <v>464</v>
      </c>
      <c r="K68" s="6" t="s">
        <v>465</v>
      </c>
      <c r="L68" s="6" t="s">
        <v>466</v>
      </c>
      <c r="M68" s="7" t="s">
        <v>467</v>
      </c>
    </row>
    <row r="69" customFormat="false" ht="42" hidden="false" customHeight="true" outlineLevel="0" collapsed="false">
      <c r="A69" s="5" t="n">
        <f aca="false">ROW()-3</f>
        <v>66</v>
      </c>
      <c r="B69" s="6" t="s">
        <v>468</v>
      </c>
      <c r="C69" s="6" t="s">
        <v>210</v>
      </c>
      <c r="D69" s="6" t="s">
        <v>17</v>
      </c>
      <c r="E69" s="6" t="s">
        <v>469</v>
      </c>
      <c r="F69" s="5" t="n">
        <v>10</v>
      </c>
      <c r="G69" s="5" t="n">
        <v>19</v>
      </c>
      <c r="H69" s="5" t="n">
        <v>2</v>
      </c>
      <c r="I69" s="6" t="s">
        <v>470</v>
      </c>
      <c r="J69" s="6" t="s">
        <v>471</v>
      </c>
      <c r="K69" s="6" t="s">
        <v>472</v>
      </c>
      <c r="L69" s="6" t="s">
        <v>473</v>
      </c>
      <c r="M69" s="7" t="s">
        <v>474</v>
      </c>
    </row>
    <row r="70" customFormat="false" ht="42" hidden="false" customHeight="true" outlineLevel="0" collapsed="false">
      <c r="A70" s="5" t="n">
        <f aca="false">ROW()-3</f>
        <v>67</v>
      </c>
      <c r="B70" s="6" t="s">
        <v>475</v>
      </c>
      <c r="C70" s="6" t="s">
        <v>476</v>
      </c>
      <c r="D70" s="6" t="s">
        <v>477</v>
      </c>
      <c r="E70" s="6" t="s">
        <v>478</v>
      </c>
      <c r="F70" s="5" t="n">
        <v>1</v>
      </c>
      <c r="G70" s="5" t="n">
        <v>8.2</v>
      </c>
      <c r="H70" s="5" t="n">
        <v>7</v>
      </c>
      <c r="I70" s="6" t="s">
        <v>479</v>
      </c>
      <c r="J70" s="6" t="s">
        <v>480</v>
      </c>
      <c r="K70" s="6" t="s">
        <v>481</v>
      </c>
      <c r="L70" s="6" t="s">
        <v>482</v>
      </c>
      <c r="M70" s="7" t="s">
        <v>483</v>
      </c>
    </row>
    <row r="71" customFormat="false" ht="42" hidden="false" customHeight="true" outlineLevel="0" collapsed="false">
      <c r="A71" s="5" t="n">
        <f aca="false">ROW()-3</f>
        <v>68</v>
      </c>
      <c r="B71" s="6" t="s">
        <v>484</v>
      </c>
      <c r="C71" s="6" t="s">
        <v>280</v>
      </c>
      <c r="D71" s="6" t="s">
        <v>485</v>
      </c>
      <c r="E71" s="6" t="s">
        <v>486</v>
      </c>
      <c r="F71" s="5" t="n">
        <v>0</v>
      </c>
      <c r="G71" s="5" t="n">
        <v>83.2</v>
      </c>
      <c r="H71" s="5" t="n">
        <v>7</v>
      </c>
      <c r="I71" s="6" t="s">
        <v>487</v>
      </c>
      <c r="J71" s="6" t="s">
        <v>488</v>
      </c>
      <c r="K71" s="6" t="s">
        <v>489</v>
      </c>
      <c r="L71" s="6" t="s">
        <v>490</v>
      </c>
      <c r="M71" s="7" t="s">
        <v>491</v>
      </c>
    </row>
    <row r="72" customFormat="false" ht="42" hidden="false" customHeight="true" outlineLevel="0" collapsed="false">
      <c r="A72" s="5" t="n">
        <f aca="false">ROW()-3</f>
        <v>69</v>
      </c>
      <c r="B72" s="6" t="s">
        <v>492</v>
      </c>
      <c r="C72" s="6" t="s">
        <v>280</v>
      </c>
      <c r="D72" s="6" t="s">
        <v>485</v>
      </c>
      <c r="E72" s="6" t="s">
        <v>486</v>
      </c>
      <c r="F72" s="5" t="n">
        <v>0</v>
      </c>
      <c r="G72" s="5" t="n">
        <v>83.2</v>
      </c>
      <c r="H72" s="5" t="n">
        <v>2</v>
      </c>
      <c r="I72" s="6" t="s">
        <v>493</v>
      </c>
      <c r="J72" s="6" t="s">
        <v>494</v>
      </c>
      <c r="K72" s="6" t="s">
        <v>495</v>
      </c>
      <c r="L72" s="6" t="s">
        <v>496</v>
      </c>
      <c r="M72" s="7" t="s">
        <v>497</v>
      </c>
    </row>
    <row r="73" customFormat="false" ht="42" hidden="false" customHeight="true" outlineLevel="0" collapsed="false">
      <c r="A73" s="5" t="n">
        <f aca="false">ROW()-3</f>
        <v>70</v>
      </c>
      <c r="B73" s="6" t="s">
        <v>498</v>
      </c>
      <c r="C73" s="6" t="s">
        <v>499</v>
      </c>
      <c r="D73" s="6" t="s">
        <v>17</v>
      </c>
      <c r="E73" s="6" t="s">
        <v>500</v>
      </c>
      <c r="F73" s="5" t="n">
        <v>11</v>
      </c>
      <c r="G73" s="5" t="n">
        <v>17.9</v>
      </c>
      <c r="H73" s="5" t="n">
        <v>6</v>
      </c>
      <c r="I73" s="6" t="s">
        <v>501</v>
      </c>
      <c r="J73" s="6" t="s">
        <v>502</v>
      </c>
      <c r="K73" s="6" t="s">
        <v>503</v>
      </c>
      <c r="L73" s="6" t="s">
        <v>504</v>
      </c>
      <c r="M73" s="7" t="s">
        <v>505</v>
      </c>
    </row>
    <row r="74" customFormat="false" ht="42" hidden="false" customHeight="true" outlineLevel="0" collapsed="false">
      <c r="A74" s="5" t="n">
        <f aca="false">ROW()-3</f>
        <v>71</v>
      </c>
      <c r="B74" s="6" t="s">
        <v>506</v>
      </c>
      <c r="C74" s="6" t="s">
        <v>499</v>
      </c>
      <c r="D74" s="6" t="s">
        <v>17</v>
      </c>
      <c r="E74" s="6" t="s">
        <v>507</v>
      </c>
      <c r="F74" s="5" t="n">
        <v>7</v>
      </c>
      <c r="G74" s="5" t="n">
        <v>10.9</v>
      </c>
      <c r="H74" s="5" t="n">
        <v>6</v>
      </c>
      <c r="I74" s="6" t="s">
        <v>508</v>
      </c>
      <c r="J74" s="6" t="s">
        <v>502</v>
      </c>
      <c r="K74" s="6" t="s">
        <v>509</v>
      </c>
      <c r="L74" s="6" t="s">
        <v>510</v>
      </c>
      <c r="M74" s="7" t="s">
        <v>511</v>
      </c>
    </row>
    <row r="75" customFormat="false" ht="42" hidden="false" customHeight="true" outlineLevel="0" collapsed="false">
      <c r="A75" s="5" t="n">
        <f aca="false">ROW()-3</f>
        <v>72</v>
      </c>
      <c r="B75" s="6" t="s">
        <v>512</v>
      </c>
      <c r="C75" s="6" t="s">
        <v>499</v>
      </c>
      <c r="D75" s="6" t="s">
        <v>33</v>
      </c>
      <c r="E75" s="6" t="s">
        <v>513</v>
      </c>
      <c r="F75" s="5" t="n">
        <v>7</v>
      </c>
      <c r="G75" s="5" t="n">
        <v>17.9</v>
      </c>
      <c r="H75" s="5" t="n">
        <v>7</v>
      </c>
      <c r="I75" s="6" t="s">
        <v>514</v>
      </c>
      <c r="J75" s="6" t="s">
        <v>515</v>
      </c>
      <c r="K75" s="6" t="s">
        <v>516</v>
      </c>
      <c r="L75" s="6" t="s">
        <v>517</v>
      </c>
      <c r="M75" s="7" t="s">
        <v>518</v>
      </c>
    </row>
    <row r="76" customFormat="false" ht="42" hidden="false" customHeight="true" outlineLevel="0" collapsed="false">
      <c r="A76" s="5" t="n">
        <f aca="false">ROW()-3</f>
        <v>73</v>
      </c>
      <c r="B76" s="6" t="s">
        <v>519</v>
      </c>
      <c r="C76" s="6" t="s">
        <v>520</v>
      </c>
      <c r="D76" s="6" t="s">
        <v>17</v>
      </c>
      <c r="E76" s="6" t="s">
        <v>500</v>
      </c>
      <c r="F76" s="5" t="n">
        <v>11</v>
      </c>
      <c r="G76" s="5" t="n">
        <v>17.9</v>
      </c>
      <c r="H76" s="5" t="n">
        <v>6</v>
      </c>
      <c r="I76" s="6" t="s">
        <v>521</v>
      </c>
      <c r="J76" s="6" t="s">
        <v>522</v>
      </c>
      <c r="K76" s="6" t="s">
        <v>523</v>
      </c>
      <c r="L76" s="6" t="s">
        <v>524</v>
      </c>
      <c r="M76" s="7" t="s">
        <v>525</v>
      </c>
    </row>
    <row r="77" customFormat="false" ht="42" hidden="false" customHeight="true" outlineLevel="0" collapsed="false">
      <c r="A77" s="5" t="n">
        <f aca="false">ROW()-3</f>
        <v>74</v>
      </c>
      <c r="B77" s="6" t="s">
        <v>526</v>
      </c>
      <c r="C77" s="6" t="s">
        <v>527</v>
      </c>
      <c r="D77" s="6" t="s">
        <v>17</v>
      </c>
      <c r="E77" s="6" t="s">
        <v>507</v>
      </c>
      <c r="F77" s="5" t="n">
        <v>7</v>
      </c>
      <c r="G77" s="5" t="n">
        <v>10.9</v>
      </c>
      <c r="H77" s="5" t="n">
        <v>6</v>
      </c>
      <c r="I77" s="6" t="s">
        <v>528</v>
      </c>
      <c r="J77" s="6" t="s">
        <v>522</v>
      </c>
      <c r="K77" s="6" t="s">
        <v>529</v>
      </c>
      <c r="L77" s="6" t="s">
        <v>530</v>
      </c>
      <c r="M77" s="7" t="s">
        <v>531</v>
      </c>
    </row>
    <row r="78" customFormat="false" ht="42" hidden="false" customHeight="true" outlineLevel="0" collapsed="false">
      <c r="A78" s="5" t="n">
        <f aca="false">ROW()-3</f>
        <v>75</v>
      </c>
      <c r="B78" s="6" t="s">
        <v>532</v>
      </c>
      <c r="C78" s="6" t="s">
        <v>527</v>
      </c>
      <c r="D78" s="6" t="s">
        <v>33</v>
      </c>
      <c r="E78" s="6" t="s">
        <v>533</v>
      </c>
      <c r="F78" s="5" t="n">
        <v>2</v>
      </c>
      <c r="G78" s="5" t="n">
        <v>17.9</v>
      </c>
      <c r="H78" s="5" t="n">
        <v>6</v>
      </c>
      <c r="I78" s="6" t="s">
        <v>534</v>
      </c>
      <c r="J78" s="6" t="s">
        <v>535</v>
      </c>
      <c r="K78" s="6" t="s">
        <v>536</v>
      </c>
      <c r="L78" s="6" t="s">
        <v>537</v>
      </c>
      <c r="M78" s="7" t="s">
        <v>538</v>
      </c>
    </row>
    <row r="79" customFormat="false" ht="42" hidden="false" customHeight="true" outlineLevel="0" collapsed="false">
      <c r="A79" s="5" t="n">
        <f aca="false">ROW()-3</f>
        <v>76</v>
      </c>
      <c r="B79" s="6" t="s">
        <v>539</v>
      </c>
      <c r="C79" s="6" t="s">
        <v>219</v>
      </c>
      <c r="D79" s="6" t="s">
        <v>17</v>
      </c>
      <c r="E79" s="6" t="s">
        <v>265</v>
      </c>
      <c r="F79" s="5" t="n">
        <v>8</v>
      </c>
      <c r="G79" s="5" t="n">
        <v>17.9</v>
      </c>
      <c r="H79" s="5" t="n">
        <v>7</v>
      </c>
      <c r="I79" s="6" t="s">
        <v>540</v>
      </c>
      <c r="J79" s="6" t="s">
        <v>541</v>
      </c>
      <c r="K79" s="6" t="s">
        <v>542</v>
      </c>
      <c r="L79" s="6" t="s">
        <v>543</v>
      </c>
      <c r="M79" s="7" t="s">
        <v>544</v>
      </c>
    </row>
    <row r="80" customFormat="false" ht="42" hidden="false" customHeight="true" outlineLevel="0" collapsed="false">
      <c r="A80" s="5" t="n">
        <f aca="false">ROW()-3</f>
        <v>77</v>
      </c>
      <c r="B80" s="6" t="s">
        <v>545</v>
      </c>
      <c r="C80" s="6" t="s">
        <v>162</v>
      </c>
      <c r="D80" s="6" t="s">
        <v>546</v>
      </c>
      <c r="E80" s="6" t="s">
        <v>265</v>
      </c>
      <c r="F80" s="5" t="n">
        <v>8</v>
      </c>
      <c r="G80" s="5" t="n">
        <v>17</v>
      </c>
      <c r="H80" s="5" t="n">
        <v>4</v>
      </c>
      <c r="I80" s="6" t="s">
        <v>547</v>
      </c>
      <c r="J80" s="6" t="s">
        <v>548</v>
      </c>
      <c r="K80" s="6" t="s">
        <v>549</v>
      </c>
      <c r="L80" s="6" t="s">
        <v>550</v>
      </c>
      <c r="M80" s="7" t="s">
        <v>551</v>
      </c>
    </row>
    <row r="81" customFormat="false" ht="42" hidden="false" customHeight="true" outlineLevel="0" collapsed="false">
      <c r="A81" s="5" t="n">
        <f aca="false">ROW()-3</f>
        <v>78</v>
      </c>
      <c r="B81" s="6" t="s">
        <v>552</v>
      </c>
      <c r="C81" s="6" t="s">
        <v>553</v>
      </c>
      <c r="D81" s="6" t="s">
        <v>17</v>
      </c>
      <c r="E81" s="6" t="s">
        <v>164</v>
      </c>
      <c r="F81" s="5" t="n">
        <v>13</v>
      </c>
      <c r="G81" s="5" t="n">
        <v>99</v>
      </c>
      <c r="H81" s="5" t="n">
        <v>16</v>
      </c>
      <c r="I81" s="6" t="s">
        <v>554</v>
      </c>
      <c r="J81" s="6" t="s">
        <v>555</v>
      </c>
      <c r="K81" s="6" t="s">
        <v>556</v>
      </c>
      <c r="L81" s="6" t="s">
        <v>557</v>
      </c>
      <c r="M81" s="7" t="s">
        <v>558</v>
      </c>
    </row>
    <row r="82" customFormat="false" ht="42" hidden="false" customHeight="true" outlineLevel="0" collapsed="false">
      <c r="A82" s="5" t="n">
        <f aca="false">ROW()-3</f>
        <v>79</v>
      </c>
      <c r="B82" s="6" t="s">
        <v>559</v>
      </c>
      <c r="C82" s="6" t="s">
        <v>553</v>
      </c>
      <c r="D82" s="6" t="s">
        <v>17</v>
      </c>
      <c r="E82" s="6" t="s">
        <v>560</v>
      </c>
      <c r="F82" s="5" t="n">
        <v>8</v>
      </c>
      <c r="G82" s="5" t="n">
        <v>12.9</v>
      </c>
      <c r="H82" s="5" t="n">
        <v>16</v>
      </c>
      <c r="I82" s="6" t="s">
        <v>561</v>
      </c>
      <c r="J82" s="6" t="s">
        <v>555</v>
      </c>
      <c r="K82" s="6" t="s">
        <v>562</v>
      </c>
      <c r="L82" s="6" t="s">
        <v>563</v>
      </c>
      <c r="M82" s="7" t="s">
        <v>564</v>
      </c>
    </row>
    <row r="83" customFormat="false" ht="42" hidden="false" customHeight="true" outlineLevel="0" collapsed="false">
      <c r="A83" s="5" t="n">
        <f aca="false">ROW()-3</f>
        <v>80</v>
      </c>
      <c r="B83" s="6" t="s">
        <v>565</v>
      </c>
      <c r="C83" s="6" t="s">
        <v>553</v>
      </c>
      <c r="D83" s="6" t="s">
        <v>566</v>
      </c>
      <c r="E83" s="6" t="s">
        <v>95</v>
      </c>
      <c r="F83" s="5" t="n">
        <v>6</v>
      </c>
      <c r="G83" s="5" t="n">
        <v>17.9</v>
      </c>
      <c r="H83" s="5" t="n">
        <v>16</v>
      </c>
      <c r="I83" s="6" t="s">
        <v>567</v>
      </c>
      <c r="J83" s="6" t="s">
        <v>555</v>
      </c>
      <c r="K83" s="6" t="s">
        <v>568</v>
      </c>
      <c r="L83" s="6" t="s">
        <v>569</v>
      </c>
      <c r="M83" s="7" t="s">
        <v>570</v>
      </c>
    </row>
    <row r="84" customFormat="false" ht="42" hidden="false" customHeight="true" outlineLevel="0" collapsed="false">
      <c r="A84" s="5" t="n">
        <f aca="false">ROW()-3</f>
        <v>81</v>
      </c>
      <c r="B84" s="6" t="s">
        <v>571</v>
      </c>
      <c r="C84" s="6" t="s">
        <v>553</v>
      </c>
      <c r="D84" s="6" t="s">
        <v>572</v>
      </c>
      <c r="E84" s="6" t="s">
        <v>573</v>
      </c>
      <c r="F84" s="5" t="n">
        <v>14</v>
      </c>
      <c r="G84" s="5" t="n">
        <v>99</v>
      </c>
      <c r="H84" s="5" t="n">
        <v>5</v>
      </c>
      <c r="I84" s="6" t="s">
        <v>574</v>
      </c>
      <c r="J84" s="6" t="s">
        <v>575</v>
      </c>
      <c r="K84" s="6" t="s">
        <v>576</v>
      </c>
      <c r="L84" s="6" t="s">
        <v>577</v>
      </c>
      <c r="M84" s="7" t="s">
        <v>578</v>
      </c>
    </row>
    <row r="85" customFormat="false" ht="42" hidden="false" customHeight="true" outlineLevel="0" collapsed="false">
      <c r="A85" s="5" t="n">
        <f aca="false">ROW()-3</f>
        <v>82</v>
      </c>
      <c r="B85" s="6" t="s">
        <v>579</v>
      </c>
      <c r="C85" s="6" t="s">
        <v>553</v>
      </c>
      <c r="D85" s="6" t="s">
        <v>572</v>
      </c>
      <c r="E85" s="6" t="s">
        <v>580</v>
      </c>
      <c r="F85" s="5" t="n">
        <v>14</v>
      </c>
      <c r="G85" s="5" t="n">
        <v>99</v>
      </c>
      <c r="H85" s="5" t="n">
        <v>15</v>
      </c>
      <c r="I85" s="6" t="s">
        <v>581</v>
      </c>
      <c r="J85" s="6" t="s">
        <v>582</v>
      </c>
      <c r="K85" s="6" t="s">
        <v>583</v>
      </c>
      <c r="L85" s="6" t="s">
        <v>584</v>
      </c>
      <c r="M85" s="7" t="s">
        <v>585</v>
      </c>
    </row>
    <row r="86" customFormat="false" ht="42" hidden="false" customHeight="true" outlineLevel="0" collapsed="false">
      <c r="A86" s="5" t="n">
        <f aca="false">ROW()-3</f>
        <v>83</v>
      </c>
      <c r="B86" s="6" t="s">
        <v>586</v>
      </c>
      <c r="C86" s="6" t="s">
        <v>587</v>
      </c>
      <c r="D86" s="6" t="s">
        <v>588</v>
      </c>
      <c r="E86" s="6" t="s">
        <v>589</v>
      </c>
      <c r="F86" s="5" t="n">
        <v>12</v>
      </c>
      <c r="G86" s="5" t="n">
        <v>25</v>
      </c>
      <c r="H86" s="5" t="n">
        <v>8</v>
      </c>
      <c r="I86" s="6" t="s">
        <v>590</v>
      </c>
      <c r="J86" s="6" t="s">
        <v>591</v>
      </c>
      <c r="K86" s="6" t="s">
        <v>592</v>
      </c>
      <c r="L86" s="6" t="s">
        <v>593</v>
      </c>
      <c r="M86" s="7" t="s">
        <v>594</v>
      </c>
    </row>
    <row r="87" customFormat="false" ht="42" hidden="false" customHeight="true" outlineLevel="0" collapsed="false">
      <c r="A87" s="5" t="n">
        <f aca="false">ROW()-3</f>
        <v>84</v>
      </c>
      <c r="B87" s="6" t="s">
        <v>595</v>
      </c>
      <c r="C87" s="6" t="s">
        <v>210</v>
      </c>
      <c r="D87" s="6" t="s">
        <v>596</v>
      </c>
      <c r="E87" s="6" t="s">
        <v>173</v>
      </c>
      <c r="F87" s="5" t="n">
        <v>8</v>
      </c>
      <c r="G87" s="5" t="n">
        <v>18.9</v>
      </c>
      <c r="H87" s="5" t="n">
        <v>5</v>
      </c>
      <c r="I87" s="6" t="s">
        <v>597</v>
      </c>
      <c r="J87" s="6" t="s">
        <v>598</v>
      </c>
      <c r="K87" s="6" t="s">
        <v>599</v>
      </c>
      <c r="L87" s="6" t="s">
        <v>600</v>
      </c>
      <c r="M87" s="7" t="s">
        <v>601</v>
      </c>
    </row>
    <row r="88" customFormat="false" ht="42" hidden="false" customHeight="true" outlineLevel="0" collapsed="false">
      <c r="A88" s="5" t="n">
        <f aca="false">ROW()-3</f>
        <v>85</v>
      </c>
      <c r="B88" s="6" t="s">
        <v>602</v>
      </c>
      <c r="C88" s="6" t="s">
        <v>219</v>
      </c>
      <c r="D88" s="6" t="s">
        <v>17</v>
      </c>
      <c r="E88" s="6" t="s">
        <v>603</v>
      </c>
      <c r="F88" s="5" t="n">
        <v>6</v>
      </c>
      <c r="G88" s="5" t="n">
        <v>14.9</v>
      </c>
      <c r="H88" s="5" t="n">
        <v>5</v>
      </c>
      <c r="I88" s="6" t="s">
        <v>604</v>
      </c>
      <c r="J88" s="6" t="s">
        <v>605</v>
      </c>
      <c r="K88" s="6" t="s">
        <v>606</v>
      </c>
      <c r="L88" s="6" t="s">
        <v>607</v>
      </c>
      <c r="M88" s="7" t="s">
        <v>608</v>
      </c>
    </row>
    <row r="89" customFormat="false" ht="42" hidden="false" customHeight="true" outlineLevel="0" collapsed="false">
      <c r="A89" s="5" t="n">
        <f aca="false">ROW()-3</f>
        <v>86</v>
      </c>
      <c r="B89" s="6" t="s">
        <v>609</v>
      </c>
      <c r="C89" s="6" t="s">
        <v>553</v>
      </c>
      <c r="D89" s="6" t="s">
        <v>572</v>
      </c>
      <c r="E89" s="6" t="s">
        <v>610</v>
      </c>
      <c r="F89" s="5" t="n">
        <v>14</v>
      </c>
      <c r="G89" s="5" t="n">
        <v>99</v>
      </c>
      <c r="H89" s="5" t="n">
        <v>15</v>
      </c>
      <c r="I89" s="6" t="s">
        <v>611</v>
      </c>
      <c r="J89" s="6" t="s">
        <v>612</v>
      </c>
      <c r="K89" s="6" t="s">
        <v>613</v>
      </c>
      <c r="L89" s="6" t="s">
        <v>614</v>
      </c>
      <c r="M89" s="7" t="s">
        <v>615</v>
      </c>
    </row>
    <row r="90" customFormat="false" ht="42" hidden="false" customHeight="true" outlineLevel="0" collapsed="false">
      <c r="A90" s="5" t="n">
        <f aca="false">ROW()-3</f>
        <v>87</v>
      </c>
      <c r="B90" s="6" t="s">
        <v>616</v>
      </c>
      <c r="C90" s="6" t="s">
        <v>427</v>
      </c>
      <c r="D90" s="6" t="s">
        <v>17</v>
      </c>
      <c r="E90" s="6" t="s">
        <v>617</v>
      </c>
      <c r="F90" s="5" t="n">
        <v>9</v>
      </c>
      <c r="G90" s="5" t="n">
        <v>17.9</v>
      </c>
      <c r="H90" s="5" t="n">
        <v>6</v>
      </c>
      <c r="I90" s="6" t="s">
        <v>618</v>
      </c>
      <c r="J90" s="6" t="s">
        <v>619</v>
      </c>
      <c r="K90" s="6" t="s">
        <v>620</v>
      </c>
      <c r="L90" s="6" t="s">
        <v>621</v>
      </c>
      <c r="M90" s="7" t="s">
        <v>622</v>
      </c>
    </row>
    <row r="91" customFormat="false" ht="42" hidden="false" customHeight="true" outlineLevel="0" collapsed="false">
      <c r="A91" s="5" t="n">
        <f aca="false">ROW()-3</f>
        <v>88</v>
      </c>
      <c r="B91" s="6" t="s">
        <v>623</v>
      </c>
      <c r="C91" s="6" t="s">
        <v>210</v>
      </c>
      <c r="D91" s="6" t="s">
        <v>272</v>
      </c>
      <c r="E91" s="6" t="s">
        <v>624</v>
      </c>
      <c r="F91" s="5" t="n">
        <v>13</v>
      </c>
      <c r="G91" s="5" t="n">
        <v>18.9</v>
      </c>
      <c r="H91" s="5" t="n">
        <v>6</v>
      </c>
      <c r="I91" s="6" t="s">
        <v>625</v>
      </c>
      <c r="J91" s="6" t="s">
        <v>626</v>
      </c>
      <c r="K91" s="6" t="s">
        <v>627</v>
      </c>
      <c r="L91" s="6" t="s">
        <v>628</v>
      </c>
      <c r="M91" s="7" t="s">
        <v>629</v>
      </c>
    </row>
    <row r="92" customFormat="false" ht="42" hidden="false" customHeight="true" outlineLevel="0" collapsed="false">
      <c r="A92" s="5" t="n">
        <f aca="false">ROW()-3</f>
        <v>89</v>
      </c>
      <c r="B92" s="6" t="s">
        <v>630</v>
      </c>
      <c r="C92" s="6" t="s">
        <v>210</v>
      </c>
      <c r="D92" s="6" t="s">
        <v>631</v>
      </c>
      <c r="E92" s="6" t="s">
        <v>632</v>
      </c>
      <c r="F92" s="5" t="n">
        <v>7</v>
      </c>
      <c r="G92" s="5" t="n">
        <v>12.9</v>
      </c>
      <c r="H92" s="5" t="n">
        <v>5</v>
      </c>
      <c r="I92" s="6" t="s">
        <v>633</v>
      </c>
      <c r="J92" s="6" t="s">
        <v>634</v>
      </c>
      <c r="K92" s="6" t="s">
        <v>635</v>
      </c>
      <c r="L92" s="6" t="s">
        <v>636</v>
      </c>
      <c r="M92" s="7" t="s">
        <v>637</v>
      </c>
    </row>
    <row r="93" customFormat="false" ht="42" hidden="false" customHeight="true" outlineLevel="0" collapsed="false">
      <c r="A93" s="5" t="n">
        <f aca="false">ROW()-3</f>
        <v>90</v>
      </c>
      <c r="B93" s="6" t="s">
        <v>638</v>
      </c>
      <c r="C93" s="6" t="s">
        <v>16</v>
      </c>
      <c r="D93" s="6" t="s">
        <v>33</v>
      </c>
      <c r="E93" s="6" t="s">
        <v>639</v>
      </c>
      <c r="F93" s="5" t="n">
        <v>1.5</v>
      </c>
      <c r="G93" s="5" t="n">
        <v>2.9</v>
      </c>
      <c r="H93" s="5" t="n">
        <v>2</v>
      </c>
      <c r="I93" s="6" t="s">
        <v>640</v>
      </c>
      <c r="J93" s="6" t="s">
        <v>641</v>
      </c>
      <c r="K93" s="6" t="s">
        <v>642</v>
      </c>
      <c r="L93" s="6" t="s">
        <v>643</v>
      </c>
      <c r="M93" s="7" t="s">
        <v>644</v>
      </c>
    </row>
    <row r="94" customFormat="false" ht="42" hidden="false" customHeight="true" outlineLevel="0" collapsed="false">
      <c r="A94" s="5" t="n">
        <f aca="false">ROW()-3</f>
        <v>91</v>
      </c>
      <c r="B94" s="6" t="s">
        <v>645</v>
      </c>
      <c r="C94" s="6" t="s">
        <v>16</v>
      </c>
      <c r="D94" s="6" t="s">
        <v>646</v>
      </c>
      <c r="E94" s="6" t="s">
        <v>647</v>
      </c>
      <c r="F94" s="5" t="n">
        <v>5</v>
      </c>
      <c r="G94" s="5" t="n">
        <v>12</v>
      </c>
      <c r="H94" s="5" t="n">
        <v>4</v>
      </c>
      <c r="I94" s="6" t="s">
        <v>648</v>
      </c>
      <c r="J94" s="6" t="s">
        <v>649</v>
      </c>
      <c r="K94" s="6" t="s">
        <v>650</v>
      </c>
      <c r="L94" s="6" t="s">
        <v>651</v>
      </c>
      <c r="M94" s="7" t="s">
        <v>652</v>
      </c>
    </row>
    <row r="95" customFormat="false" ht="42" hidden="false" customHeight="true" outlineLevel="0" collapsed="false">
      <c r="A95" s="5" t="n">
        <f aca="false">ROW()-3</f>
        <v>92</v>
      </c>
      <c r="B95" s="6" t="s">
        <v>653</v>
      </c>
      <c r="C95" s="6" t="s">
        <v>280</v>
      </c>
      <c r="D95" s="6" t="s">
        <v>33</v>
      </c>
      <c r="E95" s="6" t="s">
        <v>654</v>
      </c>
      <c r="F95" s="5" t="n">
        <v>0</v>
      </c>
      <c r="G95" s="5" t="n">
        <v>99</v>
      </c>
      <c r="H95" s="5" t="n">
        <v>3</v>
      </c>
      <c r="I95" s="6" t="s">
        <v>655</v>
      </c>
      <c r="J95" s="6" t="s">
        <v>656</v>
      </c>
      <c r="K95" s="6" t="s">
        <v>657</v>
      </c>
      <c r="L95" s="6" t="s">
        <v>658</v>
      </c>
      <c r="M95" s="7" t="s">
        <v>659</v>
      </c>
    </row>
    <row r="96" customFormat="false" ht="42" hidden="false" customHeight="true" outlineLevel="0" collapsed="false">
      <c r="A96" s="5" t="n">
        <f aca="false">ROW()-3</f>
        <v>93</v>
      </c>
      <c r="B96" s="6" t="s">
        <v>660</v>
      </c>
      <c r="C96" s="6" t="s">
        <v>280</v>
      </c>
      <c r="D96" s="6" t="s">
        <v>33</v>
      </c>
      <c r="E96" s="6" t="s">
        <v>661</v>
      </c>
      <c r="F96" s="5" t="n">
        <v>0</v>
      </c>
      <c r="G96" s="5" t="n">
        <v>99</v>
      </c>
      <c r="H96" s="5" t="n">
        <v>3</v>
      </c>
      <c r="I96" s="6" t="s">
        <v>662</v>
      </c>
      <c r="J96" s="6" t="s">
        <v>656</v>
      </c>
      <c r="K96" s="6" t="s">
        <v>663</v>
      </c>
      <c r="L96" s="6" t="s">
        <v>664</v>
      </c>
      <c r="M96" s="7" t="s">
        <v>665</v>
      </c>
    </row>
    <row r="97" customFormat="false" ht="42" hidden="false" customHeight="true" outlineLevel="0" collapsed="false">
      <c r="A97" s="5" t="n">
        <f aca="false">ROW()-3</f>
        <v>94</v>
      </c>
      <c r="B97" s="6" t="s">
        <v>666</v>
      </c>
      <c r="C97" s="6" t="s">
        <v>280</v>
      </c>
      <c r="D97" s="6" t="s">
        <v>33</v>
      </c>
      <c r="E97" s="6" t="s">
        <v>65</v>
      </c>
      <c r="F97" s="5" t="n">
        <v>0</v>
      </c>
      <c r="G97" s="5" t="n">
        <v>99</v>
      </c>
      <c r="H97" s="5" t="n">
        <v>3</v>
      </c>
      <c r="I97" s="6" t="s">
        <v>667</v>
      </c>
      <c r="J97" s="6" t="s">
        <v>656</v>
      </c>
      <c r="K97" s="6" t="s">
        <v>668</v>
      </c>
      <c r="L97" s="6" t="s">
        <v>669</v>
      </c>
      <c r="M97" s="7" t="s">
        <v>670</v>
      </c>
    </row>
    <row r="98" customFormat="false" ht="42" hidden="false" customHeight="true" outlineLevel="0" collapsed="false">
      <c r="A98" s="5" t="n">
        <f aca="false">ROW()-3</f>
        <v>95</v>
      </c>
      <c r="B98" s="6" t="s">
        <v>671</v>
      </c>
      <c r="C98" s="6" t="s">
        <v>280</v>
      </c>
      <c r="D98" s="6" t="s">
        <v>33</v>
      </c>
      <c r="E98" s="6" t="s">
        <v>26</v>
      </c>
      <c r="F98" s="5" t="n">
        <v>0</v>
      </c>
      <c r="G98" s="5" t="n">
        <v>99</v>
      </c>
      <c r="H98" s="5" t="n">
        <v>3</v>
      </c>
      <c r="I98" s="6" t="s">
        <v>672</v>
      </c>
      <c r="J98" s="6" t="s">
        <v>656</v>
      </c>
      <c r="K98" s="6" t="s">
        <v>673</v>
      </c>
      <c r="L98" s="6" t="s">
        <v>674</v>
      </c>
      <c r="M98" s="7" t="s">
        <v>675</v>
      </c>
    </row>
    <row r="99" customFormat="false" ht="42" hidden="false" customHeight="true" outlineLevel="0" collapsed="false">
      <c r="A99" s="5" t="n">
        <f aca="false">ROW()-3</f>
        <v>96</v>
      </c>
      <c r="B99" s="6" t="s">
        <v>676</v>
      </c>
      <c r="C99" s="6" t="s">
        <v>400</v>
      </c>
      <c r="D99" s="6" t="s">
        <v>17</v>
      </c>
      <c r="E99" s="6" t="s">
        <v>677</v>
      </c>
      <c r="F99" s="5" t="n">
        <v>17</v>
      </c>
      <c r="G99" s="5" t="n">
        <v>99</v>
      </c>
      <c r="H99" s="5" t="n">
        <v>3</v>
      </c>
      <c r="I99" s="6" t="s">
        <v>678</v>
      </c>
      <c r="J99" s="6" t="s">
        <v>679</v>
      </c>
      <c r="K99" s="6" t="s">
        <v>680</v>
      </c>
      <c r="L99" s="6" t="s">
        <v>681</v>
      </c>
      <c r="M99" s="7" t="s">
        <v>682</v>
      </c>
    </row>
    <row r="100" customFormat="false" ht="42" hidden="false" customHeight="true" outlineLevel="0" collapsed="false">
      <c r="A100" s="5" t="n">
        <f aca="false">ROW()-3</f>
        <v>97</v>
      </c>
      <c r="B100" s="6" t="s">
        <v>683</v>
      </c>
      <c r="C100" s="6" t="s">
        <v>186</v>
      </c>
      <c r="D100" s="6" t="s">
        <v>17</v>
      </c>
      <c r="E100" s="6" t="s">
        <v>684</v>
      </c>
      <c r="F100" s="5" t="n">
        <v>1.3</v>
      </c>
      <c r="G100" s="5" t="n">
        <v>2.5</v>
      </c>
      <c r="H100" s="5" t="n">
        <v>7</v>
      </c>
      <c r="I100" s="6" t="s">
        <v>685</v>
      </c>
      <c r="J100" s="6" t="s">
        <v>686</v>
      </c>
      <c r="K100" s="6" t="s">
        <v>687</v>
      </c>
      <c r="L100" s="6" t="s">
        <v>688</v>
      </c>
      <c r="M100" s="7" t="s">
        <v>689</v>
      </c>
    </row>
    <row r="101" customFormat="false" ht="42" hidden="false" customHeight="true" outlineLevel="0" collapsed="false">
      <c r="A101" s="5" t="n">
        <f aca="false">ROW()-3</f>
        <v>98</v>
      </c>
      <c r="B101" s="6" t="s">
        <v>690</v>
      </c>
      <c r="C101" s="6" t="s">
        <v>280</v>
      </c>
      <c r="D101" s="6" t="s">
        <v>691</v>
      </c>
      <c r="E101" s="6" t="s">
        <v>692</v>
      </c>
      <c r="F101" s="5" t="n">
        <v>3</v>
      </c>
      <c r="G101" s="5" t="n">
        <v>17.9</v>
      </c>
      <c r="H101" s="5" t="n">
        <v>6</v>
      </c>
      <c r="I101" s="6" t="s">
        <v>693</v>
      </c>
      <c r="J101" s="6" t="s">
        <v>694</v>
      </c>
      <c r="K101" s="6" t="s">
        <v>695</v>
      </c>
      <c r="L101" s="6" t="s">
        <v>696</v>
      </c>
      <c r="M101" s="7" t="s">
        <v>697</v>
      </c>
    </row>
    <row r="102" customFormat="false" ht="42" hidden="false" customHeight="true" outlineLevel="0" collapsed="false">
      <c r="A102" s="5" t="n">
        <f aca="false">ROW()-3</f>
        <v>99</v>
      </c>
      <c r="B102" s="6" t="s">
        <v>698</v>
      </c>
      <c r="C102" s="6" t="s">
        <v>280</v>
      </c>
      <c r="D102" s="6" t="s">
        <v>691</v>
      </c>
      <c r="E102" s="6" t="s">
        <v>692</v>
      </c>
      <c r="F102" s="5" t="n">
        <v>3</v>
      </c>
      <c r="G102" s="5" t="n">
        <v>17.9</v>
      </c>
      <c r="H102" s="5" t="n">
        <v>10</v>
      </c>
      <c r="I102" s="6" t="s">
        <v>699</v>
      </c>
      <c r="J102" s="6" t="s">
        <v>700</v>
      </c>
      <c r="K102" s="6" t="s">
        <v>701</v>
      </c>
      <c r="L102" s="6" t="s">
        <v>702</v>
      </c>
      <c r="M102" s="7" t="s">
        <v>703</v>
      </c>
    </row>
    <row r="103" customFormat="false" ht="42" hidden="false" customHeight="true" outlineLevel="0" collapsed="false">
      <c r="A103" s="5" t="n">
        <f aca="false">ROW()-3</f>
        <v>100</v>
      </c>
      <c r="B103" s="6" t="s">
        <v>704</v>
      </c>
      <c r="C103" s="6" t="s">
        <v>162</v>
      </c>
      <c r="D103" s="6" t="s">
        <v>17</v>
      </c>
      <c r="E103" s="6" t="s">
        <v>705</v>
      </c>
      <c r="F103" s="5" t="n">
        <v>18</v>
      </c>
      <c r="G103" s="5" t="n">
        <v>99</v>
      </c>
      <c r="H103" s="5" t="n">
        <v>11</v>
      </c>
      <c r="I103" s="6" t="s">
        <v>706</v>
      </c>
      <c r="J103" s="6" t="s">
        <v>707</v>
      </c>
      <c r="K103" s="6" t="s">
        <v>708</v>
      </c>
      <c r="L103" s="6" t="s">
        <v>709</v>
      </c>
      <c r="M103" s="7" t="s">
        <v>710</v>
      </c>
    </row>
    <row r="104" customFormat="false" ht="42" hidden="false" customHeight="true" outlineLevel="0" collapsed="false">
      <c r="A104" s="5" t="n">
        <f aca="false">ROW()-3</f>
        <v>101</v>
      </c>
      <c r="B104" s="6" t="s">
        <v>711</v>
      </c>
      <c r="C104" s="6" t="s">
        <v>427</v>
      </c>
      <c r="D104" s="6" t="s">
        <v>17</v>
      </c>
      <c r="E104" s="6" t="s">
        <v>677</v>
      </c>
      <c r="F104" s="5" t="n">
        <v>17</v>
      </c>
      <c r="G104" s="5" t="n">
        <v>99</v>
      </c>
      <c r="H104" s="5" t="n">
        <v>5</v>
      </c>
      <c r="I104" s="6" t="s">
        <v>712</v>
      </c>
      <c r="J104" s="6" t="s">
        <v>713</v>
      </c>
      <c r="K104" s="6" t="s">
        <v>714</v>
      </c>
      <c r="L104" s="6" t="s">
        <v>715</v>
      </c>
      <c r="M104" s="7" t="s">
        <v>716</v>
      </c>
    </row>
    <row r="105" customFormat="false" ht="42" hidden="false" customHeight="true" outlineLevel="0" collapsed="false">
      <c r="A105" s="5" t="n">
        <f aca="false">ROW()-3</f>
        <v>102</v>
      </c>
      <c r="B105" s="6" t="s">
        <v>717</v>
      </c>
      <c r="C105" s="6" t="s">
        <v>219</v>
      </c>
      <c r="D105" s="6" t="s">
        <v>718</v>
      </c>
      <c r="E105" s="6" t="s">
        <v>220</v>
      </c>
      <c r="F105" s="5" t="n">
        <v>7</v>
      </c>
      <c r="G105" s="5" t="n">
        <v>17.9</v>
      </c>
      <c r="H105" s="5" t="n">
        <v>6</v>
      </c>
      <c r="I105" s="6" t="s">
        <v>719</v>
      </c>
      <c r="J105" s="6" t="s">
        <v>720</v>
      </c>
      <c r="K105" s="6" t="s">
        <v>721</v>
      </c>
      <c r="L105" s="6" t="s">
        <v>722</v>
      </c>
      <c r="M105" s="7" t="s">
        <v>723</v>
      </c>
    </row>
    <row r="106" customFormat="false" ht="42" hidden="false" customHeight="true" outlineLevel="0" collapsed="false">
      <c r="A106" s="5" t="n">
        <f aca="false">ROW()-3</f>
        <v>103</v>
      </c>
      <c r="B106" s="6" t="s">
        <v>724</v>
      </c>
      <c r="C106" s="6" t="s">
        <v>219</v>
      </c>
      <c r="D106" s="6" t="s">
        <v>17</v>
      </c>
      <c r="E106" s="6" t="s">
        <v>725</v>
      </c>
      <c r="F106" s="5" t="n">
        <v>18</v>
      </c>
      <c r="G106" s="5" t="n">
        <v>99</v>
      </c>
      <c r="H106" s="5" t="n">
        <v>7</v>
      </c>
      <c r="I106" s="6" t="s">
        <v>726</v>
      </c>
      <c r="J106" s="6" t="s">
        <v>727</v>
      </c>
      <c r="K106" s="6" t="s">
        <v>728</v>
      </c>
      <c r="L106" s="6" t="s">
        <v>729</v>
      </c>
      <c r="M106" s="7" t="s">
        <v>730</v>
      </c>
    </row>
    <row r="107" customFormat="false" ht="42" hidden="false" customHeight="true" outlineLevel="0" collapsed="false">
      <c r="A107" s="5" t="n">
        <f aca="false">ROW()-3</f>
        <v>104</v>
      </c>
      <c r="B107" s="6" t="s">
        <v>731</v>
      </c>
      <c r="C107" s="6" t="s">
        <v>427</v>
      </c>
      <c r="D107" s="6" t="s">
        <v>17</v>
      </c>
      <c r="E107" s="6" t="s">
        <v>732</v>
      </c>
      <c r="F107" s="5" t="n">
        <v>18</v>
      </c>
      <c r="G107" s="5" t="n">
        <v>99</v>
      </c>
      <c r="H107" s="5" t="n">
        <v>18</v>
      </c>
      <c r="I107" s="6" t="s">
        <v>733</v>
      </c>
      <c r="J107" s="6" t="s">
        <v>734</v>
      </c>
      <c r="K107" s="6" t="s">
        <v>735</v>
      </c>
      <c r="L107" s="6" t="s">
        <v>736</v>
      </c>
      <c r="M107" s="7" t="s">
        <v>737</v>
      </c>
    </row>
    <row r="108" customFormat="false" ht="42" hidden="false" customHeight="true" outlineLevel="0" collapsed="false">
      <c r="A108" s="5" t="n">
        <f aca="false">ROW()-3</f>
        <v>105</v>
      </c>
      <c r="B108" s="6" t="s">
        <v>738</v>
      </c>
      <c r="C108" s="6" t="s">
        <v>427</v>
      </c>
      <c r="D108" s="6" t="s">
        <v>17</v>
      </c>
      <c r="E108" s="6" t="s">
        <v>345</v>
      </c>
      <c r="F108" s="5" t="n">
        <v>12</v>
      </c>
      <c r="G108" s="5" t="n">
        <v>17.9</v>
      </c>
      <c r="H108" s="5" t="n">
        <v>19</v>
      </c>
      <c r="I108" s="6" t="s">
        <v>739</v>
      </c>
      <c r="J108" s="6" t="s">
        <v>740</v>
      </c>
      <c r="K108" s="6" t="s">
        <v>741</v>
      </c>
      <c r="L108" s="6" t="s">
        <v>742</v>
      </c>
      <c r="M108" s="7" t="s">
        <v>743</v>
      </c>
    </row>
    <row r="109" customFormat="false" ht="42" hidden="false" customHeight="true" outlineLevel="0" collapsed="false">
      <c r="A109" s="5" t="n">
        <f aca="false">ROW()-3</f>
        <v>106</v>
      </c>
      <c r="B109" s="6" t="s">
        <v>744</v>
      </c>
      <c r="C109" s="6" t="s">
        <v>400</v>
      </c>
      <c r="D109" s="6" t="s">
        <v>17</v>
      </c>
      <c r="E109" s="6" t="s">
        <v>745</v>
      </c>
      <c r="F109" s="5" t="n">
        <v>10</v>
      </c>
      <c r="G109" s="5" t="n">
        <v>13.9</v>
      </c>
      <c r="H109" s="5" t="n">
        <v>10</v>
      </c>
      <c r="I109" s="6" t="s">
        <v>746</v>
      </c>
      <c r="J109" s="6" t="s">
        <v>747</v>
      </c>
      <c r="K109" s="6" t="s">
        <v>748</v>
      </c>
      <c r="L109" s="6" t="s">
        <v>749</v>
      </c>
      <c r="M109" s="7" t="s">
        <v>750</v>
      </c>
    </row>
    <row r="110" customFormat="false" ht="42" hidden="false" customHeight="true" outlineLevel="0" collapsed="false">
      <c r="A110" s="5" t="n">
        <f aca="false">ROW()-3</f>
        <v>107</v>
      </c>
      <c r="B110" s="6" t="s">
        <v>751</v>
      </c>
      <c r="C110" s="6" t="s">
        <v>400</v>
      </c>
      <c r="D110" s="6" t="s">
        <v>17</v>
      </c>
      <c r="E110" s="6" t="s">
        <v>752</v>
      </c>
      <c r="F110" s="5" t="n">
        <v>14</v>
      </c>
      <c r="G110" s="5" t="n">
        <v>17.9</v>
      </c>
      <c r="H110" s="5" t="n">
        <v>11</v>
      </c>
      <c r="I110" s="6" t="s">
        <v>753</v>
      </c>
      <c r="J110" s="6" t="s">
        <v>754</v>
      </c>
      <c r="K110" s="6" t="s">
        <v>755</v>
      </c>
      <c r="L110" s="6" t="s">
        <v>756</v>
      </c>
      <c r="M110" s="7" t="s">
        <v>757</v>
      </c>
    </row>
    <row r="111" customFormat="false" ht="42" hidden="false" customHeight="true" outlineLevel="0" collapsed="false">
      <c r="A111" s="5" t="n">
        <f aca="false">ROW()-3</f>
        <v>108</v>
      </c>
      <c r="B111" s="6" t="s">
        <v>758</v>
      </c>
      <c r="C111" s="6" t="s">
        <v>400</v>
      </c>
      <c r="D111" s="6" t="s">
        <v>17</v>
      </c>
      <c r="E111" s="6" t="s">
        <v>745</v>
      </c>
      <c r="F111" s="5" t="n">
        <v>10</v>
      </c>
      <c r="G111" s="5" t="n">
        <v>13.9</v>
      </c>
      <c r="H111" s="5" t="n">
        <v>10</v>
      </c>
      <c r="I111" s="6" t="s">
        <v>759</v>
      </c>
      <c r="J111" s="6" t="s">
        <v>747</v>
      </c>
      <c r="K111" s="6" t="s">
        <v>760</v>
      </c>
      <c r="L111" s="6" t="s">
        <v>761</v>
      </c>
      <c r="M111" s="7" t="s">
        <v>762</v>
      </c>
    </row>
    <row r="112" customFormat="false" ht="42" hidden="false" customHeight="true" outlineLevel="0" collapsed="false">
      <c r="A112" s="5" t="n">
        <f aca="false">ROW()-3</f>
        <v>109</v>
      </c>
      <c r="B112" s="6" t="s">
        <v>763</v>
      </c>
      <c r="C112" s="6" t="s">
        <v>400</v>
      </c>
      <c r="D112" s="6" t="s">
        <v>17</v>
      </c>
      <c r="E112" s="6" t="s">
        <v>752</v>
      </c>
      <c r="F112" s="5" t="n">
        <v>14</v>
      </c>
      <c r="G112" s="5" t="n">
        <v>17.9</v>
      </c>
      <c r="H112" s="5" t="n">
        <v>11</v>
      </c>
      <c r="I112" s="6" t="s">
        <v>764</v>
      </c>
      <c r="J112" s="6" t="s">
        <v>754</v>
      </c>
      <c r="K112" s="6" t="s">
        <v>765</v>
      </c>
      <c r="L112" s="6" t="s">
        <v>766</v>
      </c>
      <c r="M112" s="7" t="s">
        <v>767</v>
      </c>
    </row>
    <row r="113" customFormat="false" ht="42" hidden="false" customHeight="true" outlineLevel="0" collapsed="false">
      <c r="A113" s="5" t="n">
        <f aca="false">ROW()-3</f>
        <v>110</v>
      </c>
      <c r="B113" s="6" t="s">
        <v>768</v>
      </c>
      <c r="C113" s="6" t="s">
        <v>400</v>
      </c>
      <c r="D113" s="6" t="s">
        <v>33</v>
      </c>
      <c r="E113" s="6" t="s">
        <v>95</v>
      </c>
      <c r="F113" s="5" t="n">
        <v>6</v>
      </c>
      <c r="G113" s="5" t="n">
        <v>17.9</v>
      </c>
      <c r="H113" s="5" t="n">
        <v>15</v>
      </c>
      <c r="I113" s="6" t="s">
        <v>769</v>
      </c>
      <c r="J113" s="6" t="s">
        <v>770</v>
      </c>
      <c r="K113" s="6" t="s">
        <v>771</v>
      </c>
      <c r="L113" s="6" t="s">
        <v>772</v>
      </c>
      <c r="M113" s="7" t="s">
        <v>773</v>
      </c>
    </row>
    <row r="114" customFormat="false" ht="42" hidden="false" customHeight="true" outlineLevel="0" collapsed="false">
      <c r="A114" s="5" t="n">
        <f aca="false">ROW()-3</f>
        <v>111</v>
      </c>
      <c r="B114" s="6" t="s">
        <v>774</v>
      </c>
      <c r="C114" s="6" t="s">
        <v>400</v>
      </c>
      <c r="D114" s="6" t="s">
        <v>33</v>
      </c>
      <c r="E114" s="6" t="s">
        <v>95</v>
      </c>
      <c r="F114" s="5" t="n">
        <v>6</v>
      </c>
      <c r="G114" s="5" t="n">
        <v>17.9</v>
      </c>
      <c r="H114" s="5" t="n">
        <v>15</v>
      </c>
      <c r="I114" s="6" t="s">
        <v>775</v>
      </c>
      <c r="J114" s="6" t="s">
        <v>770</v>
      </c>
      <c r="K114" s="6" t="s">
        <v>776</v>
      </c>
      <c r="L114" s="6" t="s">
        <v>777</v>
      </c>
      <c r="M114" s="7" t="s">
        <v>778</v>
      </c>
    </row>
    <row r="115" customFormat="false" ht="42" hidden="false" customHeight="true" outlineLevel="0" collapsed="false">
      <c r="A115" s="5" t="n">
        <f aca="false">ROW()-3</f>
        <v>112</v>
      </c>
      <c r="B115" s="6" t="s">
        <v>779</v>
      </c>
      <c r="C115" s="6" t="s">
        <v>400</v>
      </c>
      <c r="D115" s="6" t="s">
        <v>45</v>
      </c>
      <c r="E115" s="6" t="s">
        <v>95</v>
      </c>
      <c r="F115" s="5" t="n">
        <v>6</v>
      </c>
      <c r="G115" s="5" t="n">
        <v>17.9</v>
      </c>
      <c r="H115" s="5" t="n">
        <v>11</v>
      </c>
      <c r="I115" s="6" t="s">
        <v>780</v>
      </c>
      <c r="J115" s="6" t="s">
        <v>781</v>
      </c>
      <c r="K115" s="6" t="s">
        <v>782</v>
      </c>
      <c r="L115" s="6" t="s">
        <v>783</v>
      </c>
      <c r="M115" s="7" t="s">
        <v>784</v>
      </c>
    </row>
    <row r="116" customFormat="false" ht="42" hidden="false" customHeight="true" outlineLevel="0" collapsed="false">
      <c r="A116" s="5" t="n">
        <f aca="false">ROW()-3</f>
        <v>113</v>
      </c>
      <c r="B116" s="6" t="s">
        <v>785</v>
      </c>
      <c r="C116" s="6" t="s">
        <v>400</v>
      </c>
      <c r="D116" s="6" t="s">
        <v>45</v>
      </c>
      <c r="E116" s="6" t="s">
        <v>95</v>
      </c>
      <c r="F116" s="5" t="n">
        <v>6</v>
      </c>
      <c r="G116" s="5" t="n">
        <v>17.9</v>
      </c>
      <c r="H116" s="5" t="n">
        <v>11</v>
      </c>
      <c r="I116" s="6" t="s">
        <v>786</v>
      </c>
      <c r="J116" s="6" t="s">
        <v>781</v>
      </c>
      <c r="K116" s="6" t="s">
        <v>787</v>
      </c>
      <c r="L116" s="6" t="s">
        <v>788</v>
      </c>
      <c r="M116" s="7" t="s">
        <v>789</v>
      </c>
    </row>
    <row r="117" customFormat="false" ht="42" hidden="false" customHeight="true" outlineLevel="0" collapsed="false">
      <c r="A117" s="5" t="n">
        <f aca="false">ROW()-3</f>
        <v>114</v>
      </c>
      <c r="B117" s="6" t="s">
        <v>790</v>
      </c>
      <c r="C117" s="6" t="s">
        <v>115</v>
      </c>
      <c r="D117" s="6" t="s">
        <v>791</v>
      </c>
      <c r="E117" s="6" t="s">
        <v>792</v>
      </c>
      <c r="F117" s="5" t="n">
        <v>12</v>
      </c>
      <c r="G117" s="5" t="n">
        <v>99</v>
      </c>
      <c r="H117" s="5" t="n">
        <v>8</v>
      </c>
      <c r="I117" s="6" t="s">
        <v>793</v>
      </c>
      <c r="J117" s="6" t="s">
        <v>794</v>
      </c>
      <c r="K117" s="6" t="s">
        <v>795</v>
      </c>
      <c r="L117" s="6" t="s">
        <v>796</v>
      </c>
      <c r="M117" s="7" t="s">
        <v>797</v>
      </c>
    </row>
    <row r="118" customFormat="false" ht="42" hidden="false" customHeight="true" outlineLevel="0" collapsed="false">
      <c r="A118" s="5" t="n">
        <f aca="false">ROW()-3</f>
        <v>115</v>
      </c>
      <c r="B118" s="6" t="s">
        <v>798</v>
      </c>
      <c r="C118" s="6" t="s">
        <v>16</v>
      </c>
      <c r="D118" s="6" t="s">
        <v>156</v>
      </c>
      <c r="E118" s="6" t="s">
        <v>799</v>
      </c>
      <c r="F118" s="5" t="n">
        <v>3</v>
      </c>
      <c r="G118" s="5" t="n">
        <v>14.9</v>
      </c>
      <c r="H118" s="5" t="n">
        <v>13</v>
      </c>
      <c r="I118" s="6" t="s">
        <v>800</v>
      </c>
      <c r="J118" s="6" t="s">
        <v>801</v>
      </c>
      <c r="K118" s="6" t="s">
        <v>802</v>
      </c>
      <c r="L118" s="6" t="s">
        <v>803</v>
      </c>
      <c r="M118" s="7" t="s">
        <v>804</v>
      </c>
    </row>
    <row r="119" customFormat="false" ht="42" hidden="false" customHeight="true" outlineLevel="0" collapsed="false">
      <c r="A119" s="5" t="n">
        <f aca="false">ROW()-3</f>
        <v>116</v>
      </c>
      <c r="B119" s="6" t="s">
        <v>805</v>
      </c>
      <c r="C119" s="6" t="s">
        <v>16</v>
      </c>
      <c r="D119" s="6" t="s">
        <v>806</v>
      </c>
      <c r="E119" s="6" t="s">
        <v>799</v>
      </c>
      <c r="F119" s="5" t="n">
        <v>3</v>
      </c>
      <c r="G119" s="5" t="n">
        <v>14.9</v>
      </c>
      <c r="H119" s="5" t="n">
        <v>13</v>
      </c>
      <c r="I119" s="6" t="s">
        <v>807</v>
      </c>
      <c r="J119" s="6" t="s">
        <v>808</v>
      </c>
      <c r="K119" s="6" t="s">
        <v>809</v>
      </c>
      <c r="L119" s="6" t="s">
        <v>810</v>
      </c>
      <c r="M119" s="7" t="s">
        <v>811</v>
      </c>
    </row>
    <row r="120" customFormat="false" ht="42" hidden="false" customHeight="true" outlineLevel="0" collapsed="false">
      <c r="A120" s="5" t="n">
        <f aca="false">ROW()-3</f>
        <v>117</v>
      </c>
      <c r="B120" s="6" t="s">
        <v>812</v>
      </c>
      <c r="C120" s="6" t="s">
        <v>813</v>
      </c>
      <c r="D120" s="6" t="s">
        <v>814</v>
      </c>
      <c r="E120" s="6" t="s">
        <v>815</v>
      </c>
      <c r="F120" s="5" t="n">
        <v>0</v>
      </c>
      <c r="G120" s="5" t="n">
        <v>13</v>
      </c>
      <c r="H120" s="5" t="n">
        <v>4</v>
      </c>
      <c r="I120" s="6" t="s">
        <v>816</v>
      </c>
      <c r="J120" s="6" t="s">
        <v>817</v>
      </c>
      <c r="K120" s="6" t="s">
        <v>818</v>
      </c>
      <c r="L120" s="6" t="s">
        <v>819</v>
      </c>
      <c r="M120" s="7" t="s">
        <v>820</v>
      </c>
    </row>
    <row r="121" customFormat="false" ht="42" hidden="false" customHeight="true" outlineLevel="0" collapsed="false">
      <c r="A121" s="5" t="n">
        <f aca="false">ROW()-3</f>
        <v>118</v>
      </c>
      <c r="B121" s="6" t="s">
        <v>821</v>
      </c>
      <c r="C121" s="6" t="s">
        <v>115</v>
      </c>
      <c r="D121" s="6" t="s">
        <v>17</v>
      </c>
      <c r="E121" s="6" t="s">
        <v>822</v>
      </c>
      <c r="F121" s="5" t="n">
        <v>10</v>
      </c>
      <c r="G121" s="5" t="n">
        <v>17.9</v>
      </c>
      <c r="H121" s="5" t="n">
        <v>5</v>
      </c>
      <c r="I121" s="6" t="s">
        <v>823</v>
      </c>
      <c r="J121" s="6" t="s">
        <v>824</v>
      </c>
      <c r="K121" s="6" t="s">
        <v>825</v>
      </c>
      <c r="L121" s="6" t="s">
        <v>826</v>
      </c>
      <c r="M121" s="7" t="s">
        <v>827</v>
      </c>
    </row>
    <row r="122" customFormat="false" ht="42" hidden="false" customHeight="true" outlineLevel="0" collapsed="false">
      <c r="A122" s="5" t="n">
        <f aca="false">ROW()-3</f>
        <v>119</v>
      </c>
      <c r="B122" s="6" t="s">
        <v>828</v>
      </c>
      <c r="C122" s="6" t="s">
        <v>115</v>
      </c>
      <c r="D122" s="6" t="s">
        <v>17</v>
      </c>
      <c r="E122" s="6" t="s">
        <v>829</v>
      </c>
      <c r="F122" s="5" t="n">
        <v>10</v>
      </c>
      <c r="G122" s="5" t="n">
        <v>15.9</v>
      </c>
      <c r="H122" s="5" t="n">
        <v>4</v>
      </c>
      <c r="I122" s="6" t="s">
        <v>830</v>
      </c>
      <c r="J122" s="6" t="s">
        <v>831</v>
      </c>
      <c r="K122" s="6" t="s">
        <v>832</v>
      </c>
      <c r="L122" s="6" t="s">
        <v>833</v>
      </c>
      <c r="M122" s="7" t="s">
        <v>834</v>
      </c>
    </row>
    <row r="123" customFormat="false" ht="42" hidden="false" customHeight="true" outlineLevel="0" collapsed="false">
      <c r="A123" s="5" t="n">
        <f aca="false">ROW()-3</f>
        <v>120</v>
      </c>
      <c r="B123" s="6" t="s">
        <v>835</v>
      </c>
      <c r="C123" s="6" t="s">
        <v>280</v>
      </c>
      <c r="D123" s="6" t="s">
        <v>836</v>
      </c>
      <c r="E123" s="6" t="s">
        <v>837</v>
      </c>
      <c r="F123" s="5" t="n">
        <v>0</v>
      </c>
      <c r="G123" s="5" t="n">
        <v>99</v>
      </c>
      <c r="H123" s="5" t="n">
        <v>3</v>
      </c>
      <c r="I123" s="6" t="s">
        <v>838</v>
      </c>
      <c r="J123" s="6" t="s">
        <v>839</v>
      </c>
      <c r="K123" s="6" t="s">
        <v>840</v>
      </c>
      <c r="L123" s="6" t="s">
        <v>841</v>
      </c>
      <c r="M123" s="7" t="s">
        <v>842</v>
      </c>
    </row>
    <row r="124" customFormat="false" ht="42" hidden="false" customHeight="true" outlineLevel="0" collapsed="false">
      <c r="A124" s="5" t="n">
        <f aca="false">ROW()-3</f>
        <v>121</v>
      </c>
      <c r="B124" s="6" t="s">
        <v>843</v>
      </c>
      <c r="C124" s="6" t="s">
        <v>280</v>
      </c>
      <c r="D124" s="6" t="s">
        <v>844</v>
      </c>
      <c r="E124" s="6" t="s">
        <v>837</v>
      </c>
      <c r="F124" s="5" t="n">
        <v>0</v>
      </c>
      <c r="G124" s="5" t="n">
        <v>99</v>
      </c>
      <c r="H124" s="5" t="n">
        <v>3</v>
      </c>
      <c r="I124" s="6" t="s">
        <v>845</v>
      </c>
      <c r="J124" s="6" t="s">
        <v>839</v>
      </c>
      <c r="K124" s="6" t="s">
        <v>846</v>
      </c>
      <c r="L124" s="6" t="s">
        <v>847</v>
      </c>
      <c r="M124" s="7" t="s">
        <v>848</v>
      </c>
    </row>
    <row r="125" customFormat="false" ht="42" hidden="false" customHeight="true" outlineLevel="0" collapsed="false">
      <c r="A125" s="5" t="n">
        <f aca="false">ROW()-3</f>
        <v>122</v>
      </c>
      <c r="B125" s="6" t="s">
        <v>849</v>
      </c>
      <c r="C125" s="6" t="s">
        <v>427</v>
      </c>
      <c r="D125" s="6" t="s">
        <v>272</v>
      </c>
      <c r="E125" s="6" t="s">
        <v>850</v>
      </c>
      <c r="F125" s="5" t="n">
        <v>10</v>
      </c>
      <c r="G125" s="5" t="n">
        <v>24.9</v>
      </c>
      <c r="H125" s="5" t="n">
        <v>22</v>
      </c>
      <c r="I125" s="6" t="s">
        <v>851</v>
      </c>
      <c r="J125" s="6" t="s">
        <v>852</v>
      </c>
      <c r="K125" s="6" t="s">
        <v>853</v>
      </c>
      <c r="L125" s="6" t="s">
        <v>854</v>
      </c>
      <c r="M125" s="7" t="s">
        <v>855</v>
      </c>
    </row>
    <row r="126" customFormat="false" ht="42" hidden="false" customHeight="true" outlineLevel="0" collapsed="false">
      <c r="A126" s="5" t="n">
        <f aca="false">ROW()-3</f>
        <v>123</v>
      </c>
      <c r="B126" s="6" t="s">
        <v>856</v>
      </c>
      <c r="C126" s="6" t="s">
        <v>280</v>
      </c>
      <c r="D126" s="6" t="s">
        <v>33</v>
      </c>
      <c r="E126" s="6" t="s">
        <v>26</v>
      </c>
      <c r="F126" s="5" t="n">
        <v>0</v>
      </c>
      <c r="G126" s="5" t="n">
        <v>5.9</v>
      </c>
      <c r="H126" s="5" t="n">
        <v>3</v>
      </c>
      <c r="I126" s="6" t="s">
        <v>857</v>
      </c>
      <c r="J126" s="6" t="s">
        <v>858</v>
      </c>
      <c r="K126" s="6" t="s">
        <v>859</v>
      </c>
      <c r="L126" s="6" t="s">
        <v>860</v>
      </c>
      <c r="M126" s="7" t="s">
        <v>861</v>
      </c>
    </row>
    <row r="127" customFormat="false" ht="42" hidden="false" customHeight="true" outlineLevel="0" collapsed="false">
      <c r="A127" s="5" t="n">
        <f aca="false">ROW()-3</f>
        <v>124</v>
      </c>
      <c r="B127" s="6" t="s">
        <v>862</v>
      </c>
      <c r="C127" s="6" t="s">
        <v>72</v>
      </c>
      <c r="D127" s="6" t="s">
        <v>863</v>
      </c>
      <c r="E127" s="6" t="s">
        <v>95</v>
      </c>
      <c r="F127" s="5" t="n">
        <v>6</v>
      </c>
      <c r="G127" s="5" t="n">
        <v>17.9</v>
      </c>
      <c r="H127" s="5" t="n">
        <v>9</v>
      </c>
      <c r="I127" s="6" t="s">
        <v>864</v>
      </c>
      <c r="J127" s="6" t="s">
        <v>865</v>
      </c>
      <c r="K127" s="6" t="s">
        <v>866</v>
      </c>
      <c r="L127" s="6" t="s">
        <v>867</v>
      </c>
      <c r="M127" s="7" t="s">
        <v>868</v>
      </c>
    </row>
    <row r="128" customFormat="false" ht="42" hidden="false" customHeight="true" outlineLevel="0" collapsed="false">
      <c r="A128" s="5" t="n">
        <f aca="false">ROW()-3</f>
        <v>125</v>
      </c>
      <c r="B128" s="6" t="s">
        <v>869</v>
      </c>
      <c r="C128" s="6" t="s">
        <v>72</v>
      </c>
      <c r="D128" s="6" t="s">
        <v>33</v>
      </c>
      <c r="E128" s="6" t="s">
        <v>95</v>
      </c>
      <c r="F128" s="5" t="n">
        <v>6</v>
      </c>
      <c r="G128" s="5" t="n">
        <v>17.9</v>
      </c>
      <c r="H128" s="5" t="n">
        <v>9</v>
      </c>
      <c r="I128" s="6" t="s">
        <v>870</v>
      </c>
      <c r="J128" s="6" t="s">
        <v>871</v>
      </c>
      <c r="K128" s="6" t="s">
        <v>872</v>
      </c>
      <c r="L128" s="6" t="s">
        <v>873</v>
      </c>
      <c r="M128" s="7" t="s">
        <v>874</v>
      </c>
    </row>
    <row r="129" customFormat="false" ht="42" hidden="false" customHeight="true" outlineLevel="0" collapsed="false">
      <c r="A129" s="5" t="n">
        <f aca="false">ROW()-3</f>
        <v>126</v>
      </c>
      <c r="B129" s="6" t="s">
        <v>875</v>
      </c>
      <c r="C129" s="6" t="s">
        <v>16</v>
      </c>
      <c r="D129" s="6" t="s">
        <v>17</v>
      </c>
      <c r="E129" s="6" t="s">
        <v>73</v>
      </c>
      <c r="F129" s="5" t="n">
        <v>16</v>
      </c>
      <c r="G129" s="5" t="n">
        <v>99</v>
      </c>
      <c r="H129" s="5" t="n">
        <v>5</v>
      </c>
      <c r="I129" s="6" t="s">
        <v>876</v>
      </c>
      <c r="J129" s="6" t="s">
        <v>877</v>
      </c>
      <c r="K129" s="6" t="s">
        <v>878</v>
      </c>
      <c r="L129" s="6" t="s">
        <v>879</v>
      </c>
      <c r="M129" s="7" t="s">
        <v>880</v>
      </c>
    </row>
    <row r="130" customFormat="false" ht="42" hidden="false" customHeight="true" outlineLevel="0" collapsed="false">
      <c r="A130" s="5" t="n">
        <f aca="false">ROW()-3</f>
        <v>127</v>
      </c>
      <c r="B130" s="6" t="s">
        <v>881</v>
      </c>
      <c r="C130" s="6" t="s">
        <v>16</v>
      </c>
      <c r="D130" s="6" t="s">
        <v>882</v>
      </c>
      <c r="E130" s="6" t="s">
        <v>883</v>
      </c>
      <c r="F130" s="5" t="n">
        <v>3</v>
      </c>
      <c r="G130" s="5" t="n">
        <v>70</v>
      </c>
      <c r="H130" s="5" t="n">
        <v>7</v>
      </c>
      <c r="I130" s="6" t="s">
        <v>884</v>
      </c>
      <c r="J130" s="6" t="s">
        <v>885</v>
      </c>
      <c r="K130" s="6" t="s">
        <v>886</v>
      </c>
      <c r="L130" s="6" t="s">
        <v>887</v>
      </c>
      <c r="M130" s="7" t="s">
        <v>888</v>
      </c>
    </row>
    <row r="131" customFormat="false" ht="42" hidden="false" customHeight="true" outlineLevel="0" collapsed="false">
      <c r="A131" s="5" t="n">
        <f aca="false">ROW()-3</f>
        <v>128</v>
      </c>
      <c r="B131" s="6" t="s">
        <v>889</v>
      </c>
      <c r="C131" s="6" t="s">
        <v>219</v>
      </c>
      <c r="D131" s="6" t="s">
        <v>814</v>
      </c>
      <c r="E131" s="6" t="s">
        <v>617</v>
      </c>
      <c r="F131" s="5" t="n">
        <v>9</v>
      </c>
      <c r="G131" s="5" t="n">
        <v>18</v>
      </c>
      <c r="H131" s="5" t="n">
        <v>8</v>
      </c>
      <c r="I131" s="6" t="s">
        <v>890</v>
      </c>
      <c r="J131" s="6" t="s">
        <v>891</v>
      </c>
      <c r="K131" s="6" t="s">
        <v>892</v>
      </c>
      <c r="L131" s="6" t="s">
        <v>893</v>
      </c>
      <c r="M131" s="7" t="s">
        <v>894</v>
      </c>
    </row>
    <row r="132" customFormat="false" ht="42" hidden="false" customHeight="true" outlineLevel="0" collapsed="false">
      <c r="A132" s="5" t="n">
        <f aca="false">ROW()-3</f>
        <v>129</v>
      </c>
      <c r="B132" s="6" t="s">
        <v>895</v>
      </c>
      <c r="C132" s="6" t="s">
        <v>219</v>
      </c>
      <c r="D132" s="6" t="s">
        <v>17</v>
      </c>
      <c r="E132" s="6" t="s">
        <v>617</v>
      </c>
      <c r="F132" s="5" t="n">
        <v>9</v>
      </c>
      <c r="G132" s="5" t="n">
        <v>18</v>
      </c>
      <c r="H132" s="5" t="n">
        <v>8</v>
      </c>
      <c r="I132" s="6" t="s">
        <v>896</v>
      </c>
      <c r="J132" s="6" t="s">
        <v>891</v>
      </c>
      <c r="K132" s="6" t="s">
        <v>897</v>
      </c>
      <c r="L132" s="6" t="s">
        <v>898</v>
      </c>
      <c r="M132" s="7" t="s">
        <v>899</v>
      </c>
    </row>
    <row r="133" customFormat="false" ht="42" hidden="false" customHeight="true" outlineLevel="0" collapsed="false">
      <c r="A133" s="5" t="n">
        <f aca="false">ROW()-3</f>
        <v>130</v>
      </c>
      <c r="B133" s="6" t="s">
        <v>900</v>
      </c>
      <c r="C133" s="6" t="s">
        <v>219</v>
      </c>
      <c r="D133" s="6" t="s">
        <v>814</v>
      </c>
      <c r="E133" s="6" t="s">
        <v>617</v>
      </c>
      <c r="F133" s="5" t="n">
        <v>9</v>
      </c>
      <c r="G133" s="5" t="n">
        <v>18</v>
      </c>
      <c r="H133" s="5" t="n">
        <v>13</v>
      </c>
      <c r="I133" s="6" t="s">
        <v>901</v>
      </c>
      <c r="J133" s="6" t="s">
        <v>902</v>
      </c>
      <c r="K133" s="6" t="s">
        <v>903</v>
      </c>
      <c r="L133" s="6" t="s">
        <v>904</v>
      </c>
      <c r="M133" s="7" t="s">
        <v>905</v>
      </c>
    </row>
    <row r="134" customFormat="false" ht="42" hidden="false" customHeight="true" outlineLevel="0" collapsed="false">
      <c r="A134" s="5" t="n">
        <f aca="false">ROW()-3</f>
        <v>131</v>
      </c>
      <c r="B134" s="6" t="s">
        <v>906</v>
      </c>
      <c r="C134" s="6" t="s">
        <v>219</v>
      </c>
      <c r="D134" s="6" t="s">
        <v>17</v>
      </c>
      <c r="E134" s="6" t="s">
        <v>617</v>
      </c>
      <c r="F134" s="5" t="n">
        <v>9</v>
      </c>
      <c r="G134" s="5" t="n">
        <v>18</v>
      </c>
      <c r="H134" s="5" t="n">
        <v>13</v>
      </c>
      <c r="I134" s="6" t="s">
        <v>907</v>
      </c>
      <c r="J134" s="6" t="s">
        <v>902</v>
      </c>
      <c r="K134" s="6" t="s">
        <v>908</v>
      </c>
      <c r="L134" s="6" t="s">
        <v>909</v>
      </c>
      <c r="M134" s="7" t="s">
        <v>910</v>
      </c>
    </row>
    <row r="135" customFormat="false" ht="42" hidden="false" customHeight="true" outlineLevel="0" collapsed="false">
      <c r="A135" s="5" t="n">
        <f aca="false">ROW()-3</f>
        <v>132</v>
      </c>
      <c r="B135" s="6" t="s">
        <v>911</v>
      </c>
      <c r="C135" s="6" t="s">
        <v>219</v>
      </c>
      <c r="D135" s="6" t="s">
        <v>17</v>
      </c>
      <c r="E135" s="6" t="s">
        <v>912</v>
      </c>
      <c r="F135" s="5" t="n">
        <v>12</v>
      </c>
      <c r="G135" s="5" t="n">
        <v>20</v>
      </c>
      <c r="H135" s="5" t="n">
        <v>1</v>
      </c>
      <c r="I135" s="6" t="s">
        <v>913</v>
      </c>
      <c r="J135" s="6" t="s">
        <v>914</v>
      </c>
      <c r="K135" s="6" t="s">
        <v>915</v>
      </c>
      <c r="L135" s="6" t="s">
        <v>916</v>
      </c>
      <c r="M135" s="7" t="s">
        <v>917</v>
      </c>
    </row>
    <row r="136" customFormat="false" ht="42" hidden="false" customHeight="true" outlineLevel="0" collapsed="false">
      <c r="A136" s="5" t="n">
        <f aca="false">ROW()-3</f>
        <v>133</v>
      </c>
      <c r="B136" s="6" t="s">
        <v>918</v>
      </c>
      <c r="C136" s="6" t="s">
        <v>219</v>
      </c>
      <c r="D136" s="6" t="s">
        <v>17</v>
      </c>
      <c r="E136" s="6" t="s">
        <v>173</v>
      </c>
      <c r="F136" s="5" t="n">
        <v>8</v>
      </c>
      <c r="G136" s="5" t="n">
        <v>17.9</v>
      </c>
      <c r="H136" s="5" t="n">
        <v>8</v>
      </c>
      <c r="I136" s="6" t="s">
        <v>919</v>
      </c>
      <c r="J136" s="6" t="s">
        <v>920</v>
      </c>
      <c r="K136" s="6" t="s">
        <v>921</v>
      </c>
      <c r="L136" s="6" t="s">
        <v>922</v>
      </c>
      <c r="M136" s="7" t="s">
        <v>923</v>
      </c>
    </row>
    <row r="137" customFormat="false" ht="42" hidden="false" customHeight="true" outlineLevel="0" collapsed="false">
      <c r="A137" s="5" t="n">
        <f aca="false">ROW()-3</f>
        <v>134</v>
      </c>
      <c r="B137" s="6" t="s">
        <v>924</v>
      </c>
      <c r="C137" s="6" t="s">
        <v>219</v>
      </c>
      <c r="D137" s="6" t="s">
        <v>33</v>
      </c>
      <c r="E137" s="6" t="s">
        <v>173</v>
      </c>
      <c r="F137" s="5" t="n">
        <v>8</v>
      </c>
      <c r="G137" s="5" t="n">
        <v>17.9</v>
      </c>
      <c r="H137" s="5" t="n">
        <v>8</v>
      </c>
      <c r="I137" s="6" t="s">
        <v>925</v>
      </c>
      <c r="J137" s="6" t="s">
        <v>920</v>
      </c>
      <c r="K137" s="6" t="s">
        <v>926</v>
      </c>
      <c r="L137" s="6" t="s">
        <v>927</v>
      </c>
      <c r="M137" s="7" t="s">
        <v>928</v>
      </c>
    </row>
    <row r="138" customFormat="false" ht="42" hidden="false" customHeight="true" outlineLevel="0" collapsed="false">
      <c r="A138" s="5" t="n">
        <f aca="false">ROW()-3</f>
        <v>135</v>
      </c>
      <c r="B138" s="6" t="s">
        <v>929</v>
      </c>
      <c r="C138" s="6" t="s">
        <v>553</v>
      </c>
      <c r="D138" s="6" t="s">
        <v>572</v>
      </c>
      <c r="E138" s="6" t="s">
        <v>930</v>
      </c>
      <c r="F138" s="5" t="n">
        <v>13</v>
      </c>
      <c r="G138" s="5" t="n">
        <v>99</v>
      </c>
      <c r="H138" s="5" t="n">
        <v>7</v>
      </c>
      <c r="I138" s="6" t="s">
        <v>931</v>
      </c>
      <c r="J138" s="6" t="s">
        <v>932</v>
      </c>
      <c r="K138" s="6" t="s">
        <v>933</v>
      </c>
      <c r="L138" s="6" t="s">
        <v>934</v>
      </c>
      <c r="M138" s="7" t="s">
        <v>935</v>
      </c>
    </row>
    <row r="139" customFormat="false" ht="42" hidden="false" customHeight="true" outlineLevel="0" collapsed="false">
      <c r="A139" s="5" t="n">
        <f aca="false">ROW()-3</f>
        <v>136</v>
      </c>
      <c r="B139" s="6" t="s">
        <v>936</v>
      </c>
      <c r="C139" s="6" t="s">
        <v>400</v>
      </c>
      <c r="D139" s="6" t="s">
        <v>272</v>
      </c>
      <c r="E139" s="6" t="s">
        <v>937</v>
      </c>
      <c r="F139" s="5" t="n">
        <v>11</v>
      </c>
      <c r="G139" s="5" t="n">
        <v>17.9</v>
      </c>
      <c r="H139" s="5" t="n">
        <v>4</v>
      </c>
      <c r="I139" s="6" t="s">
        <v>938</v>
      </c>
      <c r="J139" s="6" t="s">
        <v>939</v>
      </c>
      <c r="K139" s="6" t="s">
        <v>940</v>
      </c>
      <c r="L139" s="6" t="s">
        <v>941</v>
      </c>
      <c r="M139" s="7" t="s">
        <v>942</v>
      </c>
    </row>
    <row r="140" customFormat="false" ht="42" hidden="false" customHeight="true" outlineLevel="0" collapsed="false">
      <c r="A140" s="5" t="n">
        <f aca="false">ROW()-3</f>
        <v>137</v>
      </c>
      <c r="B140" s="6" t="s">
        <v>943</v>
      </c>
      <c r="C140" s="6" t="s">
        <v>131</v>
      </c>
      <c r="D140" s="6" t="s">
        <v>944</v>
      </c>
      <c r="E140" s="6" t="s">
        <v>945</v>
      </c>
      <c r="F140" s="5" t="n">
        <v>5</v>
      </c>
      <c r="G140" s="5" t="n">
        <v>11</v>
      </c>
      <c r="H140" s="5" t="n">
        <v>3</v>
      </c>
      <c r="I140" s="6" t="s">
        <v>946</v>
      </c>
      <c r="J140" s="6" t="s">
        <v>947</v>
      </c>
      <c r="K140" s="6" t="s">
        <v>948</v>
      </c>
      <c r="L140" s="6" t="s">
        <v>949</v>
      </c>
      <c r="M140" s="7" t="s">
        <v>950</v>
      </c>
    </row>
    <row r="141" customFormat="false" ht="42" hidden="false" customHeight="true" outlineLevel="0" collapsed="false">
      <c r="A141" s="5" t="n">
        <f aca="false">ROW()-3</f>
        <v>138</v>
      </c>
      <c r="B141" s="6" t="s">
        <v>951</v>
      </c>
      <c r="C141" s="6" t="s">
        <v>400</v>
      </c>
      <c r="D141" s="6" t="s">
        <v>952</v>
      </c>
      <c r="E141" s="6" t="s">
        <v>95</v>
      </c>
      <c r="F141" s="5" t="n">
        <v>6</v>
      </c>
      <c r="G141" s="5" t="n">
        <v>17.9</v>
      </c>
      <c r="H141" s="5" t="n">
        <v>6</v>
      </c>
      <c r="I141" s="6" t="s">
        <v>953</v>
      </c>
      <c r="J141" s="6" t="s">
        <v>954</v>
      </c>
      <c r="K141" s="6" t="s">
        <v>955</v>
      </c>
      <c r="L141" s="6" t="s">
        <v>956</v>
      </c>
      <c r="M141" s="7" t="s">
        <v>957</v>
      </c>
    </row>
    <row r="142" customFormat="false" ht="42" hidden="false" customHeight="true" outlineLevel="0" collapsed="false">
      <c r="A142" s="5" t="n">
        <f aca="false">ROW()-3</f>
        <v>139</v>
      </c>
      <c r="B142" s="6" t="s">
        <v>958</v>
      </c>
      <c r="C142" s="6" t="s">
        <v>219</v>
      </c>
      <c r="D142" s="6" t="s">
        <v>33</v>
      </c>
      <c r="E142" s="6" t="s">
        <v>959</v>
      </c>
      <c r="F142" s="5" t="n">
        <v>3</v>
      </c>
      <c r="G142" s="5" t="n">
        <v>12.9</v>
      </c>
      <c r="H142" s="5" t="n">
        <v>6</v>
      </c>
      <c r="I142" s="6" t="s">
        <v>960</v>
      </c>
      <c r="J142" s="6" t="s">
        <v>961</v>
      </c>
      <c r="K142" s="6" t="s">
        <v>962</v>
      </c>
      <c r="L142" s="6" t="s">
        <v>963</v>
      </c>
      <c r="M142" s="7" t="s">
        <v>964</v>
      </c>
    </row>
    <row r="143" customFormat="false" ht="42" hidden="false" customHeight="true" outlineLevel="0" collapsed="false">
      <c r="A143" s="5" t="n">
        <f aca="false">ROW()-3</f>
        <v>140</v>
      </c>
      <c r="B143" s="6" t="s">
        <v>965</v>
      </c>
      <c r="C143" s="6" t="s">
        <v>219</v>
      </c>
      <c r="D143" s="6" t="s">
        <v>156</v>
      </c>
      <c r="E143" s="6" t="s">
        <v>959</v>
      </c>
      <c r="F143" s="5" t="n">
        <v>3</v>
      </c>
      <c r="G143" s="5" t="n">
        <v>12.9</v>
      </c>
      <c r="H143" s="5" t="n">
        <v>6</v>
      </c>
      <c r="I143" s="6" t="s">
        <v>966</v>
      </c>
      <c r="J143" s="6" t="s">
        <v>961</v>
      </c>
      <c r="K143" s="6" t="s">
        <v>967</v>
      </c>
      <c r="L143" s="6" t="s">
        <v>968</v>
      </c>
      <c r="M143" s="7" t="s">
        <v>969</v>
      </c>
    </row>
    <row r="144" customFormat="false" ht="42" hidden="false" customHeight="true" outlineLevel="0" collapsed="false">
      <c r="A144" s="5" t="n">
        <f aca="false">ROW()-3</f>
        <v>141</v>
      </c>
      <c r="B144" s="6" t="s">
        <v>970</v>
      </c>
      <c r="C144" s="6" t="s">
        <v>441</v>
      </c>
      <c r="D144" s="6" t="s">
        <v>172</v>
      </c>
      <c r="E144" s="6" t="s">
        <v>624</v>
      </c>
      <c r="F144" s="5" t="n">
        <v>1.1</v>
      </c>
      <c r="G144" s="5" t="n">
        <v>1.5</v>
      </c>
      <c r="H144" s="5" t="n">
        <v>11</v>
      </c>
      <c r="I144" s="6" t="s">
        <v>971</v>
      </c>
      <c r="J144" s="6" t="s">
        <v>972</v>
      </c>
      <c r="K144" s="6" t="s">
        <v>973</v>
      </c>
      <c r="L144" s="6" t="s">
        <v>974</v>
      </c>
      <c r="M144" s="7" t="s">
        <v>975</v>
      </c>
    </row>
    <row r="145" customFormat="false" ht="42" hidden="false" customHeight="true" outlineLevel="0" collapsed="false">
      <c r="A145" s="5" t="n">
        <f aca="false">ROW()-3</f>
        <v>142</v>
      </c>
      <c r="B145" s="6" t="s">
        <v>976</v>
      </c>
      <c r="C145" s="6" t="s">
        <v>441</v>
      </c>
      <c r="D145" s="6" t="s">
        <v>172</v>
      </c>
      <c r="E145" s="6" t="s">
        <v>977</v>
      </c>
      <c r="F145" s="5" t="n">
        <v>0.7</v>
      </c>
      <c r="G145" s="5" t="n">
        <v>1.2</v>
      </c>
      <c r="H145" s="5" t="n">
        <v>9</v>
      </c>
      <c r="I145" s="6" t="s">
        <v>978</v>
      </c>
      <c r="J145" s="6" t="s">
        <v>979</v>
      </c>
      <c r="K145" s="6" t="s">
        <v>980</v>
      </c>
      <c r="L145" s="6" t="s">
        <v>981</v>
      </c>
      <c r="M145" s="7" t="s">
        <v>982</v>
      </c>
    </row>
    <row r="146" customFormat="false" ht="42" hidden="false" customHeight="true" outlineLevel="0" collapsed="false">
      <c r="A146" s="5" t="n">
        <f aca="false">ROW()-3</f>
        <v>143</v>
      </c>
      <c r="B146" s="6" t="s">
        <v>983</v>
      </c>
      <c r="C146" s="6" t="s">
        <v>441</v>
      </c>
      <c r="D146" s="6" t="s">
        <v>45</v>
      </c>
      <c r="E146" s="6" t="s">
        <v>984</v>
      </c>
      <c r="F146" s="5" t="n">
        <v>0.7</v>
      </c>
      <c r="G146" s="5" t="n">
        <v>1.2</v>
      </c>
      <c r="H146" s="5" t="n">
        <v>6</v>
      </c>
      <c r="I146" s="6" t="s">
        <v>985</v>
      </c>
      <c r="J146" s="6" t="s">
        <v>986</v>
      </c>
      <c r="K146" s="6" t="s">
        <v>987</v>
      </c>
      <c r="L146" s="6" t="s">
        <v>988</v>
      </c>
      <c r="M146" s="7" t="s">
        <v>989</v>
      </c>
    </row>
    <row r="147" customFormat="false" ht="42" hidden="false" customHeight="true" outlineLevel="0" collapsed="false">
      <c r="A147" s="5" t="n">
        <f aca="false">ROW()-3</f>
        <v>144</v>
      </c>
      <c r="B147" s="6" t="s">
        <v>990</v>
      </c>
      <c r="C147" s="6" t="s">
        <v>441</v>
      </c>
      <c r="D147" s="6" t="s">
        <v>17</v>
      </c>
      <c r="E147" s="6" t="s">
        <v>991</v>
      </c>
      <c r="F147" s="5" t="n">
        <v>1.4</v>
      </c>
      <c r="G147" s="5" t="n">
        <v>2.5</v>
      </c>
      <c r="H147" s="5" t="n">
        <v>16</v>
      </c>
      <c r="I147" s="6" t="s">
        <v>992</v>
      </c>
      <c r="J147" s="6" t="s">
        <v>993</v>
      </c>
      <c r="K147" s="6" t="s">
        <v>994</v>
      </c>
      <c r="L147" s="6" t="s">
        <v>995</v>
      </c>
      <c r="M147" s="7" t="s">
        <v>996</v>
      </c>
    </row>
    <row r="148" customFormat="false" ht="42" hidden="false" customHeight="true" outlineLevel="0" collapsed="false">
      <c r="A148" s="5" t="n">
        <f aca="false">ROW()-3</f>
        <v>145</v>
      </c>
      <c r="B148" s="6" t="s">
        <v>997</v>
      </c>
      <c r="C148" s="6" t="s">
        <v>441</v>
      </c>
      <c r="D148" s="6" t="s">
        <v>172</v>
      </c>
      <c r="E148" s="6" t="s">
        <v>998</v>
      </c>
      <c r="F148" s="5" t="n">
        <v>0.7</v>
      </c>
      <c r="G148" s="5" t="n">
        <v>1.2</v>
      </c>
      <c r="H148" s="5" t="n">
        <v>13</v>
      </c>
      <c r="I148" s="6" t="s">
        <v>999</v>
      </c>
      <c r="J148" s="6" t="s">
        <v>1000</v>
      </c>
      <c r="K148" s="6" t="s">
        <v>1001</v>
      </c>
      <c r="L148" s="6" t="s">
        <v>1002</v>
      </c>
      <c r="M148" s="7" t="s">
        <v>1003</v>
      </c>
    </row>
    <row r="149" customFormat="false" ht="42" hidden="false" customHeight="true" outlineLevel="0" collapsed="false">
      <c r="A149" s="5" t="n">
        <f aca="false">ROW()-3</f>
        <v>146</v>
      </c>
      <c r="B149" s="6" t="s">
        <v>1004</v>
      </c>
      <c r="C149" s="6" t="s">
        <v>16</v>
      </c>
      <c r="D149" s="6" t="s">
        <v>33</v>
      </c>
      <c r="E149" s="6" t="s">
        <v>180</v>
      </c>
      <c r="F149" s="5" t="n">
        <v>4</v>
      </c>
      <c r="G149" s="5" t="n">
        <v>17.9</v>
      </c>
      <c r="H149" s="5" t="n">
        <v>7</v>
      </c>
      <c r="I149" s="6" t="s">
        <v>1005</v>
      </c>
      <c r="J149" s="6" t="s">
        <v>1006</v>
      </c>
      <c r="K149" s="6" t="s">
        <v>1007</v>
      </c>
      <c r="L149" s="6" t="s">
        <v>1008</v>
      </c>
      <c r="M149" s="7" t="s">
        <v>1009</v>
      </c>
    </row>
    <row r="150" customFormat="false" ht="210" hidden="false" customHeight="true" outlineLevel="0" collapsed="false">
      <c r="A150" s="5" t="n">
        <f aca="false">ROW()-3</f>
        <v>147</v>
      </c>
      <c r="B150" s="6" t="s">
        <v>1010</v>
      </c>
      <c r="C150" s="6" t="s">
        <v>16</v>
      </c>
      <c r="D150" s="6" t="s">
        <v>45</v>
      </c>
      <c r="E150" s="6" t="s">
        <v>180</v>
      </c>
      <c r="F150" s="5" t="n">
        <v>4</v>
      </c>
      <c r="G150" s="5" t="n">
        <v>17.9</v>
      </c>
      <c r="H150" s="5" t="n">
        <v>7</v>
      </c>
      <c r="I150" s="6" t="s">
        <v>1011</v>
      </c>
      <c r="J150" s="6" t="s">
        <v>1006</v>
      </c>
      <c r="K150" s="6" t="s">
        <v>1012</v>
      </c>
      <c r="L150" s="6" t="s">
        <v>1013</v>
      </c>
      <c r="M150" s="7" t="s">
        <v>1014</v>
      </c>
    </row>
    <row r="151" customFormat="false" ht="42" hidden="false" customHeight="true" outlineLevel="0" collapsed="false">
      <c r="A151" s="5" t="n">
        <f aca="false">ROW()-3</f>
        <v>148</v>
      </c>
      <c r="B151" s="6" t="s">
        <v>1015</v>
      </c>
      <c r="C151" s="6" t="s">
        <v>219</v>
      </c>
      <c r="D151" s="6" t="s">
        <v>17</v>
      </c>
      <c r="E151" s="6" t="s">
        <v>265</v>
      </c>
      <c r="F151" s="5" t="n">
        <v>8</v>
      </c>
      <c r="G151" s="5" t="n">
        <v>17.9</v>
      </c>
      <c r="H151" s="5" t="n">
        <v>4</v>
      </c>
      <c r="I151" s="6" t="s">
        <v>1016</v>
      </c>
      <c r="J151" s="6" t="s">
        <v>1017</v>
      </c>
      <c r="K151" s="6" t="s">
        <v>1018</v>
      </c>
      <c r="L151" s="6" t="s">
        <v>1019</v>
      </c>
      <c r="M151" s="7" t="s">
        <v>1020</v>
      </c>
    </row>
    <row r="152" customFormat="false" ht="42" hidden="false" customHeight="true" outlineLevel="0" collapsed="false">
      <c r="A152" s="5" t="n">
        <f aca="false">ROW()-3</f>
        <v>149</v>
      </c>
      <c r="B152" s="6" t="s">
        <v>1021</v>
      </c>
      <c r="C152" s="6" t="s">
        <v>72</v>
      </c>
      <c r="D152" s="6" t="s">
        <v>17</v>
      </c>
      <c r="E152" s="6" t="s">
        <v>617</v>
      </c>
      <c r="F152" s="5" t="n">
        <v>9</v>
      </c>
      <c r="G152" s="5" t="n">
        <v>19</v>
      </c>
      <c r="H152" s="5" t="n">
        <v>12</v>
      </c>
      <c r="I152" s="6" t="s">
        <v>1022</v>
      </c>
      <c r="J152" s="6" t="s">
        <v>1023</v>
      </c>
      <c r="K152" s="6" t="s">
        <v>1024</v>
      </c>
      <c r="L152" s="6" t="s">
        <v>1025</v>
      </c>
      <c r="M152" s="7" t="s">
        <v>1026</v>
      </c>
    </row>
    <row r="153" customFormat="false" ht="42" hidden="false" customHeight="true" outlineLevel="0" collapsed="false">
      <c r="A153" s="5" t="n">
        <f aca="false">ROW()-3</f>
        <v>150</v>
      </c>
      <c r="B153" s="6" t="s">
        <v>1027</v>
      </c>
      <c r="C153" s="6" t="s">
        <v>131</v>
      </c>
      <c r="D153" s="6" t="s">
        <v>1028</v>
      </c>
      <c r="E153" s="6" t="s">
        <v>95</v>
      </c>
      <c r="F153" s="5" t="n">
        <v>6</v>
      </c>
      <c r="G153" s="5" t="n">
        <v>17.9</v>
      </c>
      <c r="H153" s="5" t="n">
        <v>2</v>
      </c>
      <c r="I153" s="6" t="s">
        <v>1029</v>
      </c>
      <c r="J153" s="6" t="s">
        <v>1030</v>
      </c>
      <c r="K153" s="6" t="s">
        <v>1031</v>
      </c>
      <c r="L153" s="6" t="s">
        <v>1032</v>
      </c>
      <c r="M153" s="7" t="s">
        <v>1033</v>
      </c>
    </row>
    <row r="154" customFormat="false" ht="42" hidden="false" customHeight="true" outlineLevel="0" collapsed="false">
      <c r="A154" s="5" t="n">
        <f aca="false">ROW()-3</f>
        <v>151</v>
      </c>
      <c r="B154" s="6" t="s">
        <v>1034</v>
      </c>
      <c r="C154" s="6" t="s">
        <v>210</v>
      </c>
      <c r="D154" s="6" t="s">
        <v>17</v>
      </c>
      <c r="E154" s="6" t="s">
        <v>837</v>
      </c>
      <c r="F154" s="5" t="n">
        <v>16</v>
      </c>
      <c r="G154" s="5" t="n">
        <v>99</v>
      </c>
      <c r="H154" s="5" t="n">
        <v>4</v>
      </c>
      <c r="I154" s="6" t="s">
        <v>1035</v>
      </c>
      <c r="J154" s="6" t="s">
        <v>1036</v>
      </c>
      <c r="K154" s="6" t="s">
        <v>1037</v>
      </c>
      <c r="L154" s="6" t="s">
        <v>1038</v>
      </c>
      <c r="M154" s="7" t="s">
        <v>1039</v>
      </c>
    </row>
    <row r="155" customFormat="false" ht="220.5" hidden="false" customHeight="true" outlineLevel="0" collapsed="false">
      <c r="A155" s="5" t="n">
        <f aca="false">ROW()-3</f>
        <v>152</v>
      </c>
      <c r="B155" s="6" t="s">
        <v>1040</v>
      </c>
      <c r="C155" s="6" t="s">
        <v>1041</v>
      </c>
      <c r="D155" s="6" t="s">
        <v>187</v>
      </c>
      <c r="E155" s="6" t="s">
        <v>1042</v>
      </c>
      <c r="F155" s="5" t="n">
        <v>3</v>
      </c>
      <c r="G155" s="5" t="n">
        <v>17.9</v>
      </c>
      <c r="H155" s="5" t="n">
        <v>13</v>
      </c>
      <c r="I155" s="6" t="s">
        <v>1043</v>
      </c>
      <c r="J155" s="6" t="s">
        <v>1044</v>
      </c>
      <c r="K155" s="6" t="s">
        <v>1045</v>
      </c>
      <c r="L155" s="6" t="s">
        <v>1046</v>
      </c>
      <c r="M155" s="7" t="s">
        <v>1047</v>
      </c>
    </row>
    <row r="156" customFormat="false" ht="120" hidden="false" customHeight="true" outlineLevel="0" collapsed="false">
      <c r="A156" s="5" t="n">
        <v>153</v>
      </c>
      <c r="B156" s="6" t="s">
        <v>1048</v>
      </c>
      <c r="C156" s="6" t="s">
        <v>1049</v>
      </c>
      <c r="D156" s="6" t="s">
        <v>33</v>
      </c>
      <c r="E156" s="6" t="s">
        <v>1050</v>
      </c>
      <c r="F156" s="5" t="n">
        <v>2</v>
      </c>
      <c r="G156" s="5" t="n">
        <v>10.9</v>
      </c>
      <c r="H156" s="5" t="n">
        <v>9</v>
      </c>
      <c r="I156" s="6" t="s">
        <v>1051</v>
      </c>
      <c r="J156" s="6" t="s">
        <v>1052</v>
      </c>
      <c r="K156" s="6" t="s">
        <v>1053</v>
      </c>
      <c r="L156" s="6" t="s">
        <v>1054</v>
      </c>
      <c r="M156" s="7" t="s">
        <v>1055</v>
      </c>
    </row>
    <row r="157" customFormat="false" ht="120" hidden="false" customHeight="true" outlineLevel="0" collapsed="false">
      <c r="A157" s="5" t="n">
        <v>154</v>
      </c>
      <c r="B157" s="6" t="s">
        <v>1056</v>
      </c>
      <c r="C157" s="6" t="s">
        <v>1049</v>
      </c>
      <c r="D157" s="6" t="s">
        <v>17</v>
      </c>
      <c r="E157" s="6" t="s">
        <v>632</v>
      </c>
      <c r="F157" s="5" t="n">
        <v>7</v>
      </c>
      <c r="G157" s="5" t="n">
        <v>12.9</v>
      </c>
      <c r="H157" s="5" t="n">
        <v>8</v>
      </c>
      <c r="I157" s="6" t="s">
        <v>1057</v>
      </c>
      <c r="J157" s="6" t="s">
        <v>1058</v>
      </c>
      <c r="K157" s="6" t="s">
        <v>1059</v>
      </c>
      <c r="L157" s="6" t="s">
        <v>1060</v>
      </c>
      <c r="M157" s="7" t="s">
        <v>1061</v>
      </c>
    </row>
    <row r="158" customFormat="false" ht="120" hidden="false" customHeight="true" outlineLevel="0" collapsed="false">
      <c r="A158" s="5" t="n">
        <v>155</v>
      </c>
      <c r="B158" s="6" t="s">
        <v>1062</v>
      </c>
      <c r="C158" s="6" t="s">
        <v>16</v>
      </c>
      <c r="D158" s="6" t="s">
        <v>1063</v>
      </c>
      <c r="E158" s="6" t="s">
        <v>95</v>
      </c>
      <c r="F158" s="5" t="n">
        <v>6</v>
      </c>
      <c r="G158" s="5" t="n">
        <v>18.9</v>
      </c>
      <c r="H158" s="5" t="n">
        <v>5</v>
      </c>
      <c r="I158" s="6" t="s">
        <v>1064</v>
      </c>
      <c r="J158" s="6" t="s">
        <v>1065</v>
      </c>
      <c r="K158" s="6" t="s">
        <v>1066</v>
      </c>
      <c r="L158" s="6" t="s">
        <v>1067</v>
      </c>
      <c r="M158" s="7" t="s">
        <v>1068</v>
      </c>
    </row>
    <row r="159" customFormat="false" ht="84.75" hidden="false" customHeight="true" outlineLevel="0" collapsed="false">
      <c r="A159" s="5" t="n">
        <v>156</v>
      </c>
      <c r="B159" s="6" t="s">
        <v>1069</v>
      </c>
      <c r="C159" s="6" t="s">
        <v>1041</v>
      </c>
      <c r="D159" s="6" t="s">
        <v>17</v>
      </c>
      <c r="E159" s="6" t="s">
        <v>108</v>
      </c>
      <c r="F159" s="5" t="n">
        <v>11</v>
      </c>
      <c r="G159" s="5" t="n">
        <v>18</v>
      </c>
      <c r="H159" s="5" t="n">
        <v>6</v>
      </c>
      <c r="I159" s="6" t="s">
        <v>1070</v>
      </c>
      <c r="J159" s="6" t="s">
        <v>1071</v>
      </c>
      <c r="K159" s="6" t="s">
        <v>1072</v>
      </c>
      <c r="L159" s="6" t="s">
        <v>1073</v>
      </c>
      <c r="M159" s="7" t="s">
        <v>1074</v>
      </c>
    </row>
    <row r="160" customFormat="false" ht="84.75" hidden="false" customHeight="true" outlineLevel="0" collapsed="false">
      <c r="A160" s="5" t="n">
        <f aca="false">ROW()-3</f>
        <v>157</v>
      </c>
      <c r="B160" s="6" t="s">
        <v>1075</v>
      </c>
      <c r="C160" s="6" t="s">
        <v>1041</v>
      </c>
      <c r="D160" s="6" t="s">
        <v>17</v>
      </c>
      <c r="E160" s="6" t="s">
        <v>345</v>
      </c>
      <c r="F160" s="5" t="n">
        <v>12</v>
      </c>
      <c r="G160" s="5" t="n">
        <v>18</v>
      </c>
      <c r="H160" s="5" t="n">
        <v>6</v>
      </c>
      <c r="I160" s="6" t="s">
        <v>1076</v>
      </c>
      <c r="J160" s="6" t="s">
        <v>1077</v>
      </c>
      <c r="K160" s="6" t="s">
        <v>1078</v>
      </c>
      <c r="L160" s="6" t="s">
        <v>1079</v>
      </c>
      <c r="M160" s="7" t="s">
        <v>1080</v>
      </c>
    </row>
    <row r="161" customFormat="false" ht="95.25" hidden="false" customHeight="true" outlineLevel="0" collapsed="false">
      <c r="A161" s="5" t="n">
        <f aca="false">ROW()-3</f>
        <v>158</v>
      </c>
      <c r="B161" s="6" t="s">
        <v>1081</v>
      </c>
      <c r="C161" s="6" t="s">
        <v>1041</v>
      </c>
      <c r="D161" s="6" t="s">
        <v>33</v>
      </c>
      <c r="E161" s="6" t="s">
        <v>52</v>
      </c>
      <c r="F161" s="5" t="n">
        <v>0</v>
      </c>
      <c r="G161" s="5" t="n">
        <v>18</v>
      </c>
      <c r="H161" s="5" t="n">
        <v>6</v>
      </c>
      <c r="I161" s="6" t="s">
        <v>1082</v>
      </c>
      <c r="J161" s="6" t="s">
        <v>1083</v>
      </c>
      <c r="K161" s="6" t="s">
        <v>1084</v>
      </c>
      <c r="L161" s="6" t="s">
        <v>1085</v>
      </c>
      <c r="M161" s="7" t="s">
        <v>1086</v>
      </c>
    </row>
    <row r="162" customFormat="false" ht="95.25" hidden="false" customHeight="true" outlineLevel="0" collapsed="false">
      <c r="A162" s="5" t="n">
        <f aca="false">ROW()-3</f>
        <v>159</v>
      </c>
      <c r="B162" s="6" t="s">
        <v>1087</v>
      </c>
      <c r="C162" s="6" t="s">
        <v>162</v>
      </c>
      <c r="D162" s="6" t="s">
        <v>1088</v>
      </c>
      <c r="E162" s="6" t="s">
        <v>1089</v>
      </c>
      <c r="F162" s="5" t="n">
        <v>11</v>
      </c>
      <c r="G162" s="5" t="n">
        <v>99</v>
      </c>
      <c r="H162" s="5" t="n">
        <v>11</v>
      </c>
      <c r="I162" s="6" t="s">
        <v>1090</v>
      </c>
      <c r="J162" s="6" t="s">
        <v>1091</v>
      </c>
      <c r="K162" s="6" t="s">
        <v>1092</v>
      </c>
      <c r="L162" s="6" t="s">
        <v>1093</v>
      </c>
      <c r="M162" s="7" t="s">
        <v>1094</v>
      </c>
    </row>
  </sheetData>
  <mergeCells count="2">
    <mergeCell ref="A1:M1"/>
    <mergeCell ref="A2:M2"/>
  </mergeCells>
  <hyperlinks>
    <hyperlink ref="M4" r:id="rId1" display="https://correiaricardina-ui.github.io/questionarios/ABAS3_Autorrelato_v1.html"/>
    <hyperlink ref="M5" r:id="rId2" display="https://correiaricardina-ui.github.io/questionarios/ABAS3_PreEscolar_Educador.html"/>
    <hyperlink ref="M6" r:id="rId3" display="https://correiaricardina-ui.github.io/questionarios/ABAS3_Pais_v2.html"/>
    <hyperlink ref="M7" r:id="rId4" display="https://correiaricardina-ui.github.io/questionarios/ABAS3_PreEscolar.html"/>
    <hyperlink ref="M8" r:id="rId5" display="https://correiaricardina-ui.github.io/questionarios/ABAS3_Professor_v2.html"/>
    <hyperlink ref="M9" r:id="rId6" display="https://correiaricardina-ui.github.io/questionarios/Anamnese_HP_v1.html"/>
    <hyperlink ref="M10" r:id="rId7" display="https://correiaricardina-ui.github.io/questionarios/Anamnese_complementar_v2.html"/>
    <hyperlink ref="M12" r:id="rId8" display="https://correiaricardina-ui.github.io/questionarios/AQ_BussPerry_v1.html"/>
    <hyperlink ref="M13" r:id="rId9" display="https://correiaricardina-ui.github.io/questionarios/AQ_Child_v1.html"/>
    <hyperlink ref="M14" r:id="rId10" display="https://correiaricardina-ui.github.io/questionarios/CBCL_15_v5.html"/>
    <hyperlink ref="M15" r:id="rId11" display="https://correiaricardina-ui.github.io/questionarios/CBCL_618_v1.html"/>
    <hyperlink ref="M16" r:id="rId12" display="https://correiaricardina-ui.github.io/questionarios/TRF_618_v1.html"/>
    <hyperlink ref="M17" r:id="rId13" display="https://correiaricardina-ui.github.io/questionarios/YSR_1118_v2.html"/>
    <hyperlink ref="M18" r:id="rId14" display="https://correiaricardina-ui.github.io/questionarios/BAS3_v1.html"/>
    <hyperlink ref="M19" r:id="rId15" display="https://correiaricardina-ui.github.io/questionarios/BESAA_v1.html"/>
    <hyperlink ref="M20" r:id="rId16" display="https://correiaricardina-ui.github.io/questionarios/BRIEF_Autoavaliacao_v2.html"/>
    <hyperlink ref="M21" r:id="rId17" display="https://correiaricardina-ui.github.io/questionarios/BRIEF_Pais_v5.html"/>
    <hyperlink ref="M22" r:id="rId18" display="https://correiaricardina-ui.github.io/questionarios/BRIEF_Professores_v3.html"/>
    <hyperlink ref="M23" r:id="rId19" display="https://correiaricardina-ui.github.io/questionarios/BRIEF_PreEscolar_Pais_v2.html"/>
    <hyperlink ref="M24" r:id="rId20" display="https://correiaricardina-ui.github.io/questionarios/BRIEF_PreEscolar_Professores_v2.html"/>
    <hyperlink ref="M25" r:id="rId21" display="https://correiaricardina-ui.github.io/questionarios/BSI_v1.html"/>
    <hyperlink ref="M26" r:id="rId22" display="https://correiaricardina-ui.github.io/questionarios/CABS_Autorrelato.html"/>
    <hyperlink ref="M27" r:id="rId23" display="https://correiaricardina-ui.github.io/questionarios/CABS_Heterorrelato.html"/>
    <hyperlink ref="M28" r:id="rId24" display="https://correiaricardina-ui.github.io/questionarios/CARS2-HP_v1.html"/>
    <hyperlink ref="M29" r:id="rId25" display="https://correiaricardina-ui.github.io/questionarios/CARS2-QPC_v1.html"/>
    <hyperlink ref="M30" r:id="rId26" display="https://correiaricardina-ui.github.io/questionarios/CARS2-ST_v1.html"/>
    <hyperlink ref="M31" r:id="rId27" display="https://correiaricardina-ui.github.io/questionarios/CCBQ_v1.html"/>
    <hyperlink ref="M32" r:id="rId28" display="https://correiaricardina-ui.github.io/questionarios/CDI2_SR_v1.html"/>
    <hyperlink ref="M33" r:id="rId29" display="https://correiaricardina-ui.github.io/questionarios/CERQ_18_v1.html"/>
    <hyperlink ref="M34" r:id="rId30" display="https://correiaricardina-ui.github.io/questionarios/CERQ_36_v1.html"/>
    <hyperlink ref="M35" r:id="rId31" display="https://correiaricardina-ui.github.io/questionarios/CERQ_K_v1.html"/>
    <hyperlink ref="M36" r:id="rId32" display="https://correiaricardina-ui.github.io/questionarios/ChEAT_v1.html"/>
    <hyperlink ref="M37" r:id="rId33" display="https://correiaricardina-ui.github.io/questionarios/checklist_obs_medicacao_PHDA_casa.html"/>
    <hyperlink ref="M38" r:id="rId34" display="https://correiaricardina-ui.github.io/questionarios/checklist_obs_medicacao_PHDA_escola.html"/>
    <hyperlink ref="M39" r:id="rId35" display="https://correiaricardina-ui.github.io/questionarios/CMAS_R_v1.html"/>
    <hyperlink ref="M40" r:id="rId36" display="https://correiaricardina-ui.github.io/questionarios/Collins_Silhuetas.html"/>
    <hyperlink ref="M41" r:id="rId37" display="https://correiaricardina-ui.github.io/questionarios/COMPA_A_Mae.html"/>
    <hyperlink ref="M42" r:id="rId38" display="https://correiaricardina-ui.github.io/questionarios/COMPA_A_Pai.html"/>
    <hyperlink ref="M43" r:id="rId39" display="https://correiaricardina-ui.github.io/questionarios/COMPA_C_Mae.html"/>
    <hyperlink ref="M44" r:id="rId40" display="https://correiaricardina-ui.github.io/questionarios/COMPA_C_Pai.html"/>
    <hyperlink ref="M45" r:id="rId41" display="https://correiaricardina-ui.github.io/questionarios/COMPA_P.html"/>
    <hyperlink ref="M46" r:id="rId42" display="https://correiaricardina-ui.github.io/questionarios/Conners3_Pais_Full.html"/>
    <hyperlink ref="M47" r:id="rId43" display="https://correiaricardina-ui.github.io/questionarios/Conners3_Pais_Short.html"/>
    <hyperlink ref="M48" r:id="rId44" display="https://correiaricardina-ui.github.io/questionarios/Conners3_Professores_Full.html"/>
    <hyperlink ref="M49" r:id="rId45" display="https://correiaricardina-ui.github.io/questionarios/Conners3_Professores_Short.html"/>
    <hyperlink ref="M50" r:id="rId46" display="https://correiaricardina-ui.github.io/questionarios/CSSRS_v1.html"/>
    <hyperlink ref="M51" r:id="rId47" display="https://correiaricardina-ui.github.io/questionarios/C-SSRS-A_Adolescente_v1.html"/>
    <hyperlink ref="M52" r:id="rId48" display="https://correiaricardina-ui.github.io/questionarios/C-SSRS-DC_DeficeCognitivo_v1.html"/>
    <hyperlink ref="M53" r:id="rId49" display="https://correiaricardina-ui.github.io/questionarios/C-SSRS-P_Pediatrica_v1.html"/>
    <hyperlink ref="M54" r:id="rId50" display="https://correiaricardina-ui.github.io/questionarios/CTRF_15_v2.html"/>
    <hyperlink ref="M55" r:id="rId51" display="https://correiaricardina-ui.github.io/questionarios/DERS_v1.html"/>
    <hyperlink ref="M56" r:id="rId52" display="https://correiaricardina-ui.github.io/questionarios/Diario_Episodios_v1.html"/>
    <hyperlink ref="M58" r:id="rId53" display="https://correiaricardina-ui.github.io/questionarios/DIVA5_v1.html"/>
    <hyperlink ref="M59" r:id="rId54" display="https://correiaricardina-ui.github.io/questionarios/EAFE_v2.html"/>
    <hyperlink ref="M60" r:id="rId55" display="https://correiaricardina-ui.github.io/questionarios/EAT26_v2.html"/>
    <hyperlink ref="M61" r:id="rId56" display="https://correiaricardina-ui.github.io/questionarios/ECE-FEA.html"/>
    <hyperlink ref="M62" r:id="rId57" display="https://correiaricardina-ui.github.io/questionarios/EDEQ_v1.html"/>
    <hyperlink ref="M63" r:id="rId58" display="https://correiaricardina-ui.github.io/questionarios/EMP_F_v1.html"/>
    <hyperlink ref="M64" r:id="rId59" display="https://correiaricardina-ui.github.io/questionarios/EMP_HF_v1.html"/>
    <hyperlink ref="M65" r:id="rId60" display="https://correiaricardina-ui.github.io/questionarios/EPCAS_PE_v1.html"/>
    <hyperlink ref="M66" r:id="rId61" display="https://correiaricardina-ui.github.io/questionarios/ERC_Pais_v1.html"/>
    <hyperlink ref="M67" r:id="rId62" display="https://correiaricardina-ui.github.io/questionarios/ERC_Professores_v1.html"/>
    <hyperlink ref="M68" r:id="rId63" display="https://correiaricardina-ui.github.io/questionarios/ERICA_v1.html"/>
    <hyperlink ref="M69" r:id="rId64" display="https://correiaricardina-ui.github.io/questionarios/ERQ_CA_v1.html"/>
    <hyperlink ref="M70" r:id="rId65" display="https://correiaricardina-ui.github.io/questionarios/FACES_IV_adap.html"/>
    <hyperlink ref="M71" r:id="rId66" display="https://correiaricardina-ui.github.io/questionarios/FAD_60_v1.html"/>
    <hyperlink ref="M72" r:id="rId67" display="https://correiaricardina-ui.github.io/questionarios/FAD_GF_v2.html"/>
    <hyperlink ref="M73" r:id="rId68" display="https://correiaricardina-ui.github.io/questionarios/FAS_CR_Adolescencia.html"/>
    <hyperlink ref="M74" r:id="rId69" display="https://correiaricardina-ui.github.io/questionarios/FAS_CR_Infancia.html"/>
    <hyperlink ref="M75" r:id="rId70" display="https://correiaricardina-ui.github.io/questionarios/FAS_Parental.html"/>
    <hyperlink ref="M76" r:id="rId71" display="https://correiaricardina-ui.github.io/questionarios/FASA_CR_Adolescencia.html"/>
    <hyperlink ref="M77" r:id="rId72" display="https://correiaricardina-ui.github.io/questionarios/FASA_CR_Infancia.html"/>
    <hyperlink ref="M78" r:id="rId73" display="https://correiaricardina-ui.github.io/questionarios/FASA_Parental.html"/>
    <hyperlink ref="M79" r:id="rId74" display="https://correiaricardina-ui.github.io/questionarios/FSSC_R_v1.html"/>
    <hyperlink ref="M81" r:id="rId75" display="https://correiaricardina-ui.github.io/questionarios/IIM_AdolAdultos_v1.html"/>
    <hyperlink ref="M82" r:id="rId76" display="https://correiaricardina-ui.github.io/questionarios/IIM_Criancas_v1.html"/>
    <hyperlink ref="M83" r:id="rId77" display="https://correiaricardina-ui.github.io/questionarios/IIM_Heterorrelato_v1.html"/>
    <hyperlink ref="M84" r:id="rId78" display="https://correiaricardina-ui.github.io/questionarios/IMC_C.html"/>
    <hyperlink ref="M85" r:id="rId79" display="https://correiaricardina-ui.github.io/questionarios/IPP-R_v1.html"/>
    <hyperlink ref="M86" r:id="rId80" display="https://correiaricardina-ui.github.io/questionarios/ISAS_v1.html"/>
    <hyperlink ref="M87" r:id="rId81" display="https://correiaricardina-ui.github.io/questionarios/ISC24.html"/>
    <hyperlink ref="M88" r:id="rId82" display="https://correiaricardina-ui.github.io/questionarios/ISS_ESI_v1.html"/>
    <hyperlink ref="M89" r:id="rId83" display="https://correiaricardina-ui.github.io/questionarios/IVP_Super_v1.html"/>
    <hyperlink ref="M90" r:id="rId84" display="https://correiaricardina-ui.github.io/questionarios/JTCI_92.html"/>
    <hyperlink ref="M91" r:id="rId85" display="https://correiaricardina-ui.github.io/questionarios/Kidcope_Adolescentes_v1.html"/>
    <hyperlink ref="M92" r:id="rId86" display="https://correiaricardina-ui.github.io/questionarios/Kidcope_Criancas_v1.html"/>
    <hyperlink ref="M93" r:id="rId87" display="https://correiaricardina-ui.github.io/questionarios/LDS_v2.html"/>
    <hyperlink ref="M95" r:id="rId88" display="https://correiaricardina-ui.github.io/questionarios/MAP_ParentalAvaliacaoSistemica_1214_v1.html"/>
    <hyperlink ref="M96" r:id="rId89" display="https://correiaricardina-ui.github.io/questionarios/MAP_ParentalAvaliacaoSistemica_1518_v1.html"/>
    <hyperlink ref="M97" r:id="rId90" display="https://correiaricardina-ui.github.io/questionarios/MAP_ParentalAvaliacaoSistemica_v1.html"/>
    <hyperlink ref="M98" r:id="rId91" display="https://correiaricardina-ui.github.io/questionarios/MAP_ParentalAvaliacaoSistemica_PI_v1.html"/>
    <hyperlink ref="M99" r:id="rId92" display="https://correiaricardina-ui.github.io/questionarios/MBI-SS_v1.html"/>
    <hyperlink ref="M100" r:id="rId93" display="https://correiaricardina-ui.github.io/questionarios/M-CHAT-R-F_v1.html"/>
    <hyperlink ref="M101" r:id="rId94" display="https://correiaricardina-ui.github.io/questionarios/MCP_Breve.html"/>
    <hyperlink ref="M102" r:id="rId95" display="https://correiaricardina-ui.github.io/questionarios/MCP_Completo.html"/>
    <hyperlink ref="M103" r:id="rId96" display="https://correiaricardina-ui.github.io/questionarios/MDQ_v1.html"/>
    <hyperlink ref="M104" r:id="rId97" display="https://correiaricardina-ui.github.io/questionarios/NEO_PIR_v1.html"/>
    <hyperlink ref="M105" r:id="rId98" display="https://correiaricardina-ui.github.io/questionarios/OCI_CV_R_v1.html"/>
    <hyperlink ref="M106" r:id="rId99" display="https://correiaricardina-ui.github.io/questionarios/OCI_R_v1.html"/>
    <hyperlink ref="M107" r:id="rId100" display="https://correiaricardina-ui.github.io/questionarios/PAI_adult_final.html"/>
    <hyperlink ref="M108" r:id="rId101" display="https://correiaricardina-ui.github.io/questionarios/PAI_A_final.html"/>
    <hyperlink ref="M109" r:id="rId102" display="https://correiaricardina-ui.github.io/questionarios/PALS_Student_2-3ciclo_v1.html"/>
    <hyperlink ref="M110" r:id="rId103" display="https://correiaricardina-ui.github.io/questionarios/PALS_Student_Secundario_v1.html"/>
    <hyperlink ref="M111" r:id="rId104" display="https://correiaricardina-ui.github.io/questionarios/PALS_Student_2-3ciclo_Reduzido_v1.html"/>
    <hyperlink ref="M112" r:id="rId105" display="https://correiaricardina-ui.github.io/questionarios/PALS_Student_Secundario_Reduzido_v1.html"/>
    <hyperlink ref="M113" r:id="rId106" display="https://correiaricardina-ui.github.io/questionarios/PALS_Parent_v1.html"/>
    <hyperlink ref="M114" r:id="rId107" display="https://correiaricardina-ui.github.io/questionarios/PALS_Parent_Reduzido_v1.html"/>
    <hyperlink ref="M115" r:id="rId108" display="https://correiaricardina-ui.github.io/questionarios/PALS_Teacher_v1.html"/>
    <hyperlink ref="M116" r:id="rId109" display="https://correiaricardina-ui.github.io/questionarios/PALS_Teacher_Reduzido_v1.html"/>
    <hyperlink ref="M117" r:id="rId110" display="https://correiaricardina-ui.github.io/questionarios/PPGRJ_v1.html"/>
    <hyperlink ref="M118" r:id="rId111" display="https://correiaricardina-ui.github.io/questionarios/PS2_Escola_v1.html"/>
    <hyperlink ref="M119" r:id="rId112" display="https://correiaricardina-ui.github.io/questionarios/PS2_Pais_v1.html"/>
    <hyperlink ref="M120" r:id="rId113" display="https://correiaricardina-ui.github.io/questionarios/PSI4_adap.html"/>
    <hyperlink ref="M121" r:id="rId114" display="https://correiaricardina-ui.github.io/questionarios/QACSE_C_v1.html"/>
    <hyperlink ref="M122" r:id="rId115" display="https://correiaricardina-ui.github.io/questionarios/QACSE_R_v1.html"/>
    <hyperlink ref="M123" r:id="rId116" display="https://correiaricardina-ui.github.io/questionarios/QC_Mae.html"/>
    <hyperlink ref="M124" r:id="rId117" display="https://correiaricardina-ui.github.io/questionarios/QC_Pai.html"/>
    <hyperlink ref="M125" r:id="rId118" display="https://correiaricardina-ui.github.io/questionarios/QEA_questionario.html"/>
    <hyperlink ref="M126" r:id="rId119" display="https://correiaricardina-ui.github.io/questionarios/QEDP_v2.html"/>
    <hyperlink ref="M127" r:id="rId120" display="https://correiaricardina-ui.github.io/questionarios/QEE_Escola_v1.html"/>
    <hyperlink ref="M128" r:id="rId121" display="https://correiaricardina-ui.github.io/questionarios/QEP_Pais_v1.html"/>
    <hyperlink ref="M129" r:id="rId122" display="https://correiaricardina-ui.github.io/questionarios/RAADS_R_v1.html"/>
    <hyperlink ref="M130" r:id="rId123" display="https://correiaricardina-ui.github.io/questionarios/RBS_R.html"/>
    <hyperlink ref="M131" r:id="rId124" display="https://correiaricardina-ui.github.io/questionarios/RCADS25_Pais_v2.html"/>
    <hyperlink ref="M132" r:id="rId125" display="https://correiaricardina-ui.github.io/questionarios/RCADS25_Youth_v2.html"/>
    <hyperlink ref="M133" r:id="rId126" display="https://correiaricardina-ui.github.io/questionarios/RCADS47_Pais_v2.html"/>
    <hyperlink ref="M134" r:id="rId127" display="https://correiaricardina-ui.github.io/questionarios/RCADS47_Youth_v2.html"/>
    <hyperlink ref="M135" r:id="rId128" display="https://correiaricardina-ui.github.io/questionarios/RSES_v1.html"/>
    <hyperlink ref="M136" r:id="rId129" display="https://correiaricardina-ui.github.io/questionarios/SCARED_R_Crianca.html"/>
    <hyperlink ref="M137" r:id="rId130" display="https://correiaricardina-ui.github.io/questionarios/SCARED_R_Pais.html"/>
    <hyperlink ref="M138" r:id="rId131" display="https://correiaricardina-ui.github.io/questionarios/SDS_Holland.html"/>
    <hyperlink ref="M139" r:id="rId132" display="https://correiaricardina-ui.github.io/questionarios/SEQC_v2.html"/>
    <hyperlink ref="M141" r:id="rId133" display="https://correiaricardina-ui.github.io/questionarios/SOCIOGRAMA_RC_v1.html"/>
    <hyperlink ref="M142" r:id="rId134" display="https://correiaricardina-ui.github.io/questionarios/SPAS_Pais.html"/>
    <hyperlink ref="M143" r:id="rId135" display="https://correiaricardina-ui.github.io/questionarios/SPAS_Educador.html"/>
    <hyperlink ref="M144" r:id="rId136" display="https://correiaricardina-ui.github.io/questionarios/SPPA.html"/>
    <hyperlink ref="M145" r:id="rId137" display="https://correiaricardina-ui.github.io/questionarios/SPPC_Bateria.html"/>
    <hyperlink ref="M146" r:id="rId138" display="https://correiaricardina-ui.github.io/questionarios/SPPC_Professor.html"/>
    <hyperlink ref="M147" r:id="rId139" display="https://correiaricardina-ui.github.io/questionarios/SPPCS_v1.html"/>
    <hyperlink ref="M148" r:id="rId140" display="https://correiaricardina-ui.github.io/questionarios/SPPLD_Bateria.html"/>
    <hyperlink ref="M149" r:id="rId141" display="https://correiaricardina-ui.github.io/questionarios/SRS2_IE_Pais_v1.html"/>
    <hyperlink ref="M150" r:id="rId142" display="https://correiaricardina-ui.github.io/questionarios/SRS2_IE_Prof_v1.html"/>
    <hyperlink ref="M151" r:id="rId143" display="https://correiaricardina-ui.github.io/questionarios/STAIC_C2_v1.html"/>
    <hyperlink ref="M152" r:id="rId144" display="https://correiaricardina-ui.github.io/questionarios/STAXI_NA_v1.html"/>
    <hyperlink ref="M153" r:id="rId145" display="https://correiaricardina-ui.github.io/questionarios/SWAN_v1.html"/>
    <hyperlink ref="M154" r:id="rId146" display="https://correiaricardina-ui.github.io/questionarios/TAS20_v7.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4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2"/>
    <col collapsed="false" customWidth="true" hidden="false" outlineLevel="0" max="2" min="2" style="1" width="20"/>
    <col collapsed="false" customWidth="true" hidden="false" outlineLevel="0" max="3" min="3" style="1" width="14"/>
  </cols>
  <sheetData>
    <row r="1" customFormat="false" ht="24" hidden="false" customHeight="true" outlineLevel="0" collapsed="false">
      <c r="A1" s="8" t="s">
        <v>1095</v>
      </c>
      <c r="B1" s="8"/>
      <c r="C1" s="8"/>
    </row>
    <row r="2" customFormat="false" ht="15" hidden="false" customHeight="true" outlineLevel="0" collapsed="false">
      <c r="A2" s="4" t="s">
        <v>4</v>
      </c>
      <c r="B2" s="4" t="s">
        <v>1096</v>
      </c>
      <c r="C2" s="4" t="s">
        <v>1097</v>
      </c>
    </row>
    <row r="3" customFormat="false" ht="15" hidden="false" customHeight="true" outlineLevel="0" collapsed="false">
      <c r="A3" s="9" t="s">
        <v>122</v>
      </c>
      <c r="B3" s="9" t="n">
        <f aca="false">COUNTIF(Catálogo!$C$4:$C$1000,A3)</f>
        <v>6</v>
      </c>
      <c r="C3" s="10" t="n">
        <f aca="false">IF($B$29=0,0,B3/$B$29)</f>
        <v>0.0377358490566038</v>
      </c>
    </row>
    <row r="4" customFormat="false" ht="15" hidden="false" customHeight="true" outlineLevel="0" collapsed="false">
      <c r="A4" s="9" t="s">
        <v>51</v>
      </c>
      <c r="B4" s="9" t="n">
        <f aca="false">COUNTIF(Catálogo!$C$4:$C$1000,A4)</f>
        <v>3</v>
      </c>
      <c r="C4" s="10" t="n">
        <f aca="false">IF($B$29=0,0,B4/$B$29)</f>
        <v>0.0188679245283019</v>
      </c>
    </row>
    <row r="5" customFormat="false" ht="15" hidden="false" customHeight="true" outlineLevel="0" collapsed="false">
      <c r="A5" s="9" t="s">
        <v>219</v>
      </c>
      <c r="B5" s="9" t="n">
        <f aca="false">COUNTIF(Catálogo!$C$4:$C$1000,A5)</f>
        <v>16</v>
      </c>
      <c r="C5" s="10" t="n">
        <f aca="false">IF($B$29=0,0,B5/$B$29)</f>
        <v>0.10062893081761</v>
      </c>
    </row>
    <row r="6" customFormat="false" ht="15" hidden="false" customHeight="true" outlineLevel="0" collapsed="false">
      <c r="A6" s="9" t="s">
        <v>131</v>
      </c>
      <c r="B6" s="9" t="n">
        <f aca="false">COUNTIF(Catálogo!$C$4:$C$1000,A6)</f>
        <v>14</v>
      </c>
      <c r="C6" s="10" t="n">
        <f aca="false">IF($B$29=0,0,B6/$B$29)</f>
        <v>0.0880503144654088</v>
      </c>
    </row>
    <row r="7" customFormat="false" ht="15" hidden="false" customHeight="true" outlineLevel="0" collapsed="false">
      <c r="A7" s="9" t="s">
        <v>441</v>
      </c>
      <c r="B7" s="9" t="n">
        <f aca="false">COUNTIF(Catálogo!$C$4:$C$1000,A7)</f>
        <v>6</v>
      </c>
      <c r="C7" s="10" t="n">
        <f aca="false">IF($B$29=0,0,B7/$B$29)</f>
        <v>0.0377358490566038</v>
      </c>
    </row>
    <row r="8" customFormat="false" ht="15" hidden="false" customHeight="true" outlineLevel="0" collapsed="false">
      <c r="A8" s="9" t="s">
        <v>115</v>
      </c>
      <c r="B8" s="9" t="n">
        <f aca="false">COUNTIF(Catálogo!$C$4:$C$1000,A8)</f>
        <v>4</v>
      </c>
      <c r="C8" s="10" t="n">
        <f aca="false">IF($B$29=0,0,B8/$B$29)</f>
        <v>0.0251572327044025</v>
      </c>
    </row>
    <row r="9" customFormat="false" ht="15" hidden="false" customHeight="true" outlineLevel="0" collapsed="false">
      <c r="A9" s="9" t="s">
        <v>171</v>
      </c>
      <c r="B9" s="9" t="n">
        <f aca="false">COUNTIF(Catálogo!$C$4:$C$1000,A9)</f>
        <v>2</v>
      </c>
      <c r="C9" s="10" t="n">
        <f aca="false">IF($B$29=0,0,B9/$B$29)</f>
        <v>0.0125786163522013</v>
      </c>
    </row>
    <row r="10" customFormat="false" ht="15" hidden="false" customHeight="true" outlineLevel="0" collapsed="false">
      <c r="A10" s="9" t="s">
        <v>587</v>
      </c>
      <c r="B10" s="9" t="n">
        <f aca="false">COUNTIF(Catálogo!$C$4:$C$1000,A10)</f>
        <v>1</v>
      </c>
      <c r="C10" s="10" t="n">
        <f aca="false">IF($B$29=0,0,B10/$B$29)</f>
        <v>0.00628930817610063</v>
      </c>
    </row>
    <row r="11" customFormat="false" ht="15" hidden="false" customHeight="true" outlineLevel="0" collapsed="false">
      <c r="A11" s="9" t="s">
        <v>186</v>
      </c>
      <c r="B11" s="9" t="n">
        <f aca="false">COUNTIF(Catálogo!$C$4:$C$1000,A11)</f>
        <v>4</v>
      </c>
      <c r="C11" s="10" t="n">
        <f aca="false">IF($B$29=0,0,B11/$B$29)</f>
        <v>0.0251572327044025</v>
      </c>
    </row>
    <row r="12" customFormat="false" ht="15" hidden="false" customHeight="true" outlineLevel="0" collapsed="false">
      <c r="A12" s="9" t="s">
        <v>400</v>
      </c>
      <c r="B12" s="9" t="n">
        <f aca="false">COUNTIF(Catálogo!$C$4:$C$1000,A12)</f>
        <v>12</v>
      </c>
      <c r="C12" s="10" t="n">
        <f aca="false">IF($B$29=0,0,B12/$B$29)</f>
        <v>0.0754716981132075</v>
      </c>
    </row>
    <row r="13" customFormat="false" ht="15" hidden="false" customHeight="true" outlineLevel="0" collapsed="false">
      <c r="A13" s="9" t="s">
        <v>72</v>
      </c>
      <c r="B13" s="9" t="n">
        <f aca="false">COUNTIF(Catálogo!$C$4:$C$1000,A13)</f>
        <v>9</v>
      </c>
      <c r="C13" s="10" t="n">
        <f aca="false">IF($B$29=0,0,B13/$B$29)</f>
        <v>0.0566037735849057</v>
      </c>
    </row>
    <row r="14" customFormat="false" ht="15" hidden="false" customHeight="true" outlineLevel="0" collapsed="false">
      <c r="A14" s="9" t="s">
        <v>280</v>
      </c>
      <c r="B14" s="9" t="n">
        <f aca="false">COUNTIF(Catálogo!$C$4:$C$1000,A14)</f>
        <v>16</v>
      </c>
      <c r="C14" s="10" t="n">
        <f aca="false">IF($B$29=0,0,B14/$B$29)</f>
        <v>0.10062893081761</v>
      </c>
    </row>
    <row r="15" customFormat="false" ht="15" hidden="false" customHeight="true" outlineLevel="0" collapsed="false">
      <c r="A15" s="9" t="s">
        <v>520</v>
      </c>
      <c r="B15" s="9" t="n">
        <f aca="false">COUNTIF(Catálogo!$C$4:$C$1000,A15)</f>
        <v>1</v>
      </c>
      <c r="C15" s="10" t="n">
        <f aca="false">IF($B$29=0,0,B15/$B$29)</f>
        <v>0.00628930817610063</v>
      </c>
    </row>
    <row r="16" customFormat="false" ht="15" hidden="false" customHeight="true" outlineLevel="0" collapsed="false">
      <c r="A16" s="9" t="s">
        <v>527</v>
      </c>
      <c r="B16" s="9" t="n">
        <f aca="false">COUNTIF(Catálogo!$C$4:$C$1000,A16)</f>
        <v>2</v>
      </c>
      <c r="C16" s="10" t="n">
        <f aca="false">IF($B$29=0,0,B16/$B$29)</f>
        <v>0.0125786163522013</v>
      </c>
    </row>
    <row r="17" customFormat="false" ht="15" hidden="false" customHeight="true" outlineLevel="0" collapsed="false">
      <c r="A17" s="9" t="s">
        <v>499</v>
      </c>
      <c r="B17" s="9" t="n">
        <f aca="false">COUNTIF(Catálogo!$C$4:$C$1000,A17)</f>
        <v>3</v>
      </c>
      <c r="C17" s="10" t="n">
        <f aca="false">IF($B$29=0,0,B17/$B$29)</f>
        <v>0.0188679245283019</v>
      </c>
    </row>
    <row r="18" customFormat="false" ht="15" hidden="false" customHeight="true" outlineLevel="0" collapsed="false">
      <c r="A18" s="9" t="s">
        <v>476</v>
      </c>
      <c r="B18" s="9" t="n">
        <f aca="false">COUNTIF(Catálogo!$C$4:$C$1000,A18)</f>
        <v>1</v>
      </c>
      <c r="C18" s="10" t="n">
        <f aca="false">IF($B$29=0,0,B18/$B$29)</f>
        <v>0.00628930817610063</v>
      </c>
    </row>
    <row r="19" customFormat="false" ht="15" hidden="false" customHeight="true" outlineLevel="0" collapsed="false">
      <c r="A19" s="9" t="s">
        <v>379</v>
      </c>
      <c r="B19" s="9" t="n">
        <f aca="false">COUNTIF(Catálogo!$C$4:$C$1000,A19)</f>
        <v>1</v>
      </c>
      <c r="C19" s="10" t="n">
        <f aca="false">IF($B$29=0,0,B19/$B$29)</f>
        <v>0.00628930817610063</v>
      </c>
    </row>
    <row r="20" customFormat="false" ht="15" hidden="false" customHeight="true" outlineLevel="0" collapsed="false">
      <c r="A20" s="9" t="s">
        <v>16</v>
      </c>
      <c r="B20" s="9" t="n">
        <f aca="false">COUNTIF(Catálogo!$C$4:$C$1000,A20)</f>
        <v>15</v>
      </c>
      <c r="C20" s="10" t="n">
        <f aca="false">IF($B$29=0,0,B20/$B$29)</f>
        <v>0.0943396226415094</v>
      </c>
    </row>
    <row r="21" customFormat="false" ht="15" hidden="false" customHeight="true" outlineLevel="0" collapsed="false">
      <c r="A21" s="9" t="s">
        <v>553</v>
      </c>
      <c r="B21" s="9" t="n">
        <f aca="false">COUNTIF(Catálogo!$C$4:$C$1000,A21)</f>
        <v>7</v>
      </c>
      <c r="C21" s="10" t="n">
        <f aca="false">IF($B$29=0,0,B21/$B$29)</f>
        <v>0.0440251572327044</v>
      </c>
    </row>
    <row r="22" customFormat="false" ht="15" hidden="false" customHeight="true" outlineLevel="0" collapsed="false">
      <c r="A22" s="9" t="s">
        <v>813</v>
      </c>
      <c r="B22" s="9" t="n">
        <f aca="false">COUNTIF(Catálogo!$C$4:$C$1000,A22)</f>
        <v>1</v>
      </c>
      <c r="C22" s="10" t="n">
        <f aca="false">IF($B$29=0,0,B22/$B$29)</f>
        <v>0.00628930817610063</v>
      </c>
    </row>
    <row r="23" customFormat="false" ht="15" hidden="false" customHeight="true" outlineLevel="0" collapsed="false">
      <c r="A23" s="9" t="s">
        <v>427</v>
      </c>
      <c r="B23" s="9" t="n">
        <f aca="false">COUNTIF(Catálogo!$C$4:$C$1000,A23)</f>
        <v>7</v>
      </c>
      <c r="C23" s="10" t="n">
        <f aca="false">IF($B$29=0,0,B23/$B$29)</f>
        <v>0.0440251572327044</v>
      </c>
    </row>
    <row r="24" customFormat="false" ht="15" hidden="false" customHeight="true" outlineLevel="0" collapsed="false">
      <c r="A24" s="9" t="s">
        <v>210</v>
      </c>
      <c r="B24" s="9" t="n">
        <f aca="false">COUNTIF(Catálogo!$C$4:$C$1000,A24)</f>
        <v>13</v>
      </c>
      <c r="C24" s="10" t="n">
        <f aca="false">IF($B$29=0,0,B24/$B$29)</f>
        <v>0.0817610062893082</v>
      </c>
    </row>
    <row r="25" customFormat="false" ht="15" hidden="false" customHeight="true" outlineLevel="0" collapsed="false">
      <c r="A25" s="9" t="s">
        <v>162</v>
      </c>
      <c r="B25" s="9" t="n">
        <f aca="false">COUNTIF(Catálogo!$C$4:$C$1000,A25)</f>
        <v>6</v>
      </c>
      <c r="C25" s="10" t="n">
        <f aca="false">IF($B$29=0,0,B25/$B$29)</f>
        <v>0.0377358490566038</v>
      </c>
    </row>
    <row r="26" customFormat="false" ht="15" hidden="false" customHeight="true" outlineLevel="0" collapsed="false">
      <c r="A26" s="9" t="s">
        <v>344</v>
      </c>
      <c r="B26" s="9" t="n">
        <f aca="false">COUNTIF(Catálogo!$C$4:$C$1000,A26)</f>
        <v>3</v>
      </c>
      <c r="C26" s="10" t="n">
        <f aca="false">IF($B$29=0,0,B26/$B$29)</f>
        <v>0.0188679245283019</v>
      </c>
    </row>
    <row r="27" customFormat="false" ht="15" hidden="false" customHeight="true" outlineLevel="0" collapsed="false">
      <c r="A27" s="9" t="s">
        <v>1049</v>
      </c>
      <c r="B27" s="9" t="n">
        <f aca="false">COUNTIF(Catálogo!$C$4:$C$1000,A27)</f>
        <v>2</v>
      </c>
      <c r="C27" s="10" t="n">
        <f aca="false">IF($B$29=0,0,B27/$B$29)</f>
        <v>0.0125786163522013</v>
      </c>
    </row>
    <row r="28" customFormat="false" ht="15" hidden="false" customHeight="true" outlineLevel="0" collapsed="false">
      <c r="A28" s="9" t="s">
        <v>1041</v>
      </c>
      <c r="B28" s="9" t="n">
        <f aca="false">COUNTIF(Catálogo!$C$4:$C$1000,A28)</f>
        <v>4</v>
      </c>
      <c r="C28" s="10" t="n">
        <f aca="false">IF($B$29=0,0,B28/$B$29)</f>
        <v>0.0251572327044025</v>
      </c>
    </row>
    <row r="29" customFormat="false" ht="15" hidden="false" customHeight="true" outlineLevel="0" collapsed="false">
      <c r="A29" s="11" t="s">
        <v>1098</v>
      </c>
      <c r="B29" s="11" t="n">
        <f aca="false">COUNTA(Catálogo!$B$4:$B$1000)</f>
        <v>159</v>
      </c>
      <c r="C29" s="12" t="n">
        <f aca="false">IF(B29=0,0,B29/B29)</f>
        <v>1</v>
      </c>
    </row>
    <row r="30" customFormat="false" ht="15" hidden="false" customHeight="true" outlineLevel="0" collapsed="false"/>
    <row r="31" customFormat="false" ht="15" hidden="false" customHeight="true" outlineLevel="0" collapsed="false">
      <c r="A31" s="13" t="s">
        <v>1099</v>
      </c>
    </row>
    <row r="32" customFormat="false" ht="14.25" hidden="false" customHeight="true" outlineLevel="0" collapsed="false">
      <c r="A32" s="14" t="s">
        <v>1100</v>
      </c>
      <c r="B32" s="15" t="str">
        <f aca="false">IF(SUM(B3:B28)=B29,"OK","Existe AREA nova - adicionar linha no resumo")</f>
        <v>OK</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6"/>
    <col collapsed="false" customWidth="true" hidden="false" outlineLevel="0" max="2" min="2" style="1" width="42"/>
    <col collapsed="false" customWidth="true" hidden="false" outlineLevel="0" max="3" min="3" style="1" width="70"/>
  </cols>
  <sheetData>
    <row r="1" customFormat="false" ht="24" hidden="false" customHeight="true" outlineLevel="0" collapsed="false">
      <c r="A1" s="8" t="s">
        <v>1101</v>
      </c>
      <c r="B1" s="8"/>
      <c r="C1" s="8"/>
    </row>
    <row r="2" customFormat="false" ht="15" hidden="false" customHeight="true" outlineLevel="0" collapsed="false">
      <c r="A2" s="4" t="s">
        <v>1102</v>
      </c>
      <c r="B2" s="4" t="s">
        <v>1103</v>
      </c>
      <c r="C2" s="4" t="s">
        <v>1104</v>
      </c>
    </row>
    <row r="3" customFormat="false" ht="57.75" hidden="false" customHeight="true" outlineLevel="0" collapsed="false">
      <c r="A3" s="16" t="s">
        <v>1105</v>
      </c>
      <c r="B3" s="17" t="s">
        <v>1106</v>
      </c>
      <c r="C3" s="6" t="s">
        <v>1107</v>
      </c>
    </row>
    <row r="4" customFormat="false" ht="57.75" hidden="false" customHeight="true" outlineLevel="0" collapsed="false">
      <c r="A4" s="16" t="s">
        <v>1108</v>
      </c>
      <c r="B4" s="17" t="s">
        <v>1109</v>
      </c>
      <c r="C4" s="6" t="s">
        <v>1110</v>
      </c>
    </row>
    <row r="5" customFormat="false" ht="57.75" hidden="false" customHeight="true" outlineLevel="0" collapsed="false">
      <c r="A5" s="16" t="s">
        <v>1111</v>
      </c>
      <c r="B5" s="17" t="s">
        <v>1112</v>
      </c>
      <c r="C5" s="6" t="s">
        <v>1113</v>
      </c>
    </row>
    <row r="6" customFormat="false" ht="57.75" hidden="false" customHeight="true" outlineLevel="0" collapsed="false">
      <c r="A6" s="16" t="s">
        <v>1114</v>
      </c>
      <c r="B6" s="17" t="s">
        <v>1115</v>
      </c>
      <c r="C6" s="6" t="s">
        <v>1116</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100"/>
  </cols>
  <sheetData>
    <row r="1" customFormat="false" ht="24" hidden="false" customHeight="true" outlineLevel="0" collapsed="false">
      <c r="A1" s="8" t="s">
        <v>1117</v>
      </c>
      <c r="B1" s="8"/>
    </row>
    <row r="2" customFormat="false" ht="42" hidden="false" customHeight="true" outlineLevel="0" collapsed="false">
      <c r="A2" s="18" t="s">
        <v>1118</v>
      </c>
      <c r="B2" s="19" t="s">
        <v>1119</v>
      </c>
    </row>
    <row r="3" customFormat="false" ht="42" hidden="false" customHeight="true" outlineLevel="0" collapsed="false">
      <c r="A3" s="18" t="s">
        <v>1120</v>
      </c>
      <c r="B3" s="19" t="s">
        <v>1121</v>
      </c>
    </row>
    <row r="4" customFormat="false" ht="42" hidden="false" customHeight="true" outlineLevel="0" collapsed="false">
      <c r="A4" s="18" t="s">
        <v>1122</v>
      </c>
      <c r="B4" s="19" t="s">
        <v>1123</v>
      </c>
    </row>
    <row r="5" customFormat="false" ht="42" hidden="false" customHeight="true" outlineLevel="0" collapsed="false">
      <c r="A5" s="18" t="s">
        <v>1124</v>
      </c>
      <c r="B5" s="19" t="s">
        <v>1125</v>
      </c>
    </row>
    <row r="6" customFormat="false" ht="42" hidden="false" customHeight="true" outlineLevel="0" collapsed="false">
      <c r="A6" s="18" t="s">
        <v>1126</v>
      </c>
      <c r="B6" s="19" t="s">
        <v>1127</v>
      </c>
    </row>
    <row r="7" customFormat="false" ht="42" hidden="false" customHeight="true" outlineLevel="0" collapsed="false">
      <c r="A7" s="18" t="s">
        <v>1128</v>
      </c>
      <c r="B7" s="19" t="s">
        <v>1129</v>
      </c>
    </row>
    <row r="8" customFormat="false" ht="9.75" hidden="false" customHeight="true" outlineLevel="0" collapsed="false">
      <c r="A8" s="18"/>
      <c r="B8" s="19"/>
    </row>
    <row r="9" customFormat="false" ht="42" hidden="false" customHeight="true" outlineLevel="0" collapsed="false">
      <c r="A9" s="18" t="s">
        <v>1130</v>
      </c>
      <c r="B9" s="19" t="s">
        <v>1131</v>
      </c>
    </row>
    <row r="10" customFormat="false" ht="42" hidden="false" customHeight="true" outlineLevel="0" collapsed="false">
      <c r="A10" s="18" t="s">
        <v>1132</v>
      </c>
      <c r="B10" s="19" t="s">
        <v>1133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2026-06-12T21:56:06Z</dcterms:created>
  <dc:creator>openpyxl</dc:creator>
  <dc:description/>
  <dc:language>en-US</dc:language>
  <cp:lastModifiedBy>Ricardina Correia</cp:lastModifiedBy>
  <dcterms:modified xsi:type="dcterms:W3CDTF">2026-07-09T15:18:40Z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